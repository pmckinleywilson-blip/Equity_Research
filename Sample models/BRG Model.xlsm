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hartsheets/sheet2.xml" ContentType="application/vnd.openxmlformats-officedocument.spreadsheetml.chart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customProperty8.bin" ContentType="application/vnd.openxmlformats-officedocument.spreadsheetml.customProperty"/>
  <Override PartName="/xl/customProperty9.bin" ContentType="application/vnd.openxmlformats-officedocument.spreadsheetml.customProperty"/>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drawings/drawing5.xml" ContentType="application/vnd.openxmlformats-officedocument.drawing+xml"/>
  <Override PartName="/xl/customProperty14.bin" ContentType="application/vnd.openxmlformats-officedocument.spreadsheetml.customProperty"/>
  <Override PartName="/xl/customProperty15.bin" ContentType="application/vnd.openxmlformats-officedocument.spreadsheetml.customProperty"/>
  <Override PartName="/xl/comments3.xml" ContentType="application/vnd.openxmlformats-officedocument.spreadsheetml.comments+xml"/>
  <Override PartName="/xl/customProperty16.bin" ContentType="application/vnd.openxmlformats-officedocument.spreadsheetml.customProperty"/>
  <Override PartName="/xl/comments4.xml" ContentType="application/vnd.openxmlformats-officedocument.spreadsheetml.comments+xml"/>
  <Override PartName="/xl/customProperty17.bin" ContentType="application/vnd.openxmlformats-officedocument.spreadsheetml.customProperty"/>
  <Override PartName="/xl/comments5.xml" ContentType="application/vnd.openxmlformats-officedocument.spreadsheetml.comments+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6.xml" ContentType="application/vnd.openxmlformats-officedocument.drawing+xml"/>
  <Override PartName="/xl/customProperty23.bin" ContentType="application/vnd.openxmlformats-officedocument.spreadsheetml.customProperty"/>
  <Override PartName="/xl/drawings/drawing7.xml" ContentType="application/vnd.openxmlformats-officedocument.drawing+xml"/>
  <Override PartName="/xl/charts/chart2.xml" ContentType="application/vnd.openxmlformats-officedocument.drawingml.chart+xml"/>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W:\3 - JL\Coverage\BRG\1 - Models\"/>
    </mc:Choice>
  </mc:AlternateContent>
  <xr:revisionPtr revIDLastSave="0" documentId="13_ncr:1_{68FC8BA3-5051-4729-A0A6-E326C038A522}" xr6:coauthVersionLast="47" xr6:coauthVersionMax="47" xr10:uidLastSave="{00000000-0000-0000-0000-000000000000}"/>
  <bookViews>
    <workbookView xWindow="28800" yWindow="0" windowWidth="28800" windowHeight="23400" firstSheet="4" activeTab="4" xr2:uid="{BF44D0E5-53FB-465F-9275-8779A0D09225}"/>
  </bookViews>
  <sheets>
    <sheet name="__FDSCACHE__" sheetId="63730" state="veryHidden" r:id="rId1"/>
    <sheet name="INDUST_TPLATE" sheetId="2" state="hidden" r:id="rId2"/>
    <sheet name="TPLATE_VALID" sheetId="3" state="hidden" r:id="rId3"/>
    <sheet name="_QP_BRG.AX" sheetId="63692" state="hidden" r:id="rId4"/>
    <sheet name="COVER" sheetId="63721" r:id="rId5"/>
    <sheet name="Sheet2" sheetId="63701" state="hidden" r:id="rId6"/>
    <sheet name="Sheet1" sheetId="63700" state="hidden" r:id="rId7"/>
    <sheet name="Template" sheetId="63682" state="hidden" r:id="rId8"/>
    <sheet name="Chart7" sheetId="63709" state="hidden" r:id="rId9"/>
    <sheet name="Valuation" sheetId="63727" r:id="rId10"/>
    <sheet name="Valuation Summary" sheetId="63744" state="hidden" r:id="rId11"/>
    <sheet name="DCF" sheetId="63731" r:id="rId12"/>
    <sheet name="Summary" sheetId="63743" r:id="rId13"/>
    <sheet name="MODEL" sheetId="4" r:id="rId14"/>
    <sheet name="Segments" sheetId="63726" r:id="rId15"/>
    <sheet name="PPE_and_intangibles" sheetId="63723" r:id="rId16"/>
    <sheet name="Debt" sheetId="63724" r:id="rId17"/>
    <sheet name="Results Table" sheetId="63736" state="hidden" r:id="rId18"/>
    <sheet name="Sheet3" sheetId="63703" state="hidden" r:id="rId19"/>
    <sheet name="KeyProducts" sheetId="63702" state="hidden" r:id="rId20"/>
    <sheet name="Margin" sheetId="63686" state="hidden" r:id="rId21"/>
    <sheet name="Pre-ResSUM" sheetId="63683" state="hidden" r:id="rId22"/>
    <sheet name="Chart8" sheetId="63706" state="hidden" r:id="rId23"/>
    <sheet name="Sheet4" sheetId="63707" state="hidden" r:id="rId24"/>
  </sheets>
  <externalReferences>
    <externalReference r:id="rId25"/>
  </externalReferences>
  <definedNames>
    <definedName name="__FDS_HYPERLINK_TOGGLE_STATE__" hidden="1">"ON"</definedName>
    <definedName name="_1990">#REF!</definedName>
    <definedName name="_1991">#REF!</definedName>
    <definedName name="_1992">#REF!</definedName>
    <definedName name="_1993">#REF!</definedName>
    <definedName name="_1994">#REF!</definedName>
    <definedName name="_1995">#REF!</definedName>
    <definedName name="_1996">#REF!</definedName>
    <definedName name="_1997">#REF!</definedName>
    <definedName name="_1998">#REF!</definedName>
    <definedName name="_1999">#REF!</definedName>
    <definedName name="_2000">#REF!</definedName>
    <definedName name="_2001">#REF!</definedName>
    <definedName name="_2002">#REF!</definedName>
    <definedName name="_2003">#REF!</definedName>
    <definedName name="_2004">#REF!</definedName>
    <definedName name="_2005">#REF!</definedName>
    <definedName name="_2006">#REF!</definedName>
    <definedName name="_2007">#REF!</definedName>
    <definedName name="_2008">#REF!</definedName>
    <definedName name="_2009">#REF!</definedName>
    <definedName name="_2010">#REF!</definedName>
    <definedName name="_2011">#REF!</definedName>
    <definedName name="_2012">#REF!</definedName>
    <definedName name="_2013">#REF!</definedName>
    <definedName name="_2014">#REF!</definedName>
    <definedName name="_2015">#REF!</definedName>
    <definedName name="_2016">#REF!</definedName>
    <definedName name="_2017" localSheetId="14">Segments!$D:$D</definedName>
    <definedName name="_2017">MODEL!$D:$D</definedName>
    <definedName name="_2017H1" localSheetId="14">Segments!$B:$B</definedName>
    <definedName name="_2017H1">MODEL!$B:$B</definedName>
    <definedName name="_2017H2" localSheetId="14">Segments!$C:$C</definedName>
    <definedName name="_2017H2">MODEL!$C:$C</definedName>
    <definedName name="_2018" localSheetId="14">Segments!$G:$G</definedName>
    <definedName name="_2018">MODEL!$G:$G</definedName>
    <definedName name="_2018H1" localSheetId="14">Segments!$E:$E</definedName>
    <definedName name="_2018H1">MODEL!$E:$E</definedName>
    <definedName name="_2018H2" localSheetId="14">Segments!$F:$F</definedName>
    <definedName name="_2018H2">MODEL!$F:$F</definedName>
    <definedName name="_2019" localSheetId="14">Segments!$J:$J</definedName>
    <definedName name="_2019">MODEL!$J:$J</definedName>
    <definedName name="_2019H1" localSheetId="14">Segments!$H:$H</definedName>
    <definedName name="_2019H1">MODEL!$H:$H</definedName>
    <definedName name="_2019H2" localSheetId="14">Segments!$I:$I</definedName>
    <definedName name="_2019H2">MODEL!$I:$I</definedName>
    <definedName name="_2020" localSheetId="14">Segments!$M:$M</definedName>
    <definedName name="_2020">MODEL!$M:$M</definedName>
    <definedName name="_2020H1" localSheetId="14">Segments!$K:$K</definedName>
    <definedName name="_2020H1">MODEL!$K:$K</definedName>
    <definedName name="_2020H2" localSheetId="14">Segments!$L:$L</definedName>
    <definedName name="_2020H2">MODEL!$L:$L</definedName>
    <definedName name="_2021" localSheetId="14">Segments!$P:$P</definedName>
    <definedName name="_2021">MODEL!$P:$P</definedName>
    <definedName name="_2021H1" localSheetId="14">Segments!$N:$N</definedName>
    <definedName name="_2021H1">MODEL!$N:$N</definedName>
    <definedName name="_2021H2" localSheetId="14">Segments!$O:$O</definedName>
    <definedName name="_2021H2">MODEL!$O:$O</definedName>
    <definedName name="_2022" localSheetId="14">Segments!$S:$S</definedName>
    <definedName name="_2022">MODEL!$S:$S</definedName>
    <definedName name="_2022H1" localSheetId="14">Segments!$Q:$Q</definedName>
    <definedName name="_2022H1">MODEL!$Q:$Q</definedName>
    <definedName name="_2022H2">#REF!</definedName>
    <definedName name="_2023" localSheetId="14">Segments!$V:$V</definedName>
    <definedName name="_2023">MODEL!$V:$V</definedName>
    <definedName name="_2023H1" localSheetId="14">Segments!$T:$T</definedName>
    <definedName name="_2023H1">MODEL!$T:$T</definedName>
    <definedName name="_2023H2">#REF!</definedName>
    <definedName name="_2024" localSheetId="14">Segments!$Y:$Y</definedName>
    <definedName name="_2024">MODEL!$Y:$Y</definedName>
    <definedName name="_2025">#REF!</definedName>
    <definedName name="_2026">#REF!</definedName>
    <definedName name="_2027">#REF!</definedName>
    <definedName name="_2028">#REF!</definedName>
    <definedName name="_2029">#REF!</definedName>
    <definedName name="_2030">#REF!</definedName>
    <definedName name="_2031">#REF!</definedName>
    <definedName name="_2032">#REF!</definedName>
    <definedName name="_2033">#REF!</definedName>
    <definedName name="_2034">#REF!</definedName>
    <definedName name="_bdm.3376e8589d3b431b8f0c5106df061627.edm" hidden="1">#REF!</definedName>
    <definedName name="_FY17">#REF!</definedName>
    <definedName name="_FY18">#REF!</definedName>
    <definedName name="_FY19">#REF!</definedName>
    <definedName name="_FY20">#REF!</definedName>
    <definedName name="_FY21">#REF!</definedName>
    <definedName name="_FY23">#REF!</definedName>
    <definedName name="_GSRATES_1" hidden="1">"CF3000012000063019980601"</definedName>
    <definedName name="_GSRATES_2" hidden="1">"CF3000011997073119970701"</definedName>
    <definedName name="_GSRATES_3" hidden="1">"CF3000011998063019980601"</definedName>
    <definedName name="_GSRATES_4" hidden="1">"CF3000011998033119980301"</definedName>
    <definedName name="_GSRATES_COUNT" hidden="1">4</definedName>
    <definedName name="_Order1">0</definedName>
    <definedName name="_Order2" hidden="1">255</definedName>
    <definedName name="_r2005">#REF!</definedName>
    <definedName name="_r2018">#REF!</definedName>
    <definedName name="_r2018H1">#REF!</definedName>
    <definedName name="_r2019">#REF!</definedName>
    <definedName name="_r2019H1">#REF!</definedName>
    <definedName name="_r2020">#REF!</definedName>
    <definedName name="_r2020H1">#REF!</definedName>
    <definedName name="_r2021">#REF!</definedName>
    <definedName name="_r2021H1">#REF!</definedName>
    <definedName name="_r2022">#REF!</definedName>
    <definedName name="_r2022H1">#REF!</definedName>
    <definedName name="_r2023">#REF!</definedName>
    <definedName name="_r2023H1">#REF!</definedName>
    <definedName name="_r2024">#REF!</definedName>
    <definedName name="_r2026">#REF!</definedName>
    <definedName name="_r2027">#REF!</definedName>
    <definedName name="_SH1">#REF!</definedName>
    <definedName name="A_ALL_BRG.AX">#REF!</definedName>
    <definedName name="A_ALL_BRG.AX_">#REF!</definedName>
    <definedName name="A_ALL_CTD.AX">#REF!</definedName>
    <definedName name="A_ALL_KEYWORDS_TYPE_ScalarContributed_EQTY_200006063">#REF!,#REF!,#REF!,#REF!,#REF!,#REF!,#REF!</definedName>
    <definedName name="A_ALL_KEYWORDS_TYPE_ScalarContributed_EQTY_200013829">#REF!,#REF!,#REF!,#REF!,#REF!,#REF!,#REF!,#REF!</definedName>
    <definedName name="A_ALL_KEYWORDS_TYPE_ScalarContributed_EQTY_200014125">#REF!,#REF!,#REF!,#REF!,#REF!,#REF!,#REF!</definedName>
    <definedName name="A_ALL_KEYWORDS_TYPE_ScalarContributed_EQTY_200014152">#REF!,#REF!,#REF!,#REF!,#REF!,#REF!,#REF!</definedName>
    <definedName name="A_ALL_KEYWORDS_TYPE_ScalarContributed_ISSR_208002501">#REF!,#REF!</definedName>
    <definedName name="A_ALL_KEYWORDS_TYPE_ScalarContributed_ISSR_208010681">#REF!,#REF!,#REF!</definedName>
    <definedName name="A_ALL_KEYWORDS_TYPE_ScalarContributed_ISSR_208010774">#REF!,#REF!,#REF!</definedName>
    <definedName name="A_ALL_KEYWORDS_TYPE_ScalarContributed_ISSR_208010844">#REF!,#REF!,#REF!</definedName>
    <definedName name="A_ALL_KEYWORDS_TYPE_ScalarReference_EQTY_200013829">#REF!</definedName>
    <definedName name="A_ALL_KEYWORDS_TYPE_ScalarReference_ISSR_208010681">#REF!</definedName>
    <definedName name="A_ALL_KEYWORDS_TYPE_Vector_EQTY_200006063">#REF!,#REF!,#REF!,#REF!,#REF!,#REF!,#REF!,#REF!,#REF!,#REF!,#REF!,#REF!,#REF!</definedName>
    <definedName name="A_ALL_KEYWORDS_TYPE_Vector_EQTY_200013829">#REF!,#REF!,#REF!,#REF!,#REF!,#REF!,#REF!,#REF!,#REF!,#REF!,#REF!,#REF!,#REF!</definedName>
    <definedName name="A_ALL_KEYWORDS_TYPE_Vector_EQTY_200014021">#REF!,#REF!,#REF!,#REF!,#REF!,#REF!,#REF!,#REF!,#REF!,#REF!,#REF!,#REF!,#REF!</definedName>
    <definedName name="A_ALL_KEYWORDS_TYPE_Vector_EQTY_200014125">#REF!,#REF!,#REF!,#REF!,#REF!,#REF!,#REF!,#REF!,#REF!,#REF!,#REF!,#REF!,#REF!</definedName>
    <definedName name="A_ALL_KEYWORDS_TYPE_Vector_EQTY_200014152">#REF!,#REF!,#REF!,#REF!,#REF!,#REF!,#REF!,#REF!,#REF!,#REF!,#REF!,#REF!,#REF!</definedName>
    <definedName name="A_ALL_KEYWORDS_TYPE_Vector_ISSR_208002501">#REF!,#REF!,#REF!,#REF!,#REF!,#REF!,#REF!,#REF!,#REF!,#REF!,#REF!,#REF!,#REF!,#REF!,#REF!,#REF!,#REF!,#REF!</definedName>
    <definedName name="A_ALL_KEYWORDS_TYPE_Vector_ISSR_208010774">#REF!,#REF!,#REF!,#REF!,#REF!,#REF!,#REF!,#REF!,#REF!,#REF!,#REF!,#REF!,#REF!,#REF!,#REF!,#REF!,#REF!,#REF!,#REF!</definedName>
    <definedName name="A_ALL_KEYWORDS_TYPE_Vector_ISSR_208010826">#REF!,#REF!,#REF!,#REF!,#REF!,#REF!,#REF!,#REF!,#REF!,#REF!,#REF!,#REF!,#REF!,#REF!,#REF!,#REF!,#REF!,#REF!,#REF!,#REF!,#REF!,#REF!,#REF!,#REF!</definedName>
    <definedName name="A_ALL_KEYWORDS_TYPE_Vector_ISSR_208010844">#REF!,#REF!,#REF!,#REF!,#REF!,#REF!,#REF!,#REF!,#REF!,#REF!,#REF!,#REF!,#REF!,#REF!,#REF!</definedName>
    <definedName name="A_ALL_SECTION_KEYWORDS_EQTY_200013829_1314">#REF!</definedName>
    <definedName name="A_ALL_SECTION_KEYWORDS_EQTY_200013829_1316A">#REF!</definedName>
    <definedName name="A_ALL_SECTION_KEYWORDS_EQTY_200013829_1316B">#REF!</definedName>
    <definedName name="A_ALL_SECTION_KEYWORDS_EQTY_200013829_1316C">#REF!</definedName>
    <definedName name="A_ALL_SECTION_KEYWORDS_EQTY_200013829_1316D">#REF!</definedName>
    <definedName name="A_ALL_SECTION_KEYWORDS_EQTY_200013829_1316E">#REF!</definedName>
    <definedName name="A_ALL_SECTION_KEYWORDS_EQTY_200013829_131E">#REF!</definedName>
    <definedName name="A_ALL_SECTION_KEYWORDS_EQTY_200013829_131O">#REF!</definedName>
    <definedName name="A_ALL_SECTION_KEYWORDS_EQTY_200013829_13A">#REF!</definedName>
    <definedName name="A_ALL_SECTION_KEYWORDS_EQTY_200013829_13K">#REF!</definedName>
    <definedName name="A_ALL_SECTION_KEYWORDS_EQTY_200013829_13U">#REF!</definedName>
    <definedName name="A_ALL_SECTION_KEYWORDS_EQTY_200013829_13V">#REF!</definedName>
    <definedName name="A_ALL_SECTION_KEYWORDS_EQTY_200013829_Reference_Data">#REF!</definedName>
    <definedName name="A_ALL_SECTION_KEYWORDS_ISSR_208002501_136E">#REF!,#REF!</definedName>
    <definedName name="A_ALL_SECTION_KEYWORDS_ISSR_208002501_136J">#REF!,#REF!</definedName>
    <definedName name="A_ALL_SECTION_KEYWORDS_ISSR_208002501_13A">#REF!,#REF!</definedName>
    <definedName name="A_ALL_SECTION_KEYWORDS_ISSR_208010681_1314">#REF!</definedName>
    <definedName name="A_ALL_SECTION_KEYWORDS_ISSR_208010681_13168">#REF!</definedName>
    <definedName name="A_ALL_SECTION_KEYWORDS_ISSR_208010681_1316B">#REF!</definedName>
    <definedName name="A_ALL_SECTION_KEYWORDS_ISSR_208010681_1316C">#REF!</definedName>
    <definedName name="A_ALL_SECTION_KEYWORDS_ISSR_208010681_1316D">#REF!</definedName>
    <definedName name="A_ALL_SECTION_KEYWORDS_ISSR_208010681_1316E">#REF!</definedName>
    <definedName name="A_ALL_SECTION_KEYWORDS_ISSR_208010681_1316T">#REF!</definedName>
    <definedName name="A_ALL_SECTION_KEYWORDS_ISSR_208010681_1316U">#REF!</definedName>
    <definedName name="A_ALL_SECTION_KEYWORDS_ISSR_208010681_1319">#REF!</definedName>
    <definedName name="A_ALL_SECTION_KEYWORDS_ISSR_208010681_131E">#REF!</definedName>
    <definedName name="A_ALL_SECTION_KEYWORDS_ISSR_208010681_131J">#REF!</definedName>
    <definedName name="A_ALL_SECTION_KEYWORDS_ISSR_208010681_131O">#REF!</definedName>
    <definedName name="A_ALL_SECTION_KEYWORDS_ISSR_208010681_136E">#REF!,#REF!</definedName>
    <definedName name="A_ALL_SECTION_KEYWORDS_ISSR_208010681_136J">#REF!</definedName>
    <definedName name="A_ALL_SECTION_KEYWORDS_ISSR_208010681_13A">#REF!,#REF!</definedName>
    <definedName name="A_ALL_SECTION_KEYWORDS_ISSR_208010681_13U">#REF!</definedName>
    <definedName name="A_ALL_SECTION_KEYWORDS_ISSR_208010681_13V">#REF!</definedName>
    <definedName name="A_ALL_SECTION_KEYWORDS_ISSR_208010681_Reference_Data">#REF!</definedName>
    <definedName name="A_ALL_SECTION_KEYWORDS_ISSR_208010774_13V">#REF!,#REF!</definedName>
    <definedName name="A_ALL_SECTION_KEYWORDS_ISSR_208010826_136J">#REF!,#REF!</definedName>
    <definedName name="A_ALL_SECTION_KEYWORDS_ISSR_208010844_136E">#REF!,#REF!</definedName>
    <definedName name="A_ALL_SECTION_KEYWORDS_ISSR_208010844_13A">#REF!,#REF!</definedName>
    <definedName name="A_CURRENCY_EQTY_200013829_PRI">#REF!</definedName>
    <definedName name="A_CURRENCY_EQTY_200013829_PUB">#REF!</definedName>
    <definedName name="A_CURRENCY_EQTY_200013829_REP">#REF!</definedName>
    <definedName name="A_CURRENCY_ISSR_208010681_REP">#REF!</definedName>
    <definedName name="A_EUR_FX">#REF!</definedName>
    <definedName name="A_JPY_FX">#REF!</definedName>
    <definedName name="A_KEYWORD_EQTY_200013829_ANZ_LIST">#REF!</definedName>
    <definedName name="A_KEYWORD_EQTY_200013829_ASSET_SALES_GAIN_LOSS">#REF!</definedName>
    <definedName name="A_KEYWORD_EQTY_200013829_BASE_CASE_VAL_DCF">#REF!</definedName>
    <definedName name="A_KEYWORD_EQTY_200013829_BENEFITS_TAX_LOSSES">#REF!</definedName>
    <definedName name="A_KEYWORD_EQTY_200013829_BETA_ANALYST">#REF!</definedName>
    <definedName name="A_KEYWORD_EQTY_200013829_BVPS">#REF!</definedName>
    <definedName name="A_KEYWORD_EQTY_200013829_BVPS_PUB">#REF!</definedName>
    <definedName name="A_KEYWORD_EQTY_200013829_CATALYST1_DATE">#REF!</definedName>
    <definedName name="A_KEYWORD_EQTY_200013829_CATALYST1_EVENT">#REF!</definedName>
    <definedName name="A_KEYWORD_EQTY_200013829_CATALYST2_DATE">#REF!</definedName>
    <definedName name="A_KEYWORD_EQTY_200013829_CATALYST2_EVENT">#REF!</definedName>
    <definedName name="A_KEYWORD_EQTY_200013829_CATALYST3_DATE">#REF!</definedName>
    <definedName name="A_KEYWORD_EQTY_200013829_CATALYST3_EVENT">#REF!</definedName>
    <definedName name="A_KEYWORD_EQTY_200013829_CATALYST4_DATE">#REF!</definedName>
    <definedName name="A_KEYWORD_EQTY_200013829_CATALYST4_EVENT">#REF!</definedName>
    <definedName name="A_KEYWORD_EQTY_200013829_CATALYST5_DATE">#REF!</definedName>
    <definedName name="A_KEYWORD_EQTY_200013829_CATALYST5_EVENT">#REF!</definedName>
    <definedName name="A_KEYWORD_EQTY_200013829_CF_NI_PRE_PREF">#REF!</definedName>
    <definedName name="A_KEYWORD_EQTY_200013829_CF_OPS_SHARE_NZ">#REF!</definedName>
    <definedName name="A_KEYWORD_EQTY_200013829_COMMON_DIV_PAID">#REF!</definedName>
    <definedName name="A_KEYWORD_EQTY_200013829_CONVERTIBLE_NOTES">#REF!</definedName>
    <definedName name="A_KEYWORD_EQTY_200013829_COST_OF_EQUITY_DCF">#REF!</definedName>
    <definedName name="A_KEYWORD_EQTY_200013829_CUM_PRESENT_VAL_CASH_FLOWS_DCF">#REF!</definedName>
    <definedName name="A_KEYWORD_EQTY_200013829_CURRENCY_ISO">#REF!</definedName>
    <definedName name="A_KEYWORD_EQTY_200013829_DCF_CASH_FLOW">#REF!</definedName>
    <definedName name="A_KEYWORD_EQTY_200013829_DEBT_EQUITY">#REF!</definedName>
    <definedName name="A_KEYWORD_EQTY_200013829_DEBT_RISK_MARGIN_DCF">#REF!</definedName>
    <definedName name="A_KEYWORD_EQTY_200013829_DILUTE_SHARES">#REF!</definedName>
    <definedName name="A_KEYWORD_EQTY_200013829_DISCOUNT_FACTOR_DCF">#REF!</definedName>
    <definedName name="A_KEYWORD_EQTY_200013829_DPS">#REF!</definedName>
    <definedName name="A_KEYWORD_EQTY_200013829_DPS_PUB">#REF!</definedName>
    <definedName name="A_KEYWORD_EQTY_200013829_EBIT_PUB">#REF!</definedName>
    <definedName name="A_KEYWORD_EQTY_200013829_EBITDA_PUB">#REF!</definedName>
    <definedName name="A_KEYWORD_EQTY_200013829_EBITDAF">#REF!</definedName>
    <definedName name="A_KEYWORD_EQTY_200013829_EFPO">#REF!</definedName>
    <definedName name="A_KEYWORD_EQTY_200013829_EFPOWA">#REF!</definedName>
    <definedName name="A_KEYWORD_EQTY_200013829_EPS">#REF!</definedName>
    <definedName name="A_KEYWORD_EQTY_200013829_EPS_CONS_PUB">#REF!</definedName>
    <definedName name="A_KEYWORD_EQTY_200013829_EPS_FUL_DIL">#REF!</definedName>
    <definedName name="A_KEYWORD_EQTY_200013829_EPS_POST_BASIC">#REF!</definedName>
    <definedName name="A_KEYWORD_EQTY_200013829_EPS_PRE_GWILL">#REF!</definedName>
    <definedName name="A_KEYWORD_EQTY_200013829_EPS_PUB">#REF!</definedName>
    <definedName name="A_KEYWORD_EQTY_200013829_EPS_REPORTED">#REF!</definedName>
    <definedName name="A_KEYWORD_EQTY_200013829_EQ_PUB">#REF!</definedName>
    <definedName name="A_KEYWORD_EQTY_200013829_EQUITY_VALUE_DCF">#REF!</definedName>
    <definedName name="A_KEYWORD_EQTY_200013829_EV_ADJ_PUB">#REF!</definedName>
    <definedName name="A_KEYWORD_EQTY_200013829_FIN_INSTRUMENT_HEDGE_POST_TAX">#REF!</definedName>
    <definedName name="A_KEYWORD_EQTY_200013829_FINAL_DIV_AMOUNT">#REF!</definedName>
    <definedName name="A_KEYWORD_EQTY_200013829_FINAL_DIV_EXDATE">#REF!</definedName>
    <definedName name="A_KEYWORD_EQTY_200013829_FINAL_DIV_FRANK">#REF!</definedName>
    <definedName name="A_KEYWORD_EQTY_200013829_FINAL_DIV_TAXRATE">#REF!</definedName>
    <definedName name="A_KEYWORD_EQTY_200013829_FOREIGN_EXCHANGE_GAIN_LOSS">#REF!</definedName>
    <definedName name="A_KEYWORD_EQTY_200013829_FOREIGN_HOLDNG">#REF!</definedName>
    <definedName name="A_KEYWORD_EQTY_200013829_FRANK_TAX_RATE">#REF!</definedName>
    <definedName name="A_KEYWORD_EQTY_200013829_FRANKING">#REF!</definedName>
    <definedName name="A_KEYWORD_EQTY_200013829_FRANKING_ANZPUB">#REF!</definedName>
    <definedName name="A_KEYWORD_EQTY_200013829_FREE_FLOAT">#REF!</definedName>
    <definedName name="A_KEYWORD_EQTY_200013829_FULLY_DIL_EPS">#REF!</definedName>
    <definedName name="A_KEYWORD_EQTY_200013829_GWILL_ASSET_IMP_CHG_POST_TAX">#REF!</definedName>
    <definedName name="A_KEYWORD_EQTY_200013829_IMP_CREDITS_PER_SHARE_DCF">#REF!</definedName>
    <definedName name="A_KEYWORD_EQTY_200013829_INC_MINORITY">#REF!</definedName>
    <definedName name="A_KEYWORD_EQTY_200013829_INCTAX_PL_ON_AB">#REF!</definedName>
    <definedName name="A_KEYWORD_EQTY_200013829_INCTAX_PL_POST_AB">#REF!</definedName>
    <definedName name="A_KEYWORD_EQTY_200013829_INT_DIV_AMOUNT">#REF!</definedName>
    <definedName name="A_KEYWORD_EQTY_200013829_INT_DIV_EXDATE">#REF!</definedName>
    <definedName name="A_KEYWORD_EQTY_200013829_INT_DIV_FRANK">#REF!</definedName>
    <definedName name="A_KEYWORD_EQTY_200013829_INT_DIV_TAXRATE">#REF!</definedName>
    <definedName name="A_KEYWORD_EQTY_200013829_Interim_Type">#REF!</definedName>
    <definedName name="A_KEYWORD_EQTY_200013829_INTRINSIC_PER_SHARE_VALUE_DCF">#REF!</definedName>
    <definedName name="A_KEYWORD_EQTY_200013829_LEGAL_RATING">#REF!</definedName>
    <definedName name="A_KEYWORD_EQTY_200013829_MARGIN_TAX_RATE">#REF!</definedName>
    <definedName name="A_KEYWORD_EQTY_200013829_MARKET_VALUE_OF_INVESTMENTS_DCF">#REF!</definedName>
    <definedName name="A_KEYWORD_EQTY_200013829_MKT_EQ_RISK_PREM">#REF!</definedName>
    <definedName name="A_KEYWORD_EQTY_200013829_NET_DEBT_NET_CASH_DCF">#REF!</definedName>
    <definedName name="A_KEYWORD_EQTY_200013829_NET_DEBT_PUB">#REF!</definedName>
    <definedName name="A_KEYWORD_EQTY_200013829_NET_EARNING">#REF!</definedName>
    <definedName name="A_KEYWORD_EQTY_200013829_NET_INC">#REF!</definedName>
    <definedName name="A_KEYWORD_EQTY_200013829_NET_PROFIT">#REF!</definedName>
    <definedName name="A_KEYWORD_EQTY_200013829_NET_TANGIBLE_ASSETS_ADJUSTED_NZ">#REF!</definedName>
    <definedName name="A_KEYWORD_EQTY_200013829_NI_CONS">#REF!</definedName>
    <definedName name="A_KEYWORD_EQTY_200013829_NI_PRE_PREF">#REF!</definedName>
    <definedName name="A_KEYWORD_EQTY_200013829_NI_PUB">#REF!</definedName>
    <definedName name="A_KEYWORD_EQTY_200013829_NI_REPT_PUB">#REF!</definedName>
    <definedName name="A_KEYWORD_EQTY_200013829_NON_OP_ADD">#REF!</definedName>
    <definedName name="A_KEYWORD_EQTY_200013829_NOPAT">#REF!</definedName>
    <definedName name="A_KEYWORD_EQTY_200013829_NTA_PER_SHARE">#REF!</definedName>
    <definedName name="A_KEYWORD_EQTY_200013829_NUM_SH">#REF!</definedName>
    <definedName name="A_KEYWORD_EQTY_200013829_NZ_FRANKING">#REF!</definedName>
    <definedName name="A_KEYWORD_EQTY_200013829_OPPL_ATAX_POST_AB">#REF!</definedName>
    <definedName name="A_KEYWORD_EQTY_200013829_OPPL_ATAX_PRE_AB">#REF!</definedName>
    <definedName name="A_KEYWORD_EQTY_200013829_OPTIONS">#REF!</definedName>
    <definedName name="A_KEYWORD_EQTY_200013829_OTH_ASSET_IMPAIR_CHG_POST_TAX">#REF!</definedName>
    <definedName name="A_KEYWORD_EQTY_200013829_OTHER_ABNORMAL_ITEMS">#REF!</definedName>
    <definedName name="A_KEYWORD_EQTY_200013829_OTHER_CAPITAL">#REF!</definedName>
    <definedName name="A_KEYWORD_EQTY_200013829_OTHER_IFRS_ADJUST_POST_TAX">#REF!</definedName>
    <definedName name="A_KEYWORD_EQTY_200013829_PARTLY_PAID_SHARES">#REF!</definedName>
    <definedName name="A_KEYWORD_EQTY_200013829_PERPETUITY_GROWTH_RATE_DCF">#REF!</definedName>
    <definedName name="A_KEYWORD_EQTY_200013829_PREF_DIV">#REF!</definedName>
    <definedName name="A_KEYWORD_EQTY_200013829_PREFERENCE_SHARES">#REF!</definedName>
    <definedName name="A_KEYWORD_EQTY_200013829_PRESENT_VALUE_OF_CASH_FLOW_DCF">#REF!</definedName>
    <definedName name="A_KEYWORD_EQTY_200013829_PRI_TARG_METH">#REF!</definedName>
    <definedName name="A_KEYWORD_EQTY_200013829_PRI_TARG_MULT">#REF!</definedName>
    <definedName name="A_KEYWORD_EQTY_200013829_PRICE_CURRENCY_ISO">#REF!</definedName>
    <definedName name="A_KEYWORD_EQTY_200013829_PROF_ADJUST_EPS">#REF!</definedName>
    <definedName name="A_KEYWORD_EQTY_200013829_PROV_INC_TAX">#REF!</definedName>
    <definedName name="A_KEYWORD_EQTY_200013829_PTP_PUB">#REF!</definedName>
    <definedName name="A_KEYWORD_EQTY_200013829_PUB_CURRENCY_ISO">#REF!</definedName>
    <definedName name="A_KEYWORD_EQTY_200013829_RESTRUC_COSTS">#REF!</definedName>
    <definedName name="A_KEYWORD_EQTY_200013829_REVS_PUB">#REF!</definedName>
    <definedName name="A_KEYWORD_EQTY_200013829_RISK_ADJ_OPTION_VALUE_DCF">#REF!</definedName>
    <definedName name="A_KEYWORD_EQTY_200013829_RISK_FR_RATE">#REF!</definedName>
    <definedName name="A_KEYWORD_EQTY_200013829_RISK_TO_EARNINGS">#REF!</definedName>
    <definedName name="A_KEYWORD_EQTY_200013829_ROCE_ANZ">#REF!</definedName>
    <definedName name="A_KEYWORD_EQTY_200013829_Security_Name">#REF!</definedName>
    <definedName name="A_KEYWORD_EQTY_200013829_SH">#REF!</definedName>
    <definedName name="A_KEYWORD_EQTY_200013829_SHOLDERS_EQUITY_MBRS">#REF!</definedName>
    <definedName name="A_KEYWORD_EQTY_200013829_STD_FREE_OP_CASH_FLOW_DCF">#REF!</definedName>
    <definedName name="A_KEYWORD_EQTY_200013829_TARGET_PRICE">#REF!</definedName>
    <definedName name="A_KEYWORD_EQTY_200013829_TAX_EXC">#REF!</definedName>
    <definedName name="A_KEYWORD_EQTY_200013829_TAX_RATE_DCF">#REF!</definedName>
    <definedName name="A_KEYWORD_EQTY_200013829_TERMINAL_YEAR_DCF">#REF!</definedName>
    <definedName name="A_KEYWORD_EQTY_200013829_Ticker">#REF!</definedName>
    <definedName name="A_KEYWORD_EQTY_200013829_TOTAL_CAPITAL">#REF!</definedName>
    <definedName name="A_KEYWORD_EQTY_200013829_TOTAL_IFRS_ADJUST_POST_TAX">#REF!</definedName>
    <definedName name="A_KEYWORD_EQTY_200013829_TP_PERIOD">#REF!</definedName>
    <definedName name="A_KEYWORD_EQTY_200013829_WACC_DCF">#REF!</definedName>
    <definedName name="A_KEYWORD_EQTY_200013829_YEAR_END_CAPITAL_EVA">#REF!</definedName>
    <definedName name="A_KEYWORD_ISSR_208010681_ACC_AMORT">#REF!</definedName>
    <definedName name="A_KEYWORD_ISSR_208010681_ACC_DDA">#REF!</definedName>
    <definedName name="A_KEYWORD_ISSR_208010681_ACC_END_DATE">#REF!</definedName>
    <definedName name="A_KEYWORD_ISSR_208010681_ACC_PAY_GQ">#REF!</definedName>
    <definedName name="A_KEYWORD_ISSR_208010681_ACCESS_CONNECTION">#REF!</definedName>
    <definedName name="A_KEYWORD_ISSR_208010681_ACQ">#REF!</definedName>
    <definedName name="A_KEYWORD_ISSR_208010681_ADJ_UNF_PENS_GOOD">#REF!</definedName>
    <definedName name="A_KEYWORD_ISSR_208010681_AMORT_OF_INTANGIBLES">#REF!</definedName>
    <definedName name="A_KEYWORD_ISSR_208010681_AMORT_OF_INTANGIBLES_ADJ">#REF!</definedName>
    <definedName name="A_KEYWORD_ISSR_208010681_ASSOC_JV_ADDBK">#REF!</definedName>
    <definedName name="A_KEYWORD_ISSR_208010681_ASSOCIATE">#REF!</definedName>
    <definedName name="A_KEYWORD_ISSR_208010681_ASSOCIATE_OP">#REF!</definedName>
    <definedName name="A_KEYWORD_ISSR_208010681_AVG_CAPITAL_EMPLOYED_ADJ">#REF!</definedName>
    <definedName name="A_KEYWORD_ISSR_208010681_BAL_MINO_INT">#REF!</definedName>
    <definedName name="A_KEYWORD_ISSR_208010681_BAL_OF_FRANK_CREDITS">#REF!</definedName>
    <definedName name="A_KEYWORD_ISSR_208010681_BANK_ODRAFT">#REF!</definedName>
    <definedName name="A_KEYWORD_ISSR_208010681_BORROWINGS">#REF!</definedName>
    <definedName name="A_KEYWORD_ISSR_208010681_CAP_LEASES">#REF!</definedName>
    <definedName name="A_KEYWORD_ISSR_208010681_CAPEX">#REF!</definedName>
    <definedName name="A_KEYWORD_ISSR_208010681_CAPEX_EXPANSION">#REF!</definedName>
    <definedName name="A_KEYWORD_ISSR_208010681_CAPEX_MAINTENANCE">#REF!</definedName>
    <definedName name="A_KEYWORD_ISSR_208010681_CASH_EQ">#REF!</definedName>
    <definedName name="A_KEYWORD_ISSR_208010681_CASH_INT_EXP">#REF!</definedName>
    <definedName name="A_KEYWORD_ISSR_208010681_CASH_TAX_EXP">#REF!</definedName>
    <definedName name="A_KEYWORD_ISSR_208010681_CF_FIN">#REF!</definedName>
    <definedName name="A_KEYWORD_ISSR_208010681_CF_FX">#REF!</definedName>
    <definedName name="A_KEYWORD_ISSR_208010681_CF_INC_MINORITY">#REF!</definedName>
    <definedName name="A_KEYWORD_ISSR_208010681_CF_INV">#REF!</definedName>
    <definedName name="A_KEYWORD_ISSR_208010681_CF_INV_MISC">#REF!</definedName>
    <definedName name="A_KEYWORD_ISSR_208010681_CF_OPS">#REF!</definedName>
    <definedName name="A_KEYWORD_ISSR_208010681_CF_OPS_MISC">#REF!</definedName>
    <definedName name="A_KEYWORD_ISSR_208010681_CHG_LT_DEBT">#REF!</definedName>
    <definedName name="A_KEYWORD_ISSR_208010681_CO_BOR_MARGIN">#REF!</definedName>
    <definedName name="A_KEYWORD_ISSR_208010681_COST_GD_SD">#REF!</definedName>
    <definedName name="A_KEYWORD_ISSR_208010681_COST_OF_DEBT_DCF">#REF!</definedName>
    <definedName name="A_KEYWORD_ISSR_208010681_CUR_ASS">#REF!</definedName>
    <definedName name="A_KEYWORD_ISSR_208010681_CUR_ASS_MISC">#REF!</definedName>
    <definedName name="A_KEYWORD_ISSR_208010681_CUR_LIABS_MISC">#REF!</definedName>
    <definedName name="A_KEYWORD_ISSR_208010681_CURRENCY_ISO">#REF!</definedName>
    <definedName name="A_KEYWORD_ISSR_208010681_CUSTOMER_RECEIPTS">#REF!</definedName>
    <definedName name="A_KEYWORD_ISSR_208010681_DEBT_TO_EQUITY_MKT_VALUES_DCF">#REF!</definedName>
    <definedName name="A_KEYWORD_ISSR_208010681_DEBTORS">#REF!</definedName>
    <definedName name="A_KEYWORD_ISSR_208010681_DEF_INC_TAX">#REF!</definedName>
    <definedName name="A_KEYWORD_ISSR_208010681_DEFINED_BENEFIT_OBLIGATION">#REF!</definedName>
    <definedName name="A_KEYWORD_ISSR_208010681_DEFINED_BENEFIT_SURPLUS">#REF!</definedName>
    <definedName name="A_KEYWORD_ISSR_208010681_DEPR_AMORT">#REF!</definedName>
    <definedName name="A_KEYWORD_ISSR_208010681_DEPREC">#REF!</definedName>
    <definedName name="A_KEYWORD_ISSR_208010681_DIV_PAID">#REF!</definedName>
    <definedName name="A_KEYWORD_ISSR_208010681_DIVDS_ASSOC_JV">#REF!</definedName>
    <definedName name="A_KEYWORD_ISSR_208010681_DIVDS_PD_MINORITIES">#REF!</definedName>
    <definedName name="A_KEYWORD_ISSR_208010681_DIVEST">#REF!</definedName>
    <definedName name="A_KEYWORD_ISSR_208010681_DIVIDENDS_RECEIVED">#REF!</definedName>
    <definedName name="A_KEYWORD_ISSR_208010681_EBIT">#REF!</definedName>
    <definedName name="A_KEYWORD_ISSR_208010681_EBIT_CONSOLIDATED">#REF!</definedName>
    <definedName name="A_KEYWORD_ISSR_208010681_EBIT_CONSOLIDATED_PRE_ASSOC">#REF!</definedName>
    <definedName name="A_KEYWORD_ISSR_208010681_EBITDA_CALC">#REF!</definedName>
    <definedName name="A_KEYWORD_ISSR_208010681_EBITDA_CONSOLIDATED">#REF!</definedName>
    <definedName name="A_KEYWORD_ISSR_208010681_EMPLOYEES">#REF!</definedName>
    <definedName name="A_KEYWORD_ISSR_208010681_EQ">#REF!</definedName>
    <definedName name="A_KEYWORD_ISSR_208010681_EXP_COPPER">#REF!</definedName>
    <definedName name="A_KEYWORD_ISSR_208010681_EXP_OTH_COMMODITY">#REF!</definedName>
    <definedName name="A_KEYWORD_ISSR_208010681_EXP_OTH_COST">#REF!</definedName>
    <definedName name="A_KEYWORD_ISSR_208010681_EXP_STEEL">#REF!</definedName>
    <definedName name="A_KEYWORD_ISSR_208010681_EXP_ZINC">#REF!</definedName>
    <definedName name="A_KEYWORD_ISSR_208010681_FIN_INSTR_HEDGE_CURR_LIABILITY">#REF!</definedName>
    <definedName name="A_KEYWORD_ISSR_208010681_FIN_INSTR_HEDGE_CURRENT">#REF!</definedName>
    <definedName name="A_KEYWORD_ISSR_208010681_FIN_INSTR_HEDGE_NON_CURR_LIAB">#REF!</definedName>
    <definedName name="A_KEYWORD_ISSR_208010681_FIN_INSTR_HEDGE_NON_CURRENT">#REF!</definedName>
    <definedName name="A_KEYWORD_ISSR_208010681_FIN_INSTRUMENT_HEDGE_PRE_TAX">#REF!</definedName>
    <definedName name="A_KEYWORD_ISSR_208010681_FIX_ASS_INV">#REF!</definedName>
    <definedName name="A_KEYWORD_ISSR_208010681_GCI_INFL">#REF!</definedName>
    <definedName name="A_KEYWORD_ISSR_208010681_GOODWILL_AMORT">#REF!</definedName>
    <definedName name="A_KEYWORD_ISSR_208010681_GOODWILL_NET_AMNT">#REF!</definedName>
    <definedName name="A_KEYWORD_ISSR_208010681_GR_FIX_ASS">#REF!</definedName>
    <definedName name="A_KEYWORD_ISSR_208010681_GR_INTANG">#REF!</definedName>
    <definedName name="A_KEYWORD_ISSR_208010681_GWILL_ASSET_IMPAIR_CHG_PRE_TAX">#REF!</definedName>
    <definedName name="A_KEYWORD_ISSR_208010681_INT_EXP_IND">#REF!</definedName>
    <definedName name="A_KEYWORD_ISSR_208010681_INT_INC_IND">#REF!</definedName>
    <definedName name="A_KEYWORD_ISSR_208010681_INT_OTHERS_RECEIVED">#REF!</definedName>
    <definedName name="A_KEYWORD_ISSR_208010681_INV_SECUR">#REF!</definedName>
    <definedName name="A_KEYWORD_ISSR_208010681_INVESTMENTS">#REF!</definedName>
    <definedName name="A_KEYWORD_ISSR_208010681_Issuer_Name">#REF!</definedName>
    <definedName name="A_KEYWORD_ISSR_208010681_LABOUR">#REF!</definedName>
    <definedName name="A_KEYWORD_ISSR_208010681_LAND_BUILDINGS">#REF!</definedName>
    <definedName name="A_KEYWORD_ISSR_208010681_LEASE_DEEM_DEPR">#REF!</definedName>
    <definedName name="A_KEYWORD_ISSR_208010681_LEASE_DEEM_INT">#REF!</definedName>
    <definedName name="A_KEYWORD_ISSR_208010681_LEASE_PAY">#REF!</definedName>
    <definedName name="A_KEYWORD_ISSR_208010681_LOAN_REPAID_OTHER_ENTS">#REF!</definedName>
    <definedName name="A_KEYWORD_ISSR_208010681_LOANS_OTHER_ENTITIES">#REF!</definedName>
    <definedName name="A_KEYWORD_ISSR_208010681_LT_DEBT">#REF!</definedName>
    <definedName name="A_KEYWORD_ISSR_208010681_MARKETING_ADVERTISNIG">#REF!</definedName>
    <definedName name="A_KEYWORD_ISSR_208010681_MINORITIES">#REF!</definedName>
    <definedName name="A_KEYWORD_ISSR_208010681_MV_ASSOCIATES">#REF!</definedName>
    <definedName name="A_KEYWORD_ISSR_208010681_MV_CONVERTIBLE_NOTES">#REF!</definedName>
    <definedName name="A_KEYWORD_ISSR_208010681_MV_NET_OTHER_STAKEHOLDERS">#REF!</definedName>
    <definedName name="A_KEYWORD_ISSR_208010681_NCASSET_INVENTORIES">#REF!</definedName>
    <definedName name="A_KEYWORD_ISSR_208010681_NCASSET_INVESTMENT">#REF!</definedName>
    <definedName name="A_KEYWORD_ISSR_208010681_NCASSET_MISC">#REF!</definedName>
    <definedName name="A_KEYWORD_ISSR_208010681_NCASSET_RECEIVABLES">#REF!</definedName>
    <definedName name="A_KEYWORD_ISSR_208010681_NCASSET_TRADE_DEBTORS">#REF!</definedName>
    <definedName name="A_KEYWORD_ISSR_208010681_NCLIAB_MISC">#REF!</definedName>
    <definedName name="A_KEYWORD_ISSR_208010681_NCLIAB_OTHER_CREDITORS">#REF!</definedName>
    <definedName name="A_KEYWORD_ISSR_208010681_NCLIAB_PROVISIONS">#REF!</definedName>
    <definedName name="A_KEYWORD_ISSR_208010681_NCLIAB_TRADE_CREDITORS">#REF!</definedName>
    <definedName name="A_KEYWORD_ISSR_208010681_NET_ASSETS">#REF!</definedName>
    <definedName name="A_KEYWORD_ISSR_208010681_NET_DEBT">#REF!</definedName>
    <definedName name="A_KEYWORD_ISSR_208010681_NET_DEBT_ADJ">#REF!</definedName>
    <definedName name="A_KEYWORD_ISSR_208010681_NET_FIX_ASS">#REF!</definedName>
    <definedName name="A_KEYWORD_ISSR_208010681_NET_INT_CH">#REF!</definedName>
    <definedName name="A_KEYWORD_ISSR_208010681_NET_INT_EXP">#REF!</definedName>
    <definedName name="A_KEYWORD_ISSR_208010681_NET_INTANG">#REF!</definedName>
    <definedName name="A_KEYWORD_ISSR_208010681_NET_TANGIBLE_ASSETS">#REF!</definedName>
    <definedName name="A_KEYWORD_ISSR_208010681_NONPPE_CAPEX">#REF!</definedName>
    <definedName name="A_KEYWORD_ISSR_208010681_OP_COST">#REF!</definedName>
    <definedName name="A_KEYWORD_ISSR_208010681_OPPL_BTAX_EX_ASSOC">#REF!</definedName>
    <definedName name="A_KEYWORD_ISSR_208010681_OPPL_BTAX_POST_AB">#REF!</definedName>
    <definedName name="A_KEYWORD_ISSR_208010681_ORD_SH_FUND">#REF!</definedName>
    <definedName name="A_KEYWORD_ISSR_208010681_ORD_SHARE_CAPITAL">#REF!</definedName>
    <definedName name="A_KEYWORD_ISSR_208010681_OTH_COST_INC">#REF!</definedName>
    <definedName name="A_KEYWORD_ISSR_208010681_OTH_CUR_ASS">#REF!</definedName>
    <definedName name="A_KEYWORD_ISSR_208010681_OTH_CUR_LIABS">#REF!</definedName>
    <definedName name="A_KEYWORD_ISSR_208010681_OTH_DACF_ADJ">#REF!</definedName>
    <definedName name="A_KEYWORD_ISSR_208010681_OTH_FIN_CF">#REF!</definedName>
    <definedName name="A_KEYWORD_ISSR_208010681_OTH_GCI_ADJ">#REF!</definedName>
    <definedName name="A_KEYWORD_ISSR_208010681_OTH_INV_CF">#REF!</definedName>
    <definedName name="A_KEYWORD_ISSR_208010681_OTH_LT_ASS">#REF!</definedName>
    <definedName name="A_KEYWORD_ISSR_208010681_OTH_LT_CRED_GQ">#REF!</definedName>
    <definedName name="A_KEYWORD_ISSR_208010681_OTH_NONCASH_ADJ">#REF!</definedName>
    <definedName name="A_KEYWORD_ISSR_208010681_OTH_OP_CF">#REF!</definedName>
    <definedName name="A_KEYWORD_ISSR_208010681_OTH_OP_INC_EXP">#REF!</definedName>
    <definedName name="A_KEYWORD_ISSR_208010681_OTHER_ASSET_IMPAIR_CHG_PRE_TAX">#REF!</definedName>
    <definedName name="A_KEYWORD_ISSR_208010681_OTHER_CREDITORS">#REF!</definedName>
    <definedName name="A_KEYWORD_ISSR_208010681_OTHER_IFRS_ADJUST_PRE_TAX">#REF!</definedName>
    <definedName name="A_KEYWORD_ISSR_208010681_OTHER_INTANGIBLES_DEPREC">#REF!</definedName>
    <definedName name="A_KEYWORD_ISSR_208010681_OTHER_INTANGIBLES_NON_DEPREC">#REF!</definedName>
    <definedName name="A_KEYWORD_ISSR_208010681_OTHER_RECEIVABLES">#REF!</definedName>
    <definedName name="A_KEYWORD_ISSR_208010681_OTHER_REVENUE">#REF!</definedName>
    <definedName name="A_KEYWORD_ISSR_208010681_PERIOD_MILESTONE">#REF!</definedName>
    <definedName name="A_KEYWORD_ISSR_208010681_PERSONNEL">#REF!</definedName>
    <definedName name="A_KEYWORD_ISSR_208010681_PL_BTAX_ON_AB">#REF!</definedName>
    <definedName name="A_KEYWORD_ISSR_208010681_PL_SALE_ASSETS">#REF!</definedName>
    <definedName name="A_KEYWORD_ISSR_208010681_PLANT_EQUIP">#REF!</definedName>
    <definedName name="A_KEYWORD_ISSR_208010681_PREF_SH">#REF!</definedName>
    <definedName name="A_KEYWORD_ISSR_208010681_PROCEEDS_BORROWINGS">#REF!</definedName>
    <definedName name="A_KEYWORD_ISSR_208010681_PROCEEDS_NCASSET">#REF!</definedName>
    <definedName name="A_KEYWORD_ISSR_208010681_PROCEEDS_PURCH_OPER_BUS">#REF!</definedName>
    <definedName name="A_KEYWORD_ISSR_208010681_PROCEEDS_SALE_EQUITY_INV">#REF!</definedName>
    <definedName name="A_KEYWORD_ISSR_208010681_PROCEEDS_SALE_OPER_BUS">#REF!</definedName>
    <definedName name="A_KEYWORD_ISSR_208010681_PROFIT_DEFBEN_PLAN_POST_TAX">#REF!</definedName>
    <definedName name="A_KEYWORD_ISSR_208010681_PROFIT_DEFBEN_PLAN_PRE_TAX">#REF!</definedName>
    <definedName name="A_KEYWORD_ISSR_208010681_PROFIT_ON_DISP">#REF!</definedName>
    <definedName name="A_KEYWORD_ISSR_208010681_PROVISIONS">#REF!</definedName>
    <definedName name="A_KEYWORD_ISSR_208010681_PT_PROF">#REF!</definedName>
    <definedName name="A_KEYWORD_ISSR_208010681_PURCH_EQUITY_INVESTS">#REF!</definedName>
    <definedName name="A_KEYWORD_ISSR_208010681_R_AND_D_CAP">#REF!</definedName>
    <definedName name="A_KEYWORD_ISSR_208010681_RD_EXP">#REF!</definedName>
    <definedName name="A_KEYWORD_ISSR_208010681_REPAY_BORROWINGS">#REF!</definedName>
    <definedName name="A_KEYWORD_ISSR_208010681_RESERVES">#REF!</definedName>
    <definedName name="A_KEYWORD_ISSR_208010681_RETAIN_PROFIT_LOSS">#REF!</definedName>
    <definedName name="A_KEYWORD_ISSR_208010681_SALE_PROP_PLANT_EQUIP">#REF!</definedName>
    <definedName name="A_KEYWORD_ISSR_208010681_SALES">#REF!</definedName>
    <definedName name="A_KEYWORD_ISSR_208010681_SALES_AUSTRA">#REF!</definedName>
    <definedName name="A_KEYWORD_ISSR_208010681_SALES_BRAZIL">#REF!</definedName>
    <definedName name="A_KEYWORD_ISSR_208010681_SALES_CEE">#REF!</definedName>
    <definedName name="A_KEYWORD_ISSR_208010681_SALES_CHINA">#REF!</definedName>
    <definedName name="A_KEYWORD_ISSR_208010681_SALES_CONS">#REF!</definedName>
    <definedName name="A_KEYWORD_ISSR_208010681_SALES_EU_EX_UK">#REF!</definedName>
    <definedName name="A_KEYWORD_ISSR_208010681_SALES_FINAN">#REF!</definedName>
    <definedName name="A_KEYWORD_ISSR_208010681_SALES_FX_AUD">#REF!</definedName>
    <definedName name="A_KEYWORD_ISSR_208010681_SALES_FX_BRL">#REF!</definedName>
    <definedName name="A_KEYWORD_ISSR_208010681_SALES_FX_CNY">#REF!</definedName>
    <definedName name="A_KEYWORD_ISSR_208010681_SALES_FX_EUR">#REF!</definedName>
    <definedName name="A_KEYWORD_ISSR_208010681_SALES_FX_GPB">#REF!</definedName>
    <definedName name="A_KEYWORD_ISSR_208010681_SALES_FX_INR">#REF!</definedName>
    <definedName name="A_KEYWORD_ISSR_208010681_SALES_FX_NZD">#REF!</definedName>
    <definedName name="A_KEYWORD_ISSR_208010681_SALES_FX_OTH">#REF!</definedName>
    <definedName name="A_KEYWORD_ISSR_208010681_SALES_FX_RUB">#REF!</definedName>
    <definedName name="A_KEYWORD_ISSR_208010681_SALES_FX_USD">#REF!</definedName>
    <definedName name="A_KEYWORD_ISSR_208010681_SALES_FX_YEN">#REF!</definedName>
    <definedName name="A_KEYWORD_ISSR_208010681_SALES_GOV">#REF!</definedName>
    <definedName name="A_KEYWORD_ISSR_208010681_SALES_IND">#REF!</definedName>
    <definedName name="A_KEYWORD_ISSR_208010681_SALES_INDIA">#REF!</definedName>
    <definedName name="A_KEYWORD_ISSR_208010681_SALES_JAPAN">#REF!</definedName>
    <definedName name="A_KEYWORD_ISSR_208010681_SALES_ME">#REF!</definedName>
    <definedName name="A_KEYWORD_ISSR_208010681_SALES_NZ">#REF!</definedName>
    <definedName name="A_KEYWORD_ISSR_208010681_SALES_OTH_AEJ">#REF!</definedName>
    <definedName name="A_KEYWORD_ISSR_208010681_SALES_OTH_AM">#REF!</definedName>
    <definedName name="A_KEYWORD_ISSR_208010681_SALES_OTH_EMEA">#REF!</definedName>
    <definedName name="A_KEYWORD_ISSR_208010681_SALES_OTHER">#REF!</definedName>
    <definedName name="A_KEYWORD_ISSR_208010681_SALES_RUSSIA">#REF!</definedName>
    <definedName name="A_KEYWORD_ISSR_208010681_SALES_TOT_AFRICA">#REF!</definedName>
    <definedName name="A_KEYWORD_ISSR_208010681_SALES_TOT_AM">#REF!</definedName>
    <definedName name="A_KEYWORD_ISSR_208010681_SALES_TOT_ASIA">#REF!</definedName>
    <definedName name="A_KEYWORD_ISSR_208010681_SALES_TOT_EMEA">#REF!</definedName>
    <definedName name="A_KEYWORD_ISSR_208010681_SALES_UK">#REF!</definedName>
    <definedName name="A_KEYWORD_ISSR_208010681_SALES_US">#REF!</definedName>
    <definedName name="A_KEYWORD_ISSR_208010681_SEL_GL_AD">#REF!</definedName>
    <definedName name="A_KEYWORD_ISSR_208010681_SEL_GL_AD_OTHER">#REF!</definedName>
    <definedName name="A_KEYWORD_ISSR_208010681_SH_REPUR">#REF!</definedName>
    <definedName name="A_KEYWORD_ISSR_208010681_SHARE_BASED_PAYMENTS">#REF!</definedName>
    <definedName name="A_KEYWORD_ISSR_208010681_SHORT_T_DEBT">#REF!</definedName>
    <definedName name="A_KEYWORD_ISSR_208010681_SHORT_TERM_LIABS">#REF!</definedName>
    <definedName name="A_KEYWORD_ISSR_208010681_STOCKS">#REF!</definedName>
    <definedName name="A_KEYWORD_ISSR_208010681_SUPPLIER_EMPLOYEE_PAYS">#REF!</definedName>
    <definedName name="A_KEYWORD_ISSR_208010681_TOT_ASSET">#REF!</definedName>
    <definedName name="A_KEYWORD_ISSR_208010681_TOT_CF">#REF!</definedName>
    <definedName name="A_KEYWORD_ISSR_208010681_TOT_LIAB">#REF!</definedName>
    <definedName name="A_KEYWORD_ISSR_208010681_TOT_LIAB_EQ">#REF!</definedName>
    <definedName name="A_KEYWORD_ISSR_208010681_TOT_LT_LIAB">#REF!</definedName>
    <definedName name="A_KEYWORD_ISSR_208010681_TOT_OPS_EXP">#REF!</definedName>
    <definedName name="A_KEYWORD_ISSR_208010681_TOT_OPS_EXP_DDA">#REF!</definedName>
    <definedName name="A_KEYWORD_ISSR_208010681_TOTAL_CAPITAL_EMPLOYED_ADJ">#REF!</definedName>
    <definedName name="A_KEYWORD_ISSR_208010681_TOTAL_DEPREC_AMORT">#REF!</definedName>
    <definedName name="A_KEYWORD_ISSR_208010681_TOTAL_IFRS_ADJUST_PRE_TAX">#REF!</definedName>
    <definedName name="A_KEYWORD_ISSR_208010681_TOTAL_NONCURR_ASSETS">#REF!</definedName>
    <definedName name="A_KEYWORD_ISSR_208010681_TOTAL_OPR_REVENUE">#REF!</definedName>
    <definedName name="A_KEYWORD_ISSR_208010681_TV_LICENCES_MASTERHEADS">#REF!</definedName>
    <definedName name="A_KEYWORD_ISSR_208010681_UNF_PENS">#REF!</definedName>
    <definedName name="A_KEYWORD_ISSR_208010681_UNF_PENS_LIAB_OTH">#REF!</definedName>
    <definedName name="A_KEYWORD_ISSR_208010681_UNF_PENS_OFF">#REF!</definedName>
    <definedName name="A_KEYWORD_ISSR_208010681_WORK_CAP">#REF!</definedName>
    <definedName name="A_LIVEDATA_EQTY_200013829">#REF!</definedName>
    <definedName name="A_LIVEDATA_ISSR_208010681">#REF!</definedName>
    <definedName name="A_PERIOD_2006">#REF!</definedName>
    <definedName name="A_PERIOD_2007">#REF!</definedName>
    <definedName name="A_PERIOD_2008">#REF!</definedName>
    <definedName name="A_PERIOD_2009">#REF!</definedName>
    <definedName name="A_PERIOD_2010">#REF!</definedName>
    <definedName name="A_PERIOD_2011">#REF!</definedName>
    <definedName name="A_PERIOD_2012">#REF!</definedName>
    <definedName name="A_PERIOD_2013">#REF!</definedName>
    <definedName name="A_PERIOD_2013_H1">#REF!</definedName>
    <definedName name="A_PERIOD_2013_H2">#REF!</definedName>
    <definedName name="A_PERIOD_2014">#REF!</definedName>
    <definedName name="A_PERIOD_2014_H1">#REF!</definedName>
    <definedName name="A_PERIOD_2015">#REF!</definedName>
    <definedName name="A_PERIOD_2016">#REF!</definedName>
    <definedName name="A_PERIOD_2017">#REF!</definedName>
    <definedName name="A_SECTION_EQTY_200013829_1314">#REF!</definedName>
    <definedName name="A_SECTION_EQTY_200013829_1316A">#REF!</definedName>
    <definedName name="A_SECTION_EQTY_200013829_1316B">#REF!</definedName>
    <definedName name="A_SECTION_EQTY_200013829_1316C">#REF!</definedName>
    <definedName name="A_SECTION_EQTY_200013829_1316D">#REF!</definedName>
    <definedName name="A_SECTION_EQTY_200013829_1316E">#REF!</definedName>
    <definedName name="A_SECTION_EQTY_200013829_131E">#REF!</definedName>
    <definedName name="A_SECTION_EQTY_200013829_131O">#REF!</definedName>
    <definedName name="A_SECTION_EQTY_200013829_13A">#REF!</definedName>
    <definedName name="A_SECTION_EQTY_200013829_13K">#REF!</definedName>
    <definedName name="A_SECTION_EQTY_200013829_13U">#REF!</definedName>
    <definedName name="A_SECTION_EQTY_200013829_13V">#REF!</definedName>
    <definedName name="A_SECTION_EQTY_200013829_Reference_Data">#REF!</definedName>
    <definedName name="A_SECTION_ISSR_208010681_1314">#REF!</definedName>
    <definedName name="A_SECTION_ISSR_208010681_13168">#REF!</definedName>
    <definedName name="A_SECTION_ISSR_208010681_1316B">#REF!</definedName>
    <definedName name="A_SECTION_ISSR_208010681_1316C">#REF!</definedName>
    <definedName name="A_SECTION_ISSR_208010681_1316D">#REF!</definedName>
    <definedName name="A_SECTION_ISSR_208010681_1316E">#REF!</definedName>
    <definedName name="A_SECTION_ISSR_208010681_1316T">#REF!</definedName>
    <definedName name="A_SECTION_ISSR_208010681_1316U">#REF!</definedName>
    <definedName name="A_SECTION_ISSR_208010681_1319">#REF!</definedName>
    <definedName name="A_SECTION_ISSR_208010681_131E">#REF!</definedName>
    <definedName name="A_SECTION_ISSR_208010681_131J">#REF!</definedName>
    <definedName name="A_SECTION_ISSR_208010681_131O">#REF!</definedName>
    <definedName name="A_SECTION_ISSR_208010681_13U">#REF!</definedName>
    <definedName name="A_SECTION_ISSR_208010681_13V">#REF!</definedName>
    <definedName name="A_SECTION_ISSR_208010681_Reference_Data">#REF!</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normal_items_after_tax">MODEL!$62:$62</definedName>
    <definedName name="ACC_DDA">#REF!</definedName>
    <definedName name="AccAmortIntang">#REF!</definedName>
    <definedName name="AccDepn">#REF!</definedName>
    <definedName name="Accumulated_amortisation">#REF!</definedName>
    <definedName name="Accumulated_depreciation">#REF!</definedName>
    <definedName name="Acquisitions">MODEL!$98:$98</definedName>
    <definedName name="ACwvu.bal_98." hidden="1">#REF!</definedName>
    <definedName name="ACwvu.Detail." hidden="1">#REF!</definedName>
    <definedName name="ACwvu.Forestry." hidden="1">#REF!</definedName>
    <definedName name="ACwvu.Full_Year." hidden="1">#REF!</definedName>
    <definedName name="ACwvu.Merch_Summary." hidden="1">#REF!</definedName>
    <definedName name="ACwvu.Print_1999." localSheetId="13" hidden="1">MODEL!#REF!</definedName>
    <definedName name="ACwvu.Print_1999." localSheetId="14" hidden="1">Segments!#REF!</definedName>
    <definedName name="ACwvu.Print_2001." localSheetId="13" hidden="1">MODEL!#REF!</definedName>
    <definedName name="ACwvu.Print_2001." localSheetId="14" hidden="1">Segments!#REF!</definedName>
    <definedName name="ACwvu.Summary." hidden="1">#REF!</definedName>
    <definedName name="ACwvu.Warehouse." hidden="1">#REF!</definedName>
    <definedName name="Administration_costs">#REF!</definedName>
    <definedName name="ALC_C_2014">#REF!</definedName>
    <definedName name="ALC_C_2015">#REF!</definedName>
    <definedName name="ALC_C_2016">#REF!</definedName>
    <definedName name="ALC_C_2017">#REF!</definedName>
    <definedName name="ALC_C_2018">#REF!</definedName>
    <definedName name="ALC_C_2019">#REF!</definedName>
    <definedName name="ALC_C_2020">#REF!</definedName>
    <definedName name="ALC_C_EBIT">#REF!</definedName>
    <definedName name="Americas_EBIT">#REF!</definedName>
    <definedName name="Amort_Lease">#REF!</definedName>
    <definedName name="Amortisation">MODEL!$90:$90</definedName>
    <definedName name="anscount" hidden="1">1</definedName>
    <definedName name="ANZ_EBIT">#REF!</definedName>
    <definedName name="ANZ_Sales">#REF!</definedName>
    <definedName name="Asia_2011">#REF!</definedName>
    <definedName name="Asia_2012">#REF!</definedName>
    <definedName name="Asia_2013">#REF!</definedName>
    <definedName name="Asia_2014">#REF!</definedName>
    <definedName name="Asia_2015">#REF!</definedName>
    <definedName name="Asia_2016">#REF!</definedName>
    <definedName name="Asia_2017">#REF!</definedName>
    <definedName name="Asia_2018">#REF!</definedName>
    <definedName name="Asia_EBIT">#REF!</definedName>
    <definedName name="Asia_sales">#REF!</definedName>
    <definedName name="Asset_sales">MODEL!$99:$99</definedName>
    <definedName name="Asset_sales_profit">#REF!</definedName>
    <definedName name="Assets">#REF!</definedName>
    <definedName name="Associates">MODEL!$55:$55</definedName>
    <definedName name="AU_2014">#REF!</definedName>
    <definedName name="AU_2015">#REF!</definedName>
    <definedName name="AU_2016">#REF!</definedName>
    <definedName name="AU_2017">#REF!</definedName>
    <definedName name="AU_2018">#REF!</definedName>
    <definedName name="AU_2019">#REF!</definedName>
    <definedName name="AU_2020">#REF!</definedName>
    <definedName name="AU_EBIT">#REF!</definedName>
    <definedName name="AU_Volume">#REF!</definedName>
    <definedName name="AUDEUR">#REF!</definedName>
    <definedName name="AUDGBP">#REF!</definedName>
    <definedName name="AUDUSD">#REF!</definedName>
    <definedName name="AusEBIT">#REF!</definedName>
    <definedName name="AusSales">#REF!</definedName>
    <definedName name="Aust_Risk_Free">#REF!</definedName>
    <definedName name="BETA">#REF!</definedName>
    <definedName name="BeyondFCF">#REF!</definedName>
    <definedName name="Big_w_EBIT">#REF!</definedName>
    <definedName name="Borrowings_current">MODEL!$156:$156</definedName>
    <definedName name="Borrowings_incurred">#REF!</definedName>
    <definedName name="Borrowings_incurred_repaid">MODEL!$103:$103</definedName>
    <definedName name="Borrowings_non_current">MODEL!$165:$165</definedName>
    <definedName name="Bottlers_Agreements">#REF!</definedName>
    <definedName name="BS_Total_CA">#REF!</definedName>
    <definedName name="BVPS">#REF!</definedName>
    <definedName name="Capex">MODEL!$97:$97</definedName>
    <definedName name="Cash">MODEL!$133:$133</definedName>
    <definedName name="CashFlowFX">#REF!</definedName>
    <definedName name="CF_FX_Adj">#REF!</definedName>
    <definedName name="CF_Net_Interest_Exp">#REF!</definedName>
    <definedName name="CFPS">MODEL!$215:$215</definedName>
    <definedName name="CFS_2014">#REF!</definedName>
    <definedName name="CFS_2015">#REF!</definedName>
    <definedName name="CFS_2016">#REF!</definedName>
    <definedName name="CFS_2017">#REF!</definedName>
    <definedName name="CFS_2018">#REF!</definedName>
    <definedName name="CFS_2019">#REF!</definedName>
    <definedName name="CFS_2020">#REF!</definedName>
    <definedName name="CFS_EBIT">#REF!</definedName>
    <definedName name="Change_in_cash">#REF!</definedName>
    <definedName name="Change_in_working_capital">MODEL!$190:$190</definedName>
    <definedName name="Closing_issued_shares">#REF!</definedName>
    <definedName name="CODB_EX_DA">#REF!</definedName>
    <definedName name="COGS">#REF!</definedName>
    <definedName name="COGS_ROW">#REF!</definedName>
    <definedName name="COGS_US">#REF!</definedName>
    <definedName name="Converting_preference_dividends">#REF!</definedName>
    <definedName name="Converting_preference_shares">#REF!</definedName>
    <definedName name="corp_EBIT">#REF!</definedName>
    <definedName name="Corporate">#REF!</definedName>
    <definedName name="CostDebt">#REF!</definedName>
    <definedName name="CostEquity">#REF!</definedName>
    <definedName name="Creditors_turnover">MODEL!$195:$195</definedName>
    <definedName name="Currency_swaps">#REF!</definedName>
    <definedName name="Current_assets">#REF!</definedName>
    <definedName name="Current_borrowings">#REF!</definedName>
    <definedName name="Current_investments">#REF!</definedName>
    <definedName name="Current_liabs">#REF!</definedName>
    <definedName name="Current_provisions">#REF!</definedName>
    <definedName name="Cwvu.Full_Year." hidden="1">#REF!</definedName>
    <definedName name="Cwvu.Summary." hidden="1">#REF!,#REF!,#REF!,#REF!</definedName>
    <definedName name="Dates">OFFSET(#REF!,0,0,1,COUNT(#REF!))</definedName>
    <definedName name="DCF_BASE">#REF!</definedName>
    <definedName name="DCF_INF">#REF!</definedName>
    <definedName name="DCF_OPTION">#REF!</definedName>
    <definedName name="DCF_Result">#REF!</definedName>
    <definedName name="DCF_VAL">Valuation!$I$24</definedName>
    <definedName name="DDE">#REF!</definedName>
    <definedName name="Debt_equity">MODEL!$216:$216</definedName>
    <definedName name="Debtors_turnover">MODEL!$193:$193</definedName>
    <definedName name="Deferred_income_tax_provision">MODEL!$167:$167</definedName>
    <definedName name="DepAmortExp_01">#REF!</definedName>
    <definedName name="Depn_and_Amortn">#REF!</definedName>
    <definedName name="Depreciation">MODEL!$88:$88</definedName>
    <definedName name="Depreciation___amortisation">MODEL!$225:$225</definedName>
    <definedName name="Depreciation_amortisation">MODEL!$225:$225</definedName>
    <definedName name="Distr_EBIT" localSheetId="14">Segments!$84:$84</definedName>
    <definedName name="distr_sales" localSheetId="14">Segments!$77:$77</definedName>
    <definedName name="distribution" localSheetId="14">Segments!$77:$77</definedName>
    <definedName name="distribution_sales" localSheetId="14">Segments!$77:$77</definedName>
    <definedName name="Dividend_income">#REF!</definedName>
    <definedName name="Dividend_payout">MODEL!$74:$74</definedName>
    <definedName name="Dividends_paid">MODEL!$105:$105</definedName>
    <definedName name="Dividends_received_from_associates">#REF!</definedName>
    <definedName name="Dividends_received_from_other_investments">#REF!</definedName>
    <definedName name="Dotti_EBITA">#REF!</definedName>
    <definedName name="Dotti_Stores">#REF!</definedName>
    <definedName name="DPS">MODEL!$213:$213</definedName>
    <definedName name="DS" hidden="1">{"Full_Year",#N/A,FALSE,"PE1_S";#N/A,#N/A,FALSE,"DIVIS_S"}</definedName>
    <definedName name="E_ALL_BRG.AX">#REF!</definedName>
    <definedName name="E_ALL_CCL.AX">#REF!</definedName>
    <definedName name="E_ALL_CTD.AX">#REF!</definedName>
    <definedName name="E_ALL_DMP.AX">#REF!</definedName>
    <definedName name="E_ALL_EDV.AX">#REF!</definedName>
    <definedName name="E_ALL_KEYWORDS_TYPE_ScalarContributed_EQTY_200006063">#REF!,#REF!,#REF!,#REF!,#REF!,#REF!,#REF!</definedName>
    <definedName name="E_ALL_KEYWORDS_TYPE_ScalarContributed_EQTY_200013829">#REF!,#REF!,#REF!,#REF!,#REF!,#REF!,#REF!,#REF!</definedName>
    <definedName name="E_ALL_KEYWORDS_TYPE_ScalarContributed_EQTY_200014125">#REF!,#REF!,#REF!,#REF!,#REF!,#REF!,#REF!</definedName>
    <definedName name="E_ALL_KEYWORDS_TYPE_ScalarContributed_EQTY_200014152">#REF!,#REF!,#REF!,#REF!,#REF!,#REF!,#REF!</definedName>
    <definedName name="E_ALL_KEYWORDS_TYPE_ScalarContributed_ISSR_208002501">#REF!,#REF!</definedName>
    <definedName name="E_ALL_KEYWORDS_TYPE_ScalarContributed_ISSR_208010681">#REF!,#REF!,#REF!</definedName>
    <definedName name="E_ALL_KEYWORDS_TYPE_ScalarContributed_ISSR_208010844">#REF!,#REF!,#REF!</definedName>
    <definedName name="E_ALL_KEYWORDS_TYPE_ScalarReference_EQTY_200013829">#REF!</definedName>
    <definedName name="E_ALL_KEYWORDS_TYPE_ScalarReference_ISSR_208010681">#REF!</definedName>
    <definedName name="E_ALL_KEYWORDS_TYPE_Vector_EQTY_200006063">#REF!,#REF!,#REF!,#REF!,#REF!,#REF!,#REF!,#REF!,#REF!,#REF!,#REF!,#REF!,#REF!</definedName>
    <definedName name="E_ALL_KEYWORDS_TYPE_Vector_EQTY_200013829">#REF!,#REF!,#REF!,#REF!,#REF!,#REF!,#REF!,#REF!,#REF!,#REF!,#REF!,#REF!,#REF!</definedName>
    <definedName name="E_ALL_KEYWORDS_TYPE_Vector_EQTY_200014125">#REF!,#REF!,#REF!,#REF!,#REF!,#REF!,#REF!,#REF!,#REF!,#REF!,#REF!,#REF!,#REF!</definedName>
    <definedName name="E_ALL_KEYWORDS_TYPE_Vector_EQTY_200014152">#REF!,#REF!,#REF!,#REF!,#REF!,#REF!,#REF!,#REF!,#REF!,#REF!,#REF!,#REF!,#REF!</definedName>
    <definedName name="E_ALL_KEYWORDS_TYPE_Vector_ISSR_208002501">#REF!,#REF!,#REF!,#REF!,#REF!,#REF!,#REF!,#REF!,#REF!,#REF!,#REF!,#REF!,#REF!,#REF!,#REF!,#REF!</definedName>
    <definedName name="E_ALL_KEYWORDS_TYPE_Vector_ISSR_208010826">#REF!,#REF!,#REF!,#REF!,#REF!,#REF!,#REF!,#REF!,#REF!,#REF!,#REF!,#REF!,#REF!,#REF!,#REF!,#REF!,#REF!,#REF!,#REF!,#REF!,#REF!,#REF!,#REF!,#REF!</definedName>
    <definedName name="E_ALL_KEYWORDS_TYPE_Vector_ISSR_208010844">#REF!,#REF!,#REF!,#REF!,#REF!,#REF!,#REF!,#REF!,#REF!,#REF!,#REF!,#REF!,#REF!,#REF!,#REF!</definedName>
    <definedName name="E_ALL_PMV.AX">#REF!</definedName>
    <definedName name="E_ALL_SECTION_KEYWORDS_EQTY_200013829_1314">#REF!</definedName>
    <definedName name="E_ALL_SECTION_KEYWORDS_EQTY_200013829_1316A">#REF!</definedName>
    <definedName name="E_ALL_SECTION_KEYWORDS_EQTY_200013829_1316B">#REF!</definedName>
    <definedName name="E_ALL_SECTION_KEYWORDS_EQTY_200013829_1316C">#REF!</definedName>
    <definedName name="E_ALL_SECTION_KEYWORDS_EQTY_200013829_1316D">#REF!</definedName>
    <definedName name="E_ALL_SECTION_KEYWORDS_EQTY_200013829_1316E">#REF!</definedName>
    <definedName name="E_ALL_SECTION_KEYWORDS_EQTY_200013829_131E">#REF!</definedName>
    <definedName name="E_ALL_SECTION_KEYWORDS_EQTY_200013829_131O">#REF!</definedName>
    <definedName name="E_ALL_SECTION_KEYWORDS_EQTY_200013829_13A">#REF!</definedName>
    <definedName name="E_ALL_SECTION_KEYWORDS_EQTY_200013829_13K">#REF!</definedName>
    <definedName name="E_ALL_SECTION_KEYWORDS_EQTY_200013829_13U">#REF!</definedName>
    <definedName name="E_ALL_SECTION_KEYWORDS_EQTY_200013829_13V">#REF!</definedName>
    <definedName name="E_ALL_SECTION_KEYWORDS_EQTY_200013829_Reference_Data">#REF!</definedName>
    <definedName name="E_ALL_SECTION_KEYWORDS_ISSR_208002501_136J">#REF!,#REF!</definedName>
    <definedName name="E_ALL_SECTION_KEYWORDS_ISSR_208010681_1314">#REF!</definedName>
    <definedName name="E_ALL_SECTION_KEYWORDS_ISSR_208010681_13168">#REF!</definedName>
    <definedName name="E_ALL_SECTION_KEYWORDS_ISSR_208010681_1316B">#REF!</definedName>
    <definedName name="E_ALL_SECTION_KEYWORDS_ISSR_208010681_1316C">#REF!</definedName>
    <definedName name="E_ALL_SECTION_KEYWORDS_ISSR_208010681_1316D">#REF!</definedName>
    <definedName name="E_ALL_SECTION_KEYWORDS_ISSR_208010681_1316E">#REF!</definedName>
    <definedName name="E_ALL_SECTION_KEYWORDS_ISSR_208010681_1316T">#REF!</definedName>
    <definedName name="E_ALL_SECTION_KEYWORDS_ISSR_208010681_1316U">#REF!</definedName>
    <definedName name="E_ALL_SECTION_KEYWORDS_ISSR_208010681_1319">#REF!</definedName>
    <definedName name="E_ALL_SECTION_KEYWORDS_ISSR_208010681_131E">#REF!</definedName>
    <definedName name="E_ALL_SECTION_KEYWORDS_ISSR_208010681_131J">#REF!</definedName>
    <definedName name="E_ALL_SECTION_KEYWORDS_ISSR_208010681_131O">#REF!</definedName>
    <definedName name="E_ALL_SECTION_KEYWORDS_ISSR_208010681_136E">#REF!,#REF!</definedName>
    <definedName name="E_ALL_SECTION_KEYWORDS_ISSR_208010681_136J">#REF!</definedName>
    <definedName name="E_ALL_SECTION_KEYWORDS_ISSR_208010681_13A">#REF!,#REF!</definedName>
    <definedName name="E_ALL_SECTION_KEYWORDS_ISSR_208010681_13U">#REF!</definedName>
    <definedName name="E_ALL_SECTION_KEYWORDS_ISSR_208010681_13V">#REF!</definedName>
    <definedName name="E_ALL_SECTION_KEYWORDS_ISSR_208010681_Reference_Data">#REF!</definedName>
    <definedName name="E_ALL_SECTION_KEYWORDS_ISSR_208010826_136J">#REF!,#REF!</definedName>
    <definedName name="E_ALL_SECTION_KEYWORDS_ISSR_208010844_136E">#REF!,#REF!</definedName>
    <definedName name="E_ALL_SECTION_KEYWORDS_ISSR_208010844_13A">#REF!,#REF!</definedName>
    <definedName name="E_ALL_TWE.AX">#REF!</definedName>
    <definedName name="E_CURRENCY_EQTY_200006063_PRI">#REF!</definedName>
    <definedName name="E_CURRENCY_EQTY_200006063_PUB">#REF!</definedName>
    <definedName name="E_CURRENCY_EQTY_200006063_REP">#REF!</definedName>
    <definedName name="E_CURRENCY_EQTY_200013829_PRI">#REF!</definedName>
    <definedName name="E_CURRENCY_EQTY_200013829_PUB">#REF!</definedName>
    <definedName name="E_CURRENCY_EQTY_200013829_REP">#REF!</definedName>
    <definedName name="E_CURRENCY_EQTY_200014125_PRI">#REF!</definedName>
    <definedName name="E_CURRENCY_EQTY_200014125_PUB">#REF!</definedName>
    <definedName name="E_CURRENCY_EQTY_200014125_REP">#REF!</definedName>
    <definedName name="E_CURRENCY_EQTY_200014152_PRI">#REF!</definedName>
    <definedName name="E_CURRENCY_EQTY_200014152_PUB">#REF!</definedName>
    <definedName name="E_CURRENCY_EQTY_200014152_REP">#REF!</definedName>
    <definedName name="E_CURRENCY_ISSR_208002501_REP">#REF!</definedName>
    <definedName name="E_CURRENCY_ISSR_208010681_REP">#REF!</definedName>
    <definedName name="E_CURRENCY_ISSR_208010826_REP">#REF!</definedName>
    <definedName name="E_CURRENCY_ISSR_208010844_REP">#REF!</definedName>
    <definedName name="E_KEYWORD_EQTY_200013829_ANZ_LIST">#REF!</definedName>
    <definedName name="E_KEYWORD_EQTY_200013829_ASSET_SALES_GAIN_LOSS">#REF!</definedName>
    <definedName name="E_KEYWORD_EQTY_200013829_BASE_CASE_VAL_DCF">#REF!</definedName>
    <definedName name="E_KEYWORD_EQTY_200013829_BENEFITS_TAX_LOSSES">#REF!</definedName>
    <definedName name="E_KEYWORD_EQTY_200013829_BETA_ANALYST">#REF!</definedName>
    <definedName name="E_KEYWORD_EQTY_200013829_BVPS">#REF!</definedName>
    <definedName name="E_KEYWORD_EQTY_200013829_BVPS_PUB">#REF!</definedName>
    <definedName name="E_KEYWORD_EQTY_200013829_CATALYST1_DATE">#REF!</definedName>
    <definedName name="E_KEYWORD_EQTY_200013829_CATALYST1_EVENT">#REF!</definedName>
    <definedName name="E_KEYWORD_EQTY_200013829_CATALYST2_DATE">#REF!</definedName>
    <definedName name="E_KEYWORD_EQTY_200013829_CATALYST2_EVENT">#REF!</definedName>
    <definedName name="E_KEYWORD_EQTY_200013829_CATALYST3_DATE">#REF!</definedName>
    <definedName name="E_KEYWORD_EQTY_200013829_CATALYST3_EVENT">#REF!</definedName>
    <definedName name="E_KEYWORD_EQTY_200013829_CATALYST4_DATE">#REF!</definedName>
    <definedName name="E_KEYWORD_EQTY_200013829_CATALYST4_EVENT">#REF!</definedName>
    <definedName name="E_KEYWORD_EQTY_200013829_CATALYST5_DATE">#REF!</definedName>
    <definedName name="E_KEYWORD_EQTY_200013829_CATALYST5_EVENT">#REF!</definedName>
    <definedName name="E_KEYWORD_EQTY_200013829_CF_NI_PRE_PREF">#REF!</definedName>
    <definedName name="E_KEYWORD_EQTY_200013829_CF_OPS_SHARE_NZ">#REF!</definedName>
    <definedName name="E_KEYWORD_EQTY_200013829_COMMON_DIV_PAID">#REF!</definedName>
    <definedName name="E_KEYWORD_EQTY_200013829_CONVERTIBLE_NOTES">#REF!</definedName>
    <definedName name="E_KEYWORD_EQTY_200013829_COST_OF_EQUITY_DCF">#REF!</definedName>
    <definedName name="E_KEYWORD_EQTY_200013829_CUM_PRESENT_VAL_CASH_FLOWS_DCF">#REF!</definedName>
    <definedName name="E_KEYWORD_EQTY_200013829_CURRENCY_ISO">#REF!</definedName>
    <definedName name="E_KEYWORD_EQTY_200013829_DCF_CASH_FLOW">#REF!</definedName>
    <definedName name="E_KEYWORD_EQTY_200013829_DEBT_EQUITY">#REF!</definedName>
    <definedName name="E_KEYWORD_EQTY_200013829_DEBT_RISK_MARGIN_DCF">#REF!</definedName>
    <definedName name="E_KEYWORD_EQTY_200013829_DILUTE_SHARES">#REF!</definedName>
    <definedName name="E_KEYWORD_EQTY_200013829_DISCOUNT_FACTOR_DCF">#REF!</definedName>
    <definedName name="E_KEYWORD_EQTY_200013829_DPS">#REF!</definedName>
    <definedName name="E_KEYWORD_EQTY_200013829_DPS_PUB">#REF!</definedName>
    <definedName name="E_KEYWORD_EQTY_200013829_EBIT_PUB">#REF!</definedName>
    <definedName name="E_KEYWORD_EQTY_200013829_EBITDA_PUB">#REF!</definedName>
    <definedName name="E_KEYWORD_EQTY_200013829_EBITDAF">#REF!</definedName>
    <definedName name="E_KEYWORD_EQTY_200013829_EFPO">#REF!</definedName>
    <definedName name="E_KEYWORD_EQTY_200013829_EFPOWA">#REF!</definedName>
    <definedName name="E_KEYWORD_EQTY_200013829_EPS">#REF!</definedName>
    <definedName name="E_KEYWORD_EQTY_200013829_EPS_CONS_PUB">#REF!</definedName>
    <definedName name="E_KEYWORD_EQTY_200013829_EPS_FUL_DIL">#REF!</definedName>
    <definedName name="E_KEYWORD_EQTY_200013829_EPS_POST_BASIC">#REF!</definedName>
    <definedName name="E_KEYWORD_EQTY_200013829_EPS_PRE_GWILL">#REF!</definedName>
    <definedName name="E_KEYWORD_EQTY_200013829_EPS_PUB">#REF!</definedName>
    <definedName name="E_KEYWORD_EQTY_200013829_EPS_REPORTED">#REF!</definedName>
    <definedName name="E_KEYWORD_EQTY_200013829_EQ_PUB">#REF!</definedName>
    <definedName name="E_KEYWORD_EQTY_200013829_EQUITY_VALUE_DCF">#REF!</definedName>
    <definedName name="E_KEYWORD_EQTY_200013829_EV_ADJ_PUB">#REF!</definedName>
    <definedName name="E_KEYWORD_EQTY_200013829_FIN_INSTRUMENT_HEDGE_POST_TAX">#REF!</definedName>
    <definedName name="E_KEYWORD_EQTY_200013829_FINAL_DIV_AMOUNT">#REF!</definedName>
    <definedName name="E_KEYWORD_EQTY_200013829_FINAL_DIV_EXDATE">#REF!</definedName>
    <definedName name="E_KEYWORD_EQTY_200013829_FINAL_DIV_FRANK">#REF!</definedName>
    <definedName name="E_KEYWORD_EQTY_200013829_FINAL_DIV_TAXRATE">#REF!</definedName>
    <definedName name="E_KEYWORD_EQTY_200013829_FOREIGN_EXCHANGE_GAIN_LOSS">#REF!</definedName>
    <definedName name="E_KEYWORD_EQTY_200013829_FOREIGN_HOLDNG">#REF!</definedName>
    <definedName name="E_KEYWORD_EQTY_200013829_FRANK_TAX_RATE">#REF!</definedName>
    <definedName name="E_KEYWORD_EQTY_200013829_FRANKING">#REF!</definedName>
    <definedName name="E_KEYWORD_EQTY_200013829_FRANKING_ANZPUB">#REF!</definedName>
    <definedName name="E_KEYWORD_EQTY_200013829_FREE_FLOAT">#REF!</definedName>
    <definedName name="E_KEYWORD_EQTY_200013829_FULLY_DIL_EPS">#REF!</definedName>
    <definedName name="E_KEYWORD_EQTY_200013829_GWILL_ASSET_IMP_CHG_POST_TAX">#REF!</definedName>
    <definedName name="E_KEYWORD_EQTY_200013829_IMP_CREDITS_PER_SHARE_DCF">#REF!</definedName>
    <definedName name="E_KEYWORD_EQTY_200013829_INC_MINORITY">#REF!</definedName>
    <definedName name="E_KEYWORD_EQTY_200013829_INCTAX_PL_ON_AB">#REF!</definedName>
    <definedName name="E_KEYWORD_EQTY_200013829_INCTAX_PL_POST_AB">#REF!</definedName>
    <definedName name="E_KEYWORD_EQTY_200013829_INT_DIV_AMOUNT">#REF!</definedName>
    <definedName name="E_KEYWORD_EQTY_200013829_INT_DIV_EXDATE">#REF!</definedName>
    <definedName name="E_KEYWORD_EQTY_200013829_INT_DIV_FRANK">#REF!</definedName>
    <definedName name="E_KEYWORD_EQTY_200013829_INT_DIV_TAXRATE">#REF!</definedName>
    <definedName name="E_KEYWORD_EQTY_200013829_Interim_Type">#REF!</definedName>
    <definedName name="E_KEYWORD_EQTY_200013829_INTRINSIC_PER_SHARE_VALUE_DCF">#REF!</definedName>
    <definedName name="E_KEYWORD_EQTY_200013829_LEGAL_RATING">#REF!</definedName>
    <definedName name="E_KEYWORD_EQTY_200013829_MARGIN_TAX_RATE">#REF!</definedName>
    <definedName name="E_KEYWORD_EQTY_200013829_MARKET_VALUE_OF_INVESTMENTS_DCF">#REF!</definedName>
    <definedName name="E_KEYWORD_EQTY_200013829_MKT_EQ_RISK_PREM">#REF!</definedName>
    <definedName name="E_KEYWORD_EQTY_200013829_NET_DEBT_NET_CASH_DCF">#REF!</definedName>
    <definedName name="E_KEYWORD_EQTY_200013829_NET_DEBT_PUB">#REF!</definedName>
    <definedName name="E_KEYWORD_EQTY_200013829_NET_EARNING">#REF!</definedName>
    <definedName name="E_KEYWORD_EQTY_200013829_NET_INC">#REF!</definedName>
    <definedName name="E_KEYWORD_EQTY_200013829_NET_PROFIT">#REF!</definedName>
    <definedName name="E_KEYWORD_EQTY_200013829_NET_TANGIBLE_ASSETS_ADJUSTED_NZ">#REF!</definedName>
    <definedName name="E_KEYWORD_EQTY_200013829_NI_CONS">#REF!</definedName>
    <definedName name="E_KEYWORD_EQTY_200013829_NI_PRE_PREF">#REF!</definedName>
    <definedName name="E_KEYWORD_EQTY_200013829_NI_PUB">#REF!</definedName>
    <definedName name="E_KEYWORD_EQTY_200013829_NI_REPT_PUB">#REF!</definedName>
    <definedName name="E_KEYWORD_EQTY_200013829_NON_OP_ADD">#REF!</definedName>
    <definedName name="E_KEYWORD_EQTY_200013829_NOPAT">#REF!</definedName>
    <definedName name="E_KEYWORD_EQTY_200013829_NTA_PER_SHARE">#REF!</definedName>
    <definedName name="E_KEYWORD_EQTY_200013829_NUM_SH">#REF!</definedName>
    <definedName name="E_KEYWORD_EQTY_200013829_NZ_FRANKING">#REF!</definedName>
    <definedName name="E_KEYWORD_EQTY_200013829_OPPL_ATAX_POST_AB">#REF!</definedName>
    <definedName name="E_KEYWORD_EQTY_200013829_OPPL_ATAX_PRE_AB">#REF!</definedName>
    <definedName name="E_KEYWORD_EQTY_200013829_OPTIONS">#REF!</definedName>
    <definedName name="E_KEYWORD_EQTY_200013829_OTH_ASSET_IMPAIR_CHG_POST_TAX">#REF!</definedName>
    <definedName name="E_KEYWORD_EQTY_200013829_OTHER_ABNORMAL_ITEMS">#REF!</definedName>
    <definedName name="E_KEYWORD_EQTY_200013829_OTHER_CAPITAL">#REF!</definedName>
    <definedName name="E_KEYWORD_EQTY_200013829_OTHER_IFRS_ADJUST_POST_TAX">#REF!</definedName>
    <definedName name="E_KEYWORD_EQTY_200013829_PARTLY_PAID_SHARES">#REF!</definedName>
    <definedName name="E_KEYWORD_EQTY_200013829_PERPETUITY_GROWTH_RATE_DCF">#REF!</definedName>
    <definedName name="E_KEYWORD_EQTY_200013829_PREF_DIV">#REF!</definedName>
    <definedName name="E_KEYWORD_EQTY_200013829_PREFERENCE_SHARES">#REF!</definedName>
    <definedName name="E_KEYWORD_EQTY_200013829_PRESENT_VALUE_OF_CASH_FLOW_DCF">#REF!</definedName>
    <definedName name="E_KEYWORD_EQTY_200013829_PRI_TARG_METH">#REF!</definedName>
    <definedName name="E_KEYWORD_EQTY_200013829_PRI_TARG_MULT">#REF!</definedName>
    <definedName name="E_KEYWORD_EQTY_200013829_PRICE_CURRENCY_ISO">#REF!</definedName>
    <definedName name="E_KEYWORD_EQTY_200013829_PROF_ADJUST_EPS">#REF!</definedName>
    <definedName name="E_KEYWORD_EQTY_200013829_PROV_INC_TAX">#REF!</definedName>
    <definedName name="E_KEYWORD_EQTY_200013829_PTP_PUB">#REF!</definedName>
    <definedName name="E_KEYWORD_EQTY_200013829_PUB_CURRENCY_ISO">#REF!</definedName>
    <definedName name="E_KEYWORD_EQTY_200013829_RESTRUC_COSTS">#REF!</definedName>
    <definedName name="E_KEYWORD_EQTY_200013829_REVS_PUB">#REF!</definedName>
    <definedName name="E_KEYWORD_EQTY_200013829_RISK_ADJ_OPTION_VALUE_DCF">#REF!</definedName>
    <definedName name="E_KEYWORD_EQTY_200013829_RISK_FR_RATE">#REF!</definedName>
    <definedName name="E_KEYWORD_EQTY_200013829_RISK_TO_EARNINGS">#REF!</definedName>
    <definedName name="E_KEYWORD_EQTY_200013829_ROCE_ANZ">#REF!</definedName>
    <definedName name="E_KEYWORD_EQTY_200013829_Security_Name">#REF!</definedName>
    <definedName name="E_KEYWORD_EQTY_200013829_SH">#REF!</definedName>
    <definedName name="E_KEYWORD_EQTY_200013829_SHOLDERS_EQUITY_MBRS">#REF!</definedName>
    <definedName name="E_KEYWORD_EQTY_200013829_STD_FREE_OP_CASH_FLOW_DCF">#REF!</definedName>
    <definedName name="E_KEYWORD_EQTY_200013829_TARGET_PRICE">#REF!</definedName>
    <definedName name="E_KEYWORD_EQTY_200013829_TAX_EXC">#REF!</definedName>
    <definedName name="E_KEYWORD_EQTY_200013829_TAX_RATE_DCF">#REF!</definedName>
    <definedName name="E_KEYWORD_EQTY_200013829_TERMINAL_YEAR_DCF">#REF!</definedName>
    <definedName name="E_KEYWORD_EQTY_200013829_Ticker">#REF!</definedName>
    <definedName name="E_KEYWORD_EQTY_200013829_TOTAL_CAPITAL">#REF!</definedName>
    <definedName name="E_KEYWORD_EQTY_200013829_TOTAL_IFRS_ADJUST_POST_TAX">#REF!</definedName>
    <definedName name="E_KEYWORD_EQTY_200013829_TP_PERIOD">#REF!</definedName>
    <definedName name="E_KEYWORD_EQTY_200013829_WACC_DCF">#REF!</definedName>
    <definedName name="E_KEYWORD_EQTY_200013829_YEAR_END_CAPITAL_EVA">#REF!</definedName>
    <definedName name="E_KEYWORD_ISSR_208010681_ACC_AMORT">#REF!</definedName>
    <definedName name="E_KEYWORD_ISSR_208010681_ACC_DDA">#REF!</definedName>
    <definedName name="E_KEYWORD_ISSR_208010681_ACC_END_DATE">#REF!</definedName>
    <definedName name="E_KEYWORD_ISSR_208010681_ACC_PAY_GQ">#REF!</definedName>
    <definedName name="E_KEYWORD_ISSR_208010681_ACCESS_CONNECTION">#REF!</definedName>
    <definedName name="E_KEYWORD_ISSR_208010681_ACQ">#REF!</definedName>
    <definedName name="E_KEYWORD_ISSR_208010681_ADJ_UNF_PENS_GOOD">#REF!</definedName>
    <definedName name="E_KEYWORD_ISSR_208010681_AMORT_OF_INTANGIBLES">#REF!</definedName>
    <definedName name="E_KEYWORD_ISSR_208010681_AMORT_OF_INTANGIBLES_ADJ">#REF!</definedName>
    <definedName name="E_KEYWORD_ISSR_208010681_ASSOC_JV_ADDBK">#REF!</definedName>
    <definedName name="E_KEYWORD_ISSR_208010681_ASSOCIATE">#REF!</definedName>
    <definedName name="E_KEYWORD_ISSR_208010681_ASSOCIATE_OP">#REF!</definedName>
    <definedName name="E_KEYWORD_ISSR_208010681_AVG_CAPITAL_EMPLOYED_ADJ">#REF!</definedName>
    <definedName name="E_KEYWORD_ISSR_208010681_BAL_MINO_INT">#REF!</definedName>
    <definedName name="E_KEYWORD_ISSR_208010681_BAL_OF_FRANK_CREDITS">#REF!</definedName>
    <definedName name="E_KEYWORD_ISSR_208010681_BANK_ODRAFT">#REF!</definedName>
    <definedName name="E_KEYWORD_ISSR_208010681_BORROWINGS">#REF!</definedName>
    <definedName name="E_KEYWORD_ISSR_208010681_CAP_LEASES">#REF!</definedName>
    <definedName name="E_KEYWORD_ISSR_208010681_CAPEX">#REF!</definedName>
    <definedName name="E_KEYWORD_ISSR_208010681_CAPEX_EXPANSION">#REF!</definedName>
    <definedName name="E_KEYWORD_ISSR_208010681_CAPEX_MAINTENANCE">#REF!</definedName>
    <definedName name="E_KEYWORD_ISSR_208010681_CASH_EQ">#REF!</definedName>
    <definedName name="E_KEYWORD_ISSR_208010681_CASH_INT_EXP">#REF!</definedName>
    <definedName name="E_KEYWORD_ISSR_208010681_CASH_TAX_EXP">#REF!</definedName>
    <definedName name="E_KEYWORD_ISSR_208010681_CF_FIN">#REF!</definedName>
    <definedName name="E_KEYWORD_ISSR_208010681_CF_FX">#REF!</definedName>
    <definedName name="E_KEYWORD_ISSR_208010681_CF_INC_MINORITY">#REF!</definedName>
    <definedName name="E_KEYWORD_ISSR_208010681_CF_INV">#REF!</definedName>
    <definedName name="E_KEYWORD_ISSR_208010681_CF_INV_MISC">#REF!</definedName>
    <definedName name="E_KEYWORD_ISSR_208010681_CF_OPS">#REF!</definedName>
    <definedName name="E_KEYWORD_ISSR_208010681_CF_OPS_MISC">#REF!</definedName>
    <definedName name="E_KEYWORD_ISSR_208010681_CHG_LT_DEBT">#REF!</definedName>
    <definedName name="E_KEYWORD_ISSR_208010681_CO_BOR_MARGIN">#REF!</definedName>
    <definedName name="E_KEYWORD_ISSR_208010681_COST_GD_SD">#REF!</definedName>
    <definedName name="E_KEYWORD_ISSR_208010681_COST_OF_DEBT_DCF">#REF!</definedName>
    <definedName name="E_KEYWORD_ISSR_208010681_CUR_ASS">#REF!</definedName>
    <definedName name="E_KEYWORD_ISSR_208010681_CUR_ASS_MISC">#REF!</definedName>
    <definedName name="E_KEYWORD_ISSR_208010681_CUR_LIABS_MISC">#REF!</definedName>
    <definedName name="E_KEYWORD_ISSR_208010681_CURRENCY_ISO">#REF!</definedName>
    <definedName name="E_KEYWORD_ISSR_208010681_CUSTOMER_RECEIPTS">#REF!</definedName>
    <definedName name="E_KEYWORD_ISSR_208010681_DEBT_TO_EQUITY_MKT_VALUES_DCF">#REF!</definedName>
    <definedName name="E_KEYWORD_ISSR_208010681_DEBTORS">#REF!</definedName>
    <definedName name="E_KEYWORD_ISSR_208010681_DEF_INC_TAX">#REF!</definedName>
    <definedName name="E_KEYWORD_ISSR_208010681_DEFINED_BENEFIT_OBLIGATION">#REF!</definedName>
    <definedName name="E_KEYWORD_ISSR_208010681_DEFINED_BENEFIT_SURPLUS">#REF!</definedName>
    <definedName name="E_KEYWORD_ISSR_208010681_DEPR_AMORT">#REF!</definedName>
    <definedName name="E_KEYWORD_ISSR_208010681_DEPREC">#REF!</definedName>
    <definedName name="E_KEYWORD_ISSR_208010681_DIV_PAID">#REF!</definedName>
    <definedName name="E_KEYWORD_ISSR_208010681_DIVDS_ASSOC_JV">#REF!</definedName>
    <definedName name="E_KEYWORD_ISSR_208010681_DIVDS_PD_MINORITIES">#REF!</definedName>
    <definedName name="E_KEYWORD_ISSR_208010681_DIVEST">#REF!</definedName>
    <definedName name="E_KEYWORD_ISSR_208010681_DIVIDENDS_RECEIVED">#REF!</definedName>
    <definedName name="E_KEYWORD_ISSR_208010681_EBIT">#REF!</definedName>
    <definedName name="E_KEYWORD_ISSR_208010681_EBIT_CONSOLIDATED">#REF!</definedName>
    <definedName name="E_KEYWORD_ISSR_208010681_EBIT_CONSOLIDATED_PRE_ASSOC">#REF!</definedName>
    <definedName name="E_KEYWORD_ISSR_208010681_EBITDA_CALC">#REF!</definedName>
    <definedName name="E_KEYWORD_ISSR_208010681_EBITDA_CONSOLIDATED">#REF!</definedName>
    <definedName name="E_KEYWORD_ISSR_208010681_EMPLOYEES">#REF!</definedName>
    <definedName name="E_KEYWORD_ISSR_208010681_EQ">#REF!</definedName>
    <definedName name="E_KEYWORD_ISSR_208010681_EXP_COPPER">#REF!</definedName>
    <definedName name="E_KEYWORD_ISSR_208010681_EXP_OTH_COMMODITY">#REF!</definedName>
    <definedName name="E_KEYWORD_ISSR_208010681_EXP_OTH_COST">#REF!</definedName>
    <definedName name="E_KEYWORD_ISSR_208010681_EXP_STEEL">#REF!</definedName>
    <definedName name="E_KEYWORD_ISSR_208010681_EXP_ZINC">#REF!</definedName>
    <definedName name="E_KEYWORD_ISSR_208010681_FIN_INSTR_HEDGE_CURR_LIABILITY">#REF!</definedName>
    <definedName name="E_KEYWORD_ISSR_208010681_FIN_INSTR_HEDGE_CURRENT">#REF!</definedName>
    <definedName name="E_KEYWORD_ISSR_208010681_FIN_INSTR_HEDGE_NON_CURR_LIAB">#REF!</definedName>
    <definedName name="E_KEYWORD_ISSR_208010681_FIN_INSTR_HEDGE_NON_CURRENT">#REF!</definedName>
    <definedName name="E_KEYWORD_ISSR_208010681_FIN_INSTRUMENT_HEDGE_PRE_TAX">#REF!</definedName>
    <definedName name="E_KEYWORD_ISSR_208010681_FIX_ASS_INV">#REF!</definedName>
    <definedName name="E_KEYWORD_ISSR_208010681_GCI_INFL">#REF!</definedName>
    <definedName name="E_KEYWORD_ISSR_208010681_GOODWILL_AMORT">#REF!</definedName>
    <definedName name="E_KEYWORD_ISSR_208010681_GOODWILL_NET_AMNT">#REF!</definedName>
    <definedName name="E_KEYWORD_ISSR_208010681_GR_FIX_ASS">#REF!</definedName>
    <definedName name="E_KEYWORD_ISSR_208010681_GR_INTANG">#REF!</definedName>
    <definedName name="E_KEYWORD_ISSR_208010681_GWILL_ASSET_IMPAIR_CHG_PRE_TAX">#REF!</definedName>
    <definedName name="E_KEYWORD_ISSR_208010681_INT_EXP_IND">#REF!</definedName>
    <definedName name="E_KEYWORD_ISSR_208010681_INT_INC_IND">#REF!</definedName>
    <definedName name="E_KEYWORD_ISSR_208010681_INT_OTHERS_RECEIVED">#REF!</definedName>
    <definedName name="E_KEYWORD_ISSR_208010681_INV_SECUR">#REF!</definedName>
    <definedName name="E_KEYWORD_ISSR_208010681_INVESTMENTS">#REF!</definedName>
    <definedName name="E_KEYWORD_ISSR_208010681_Issuer_Name">#REF!</definedName>
    <definedName name="E_KEYWORD_ISSR_208010681_LABOUR">#REF!</definedName>
    <definedName name="E_KEYWORD_ISSR_208010681_LAND_BUILDINGS">#REF!</definedName>
    <definedName name="E_KEYWORD_ISSR_208010681_LEASE_DEEM_DEPR">#REF!</definedName>
    <definedName name="E_KEYWORD_ISSR_208010681_LEASE_DEEM_INT">#REF!</definedName>
    <definedName name="E_KEYWORD_ISSR_208010681_LEASE_PAY">#REF!</definedName>
    <definedName name="E_KEYWORD_ISSR_208010681_LOAN_REPAID_OTHER_ENTS">#REF!</definedName>
    <definedName name="E_KEYWORD_ISSR_208010681_LOANS_OTHER_ENTITIES">#REF!</definedName>
    <definedName name="E_KEYWORD_ISSR_208010681_LT_DEBT">#REF!</definedName>
    <definedName name="E_KEYWORD_ISSR_208010681_MARKETING_ADVERTISNIG">#REF!</definedName>
    <definedName name="E_KEYWORD_ISSR_208010681_MINORITIES">#REF!</definedName>
    <definedName name="E_KEYWORD_ISSR_208010681_MV_ASSOCIATES">#REF!</definedName>
    <definedName name="E_KEYWORD_ISSR_208010681_MV_CONVERTIBLE_NOTES">#REF!</definedName>
    <definedName name="E_KEYWORD_ISSR_208010681_MV_NET_OTHER_STAKEHOLDERS">#REF!</definedName>
    <definedName name="E_KEYWORD_ISSR_208010681_NCASSET_INVENTORIES">#REF!</definedName>
    <definedName name="E_KEYWORD_ISSR_208010681_NCASSET_INVESTMENT">#REF!</definedName>
    <definedName name="E_KEYWORD_ISSR_208010681_NCASSET_MISC">#REF!</definedName>
    <definedName name="E_KEYWORD_ISSR_208010681_NCASSET_RECEIVABLES">#REF!</definedName>
    <definedName name="E_KEYWORD_ISSR_208010681_NCASSET_TRADE_DEBTORS">#REF!</definedName>
    <definedName name="E_KEYWORD_ISSR_208010681_NCLIAB_MISC">#REF!</definedName>
    <definedName name="E_KEYWORD_ISSR_208010681_NCLIAB_OTHER_CREDITORS">#REF!</definedName>
    <definedName name="E_KEYWORD_ISSR_208010681_NCLIAB_PROVISIONS">#REF!</definedName>
    <definedName name="E_KEYWORD_ISSR_208010681_NCLIAB_TRADE_CREDITORS">#REF!</definedName>
    <definedName name="E_KEYWORD_ISSR_208010681_NET_ASSETS">#REF!</definedName>
    <definedName name="E_KEYWORD_ISSR_208010681_NET_DEBT">#REF!</definedName>
    <definedName name="E_KEYWORD_ISSR_208010681_NET_DEBT_ADJ">#REF!</definedName>
    <definedName name="E_KEYWORD_ISSR_208010681_NET_FIX_ASS">#REF!</definedName>
    <definedName name="E_KEYWORD_ISSR_208010681_NET_INT_CH">#REF!</definedName>
    <definedName name="E_KEYWORD_ISSR_208010681_NET_INT_EXP">#REF!</definedName>
    <definedName name="E_KEYWORD_ISSR_208010681_NET_INTANG">#REF!</definedName>
    <definedName name="E_KEYWORD_ISSR_208010681_NET_TANGIBLE_ASSETS">#REF!</definedName>
    <definedName name="E_KEYWORD_ISSR_208010681_NONPPE_CAPEX">#REF!</definedName>
    <definedName name="E_KEYWORD_ISSR_208010681_OP_COST">#REF!</definedName>
    <definedName name="E_KEYWORD_ISSR_208010681_OPPL_BTAX_EX_ASSOC">#REF!</definedName>
    <definedName name="E_KEYWORD_ISSR_208010681_OPPL_BTAX_POST_AB">#REF!</definedName>
    <definedName name="E_KEYWORD_ISSR_208010681_ORD_SH_FUND">#REF!</definedName>
    <definedName name="E_KEYWORD_ISSR_208010681_ORD_SHARE_CAPITAL">#REF!</definedName>
    <definedName name="E_KEYWORD_ISSR_208010681_OTH_COST_INC">#REF!</definedName>
    <definedName name="E_KEYWORD_ISSR_208010681_OTH_CUR_ASS">#REF!</definedName>
    <definedName name="E_KEYWORD_ISSR_208010681_OTH_CUR_LIABS">#REF!</definedName>
    <definedName name="E_KEYWORD_ISSR_208010681_OTH_DACF_ADJ">#REF!</definedName>
    <definedName name="E_KEYWORD_ISSR_208010681_OTH_FIN_CF">#REF!</definedName>
    <definedName name="E_KEYWORD_ISSR_208010681_OTH_GCI_ADJ">#REF!</definedName>
    <definedName name="E_KEYWORD_ISSR_208010681_OTH_INV_CF">#REF!</definedName>
    <definedName name="E_KEYWORD_ISSR_208010681_OTH_LT_ASS">#REF!</definedName>
    <definedName name="E_KEYWORD_ISSR_208010681_OTH_LT_CRED_GQ">#REF!</definedName>
    <definedName name="E_KEYWORD_ISSR_208010681_OTH_NONCASH_ADJ">#REF!</definedName>
    <definedName name="E_KEYWORD_ISSR_208010681_OTH_OP_CF">#REF!</definedName>
    <definedName name="E_KEYWORD_ISSR_208010681_OTH_OP_INC_EXP">#REF!</definedName>
    <definedName name="E_KEYWORD_ISSR_208010681_OTHER_ASSET_IMPAIR_CHG_PRE_TAX">#REF!</definedName>
    <definedName name="E_KEYWORD_ISSR_208010681_OTHER_CREDITORS">#REF!</definedName>
    <definedName name="E_KEYWORD_ISSR_208010681_OTHER_IFRS_ADJUST_PRE_TAX">#REF!</definedName>
    <definedName name="E_KEYWORD_ISSR_208010681_OTHER_INTANGIBLES_DEPREC">#REF!</definedName>
    <definedName name="E_KEYWORD_ISSR_208010681_OTHER_INTANGIBLES_NON_DEPREC">#REF!</definedName>
    <definedName name="E_KEYWORD_ISSR_208010681_OTHER_RECEIVABLES">#REF!</definedName>
    <definedName name="E_KEYWORD_ISSR_208010681_OTHER_REVENUE">#REF!</definedName>
    <definedName name="E_KEYWORD_ISSR_208010681_PERIOD_MILESTONE">#REF!</definedName>
    <definedName name="E_KEYWORD_ISSR_208010681_PERSONNEL">#REF!</definedName>
    <definedName name="E_KEYWORD_ISSR_208010681_PL_BTAX_ON_AB">#REF!</definedName>
    <definedName name="E_KEYWORD_ISSR_208010681_PL_SALE_ASSETS">#REF!</definedName>
    <definedName name="E_KEYWORD_ISSR_208010681_PLANT_EQUIP">#REF!</definedName>
    <definedName name="E_KEYWORD_ISSR_208010681_PREF_SH">#REF!</definedName>
    <definedName name="E_KEYWORD_ISSR_208010681_PROCEEDS_BORROWINGS">#REF!</definedName>
    <definedName name="E_KEYWORD_ISSR_208010681_PROCEEDS_NCASSET">#REF!</definedName>
    <definedName name="E_KEYWORD_ISSR_208010681_PROCEEDS_PURCH_OPER_BUS">#REF!</definedName>
    <definedName name="E_KEYWORD_ISSR_208010681_PROCEEDS_SALE_EQUITY_INV">#REF!</definedName>
    <definedName name="E_KEYWORD_ISSR_208010681_PROCEEDS_SALE_OPER_BUS">#REF!</definedName>
    <definedName name="E_KEYWORD_ISSR_208010681_PROFIT_DEFBEN_PLAN_POST_TAX">#REF!</definedName>
    <definedName name="E_KEYWORD_ISSR_208010681_PROFIT_DEFBEN_PLAN_PRE_TAX">#REF!</definedName>
    <definedName name="E_KEYWORD_ISSR_208010681_PROFIT_ON_DISP">#REF!</definedName>
    <definedName name="E_KEYWORD_ISSR_208010681_PROVISIONS">#REF!</definedName>
    <definedName name="E_KEYWORD_ISSR_208010681_PT_PROF">#REF!</definedName>
    <definedName name="E_KEYWORD_ISSR_208010681_PURCH_EQUITY_INVESTS">#REF!</definedName>
    <definedName name="E_KEYWORD_ISSR_208010681_R_AND_D_CAP">#REF!</definedName>
    <definedName name="E_KEYWORD_ISSR_208010681_RD_EXP">#REF!</definedName>
    <definedName name="E_KEYWORD_ISSR_208010681_REPAY_BORROWINGS">#REF!</definedName>
    <definedName name="E_KEYWORD_ISSR_208010681_RESERVES">#REF!</definedName>
    <definedName name="E_KEYWORD_ISSR_208010681_RETAIN_PROFIT_LOSS">#REF!</definedName>
    <definedName name="E_KEYWORD_ISSR_208010681_SALE_PROP_PLANT_EQUIP">#REF!</definedName>
    <definedName name="E_KEYWORD_ISSR_208010681_SALES">#REF!</definedName>
    <definedName name="E_KEYWORD_ISSR_208010681_SALES_AUSTRA">#REF!</definedName>
    <definedName name="E_KEYWORD_ISSR_208010681_SALES_BRAZIL">#REF!</definedName>
    <definedName name="E_KEYWORD_ISSR_208010681_SALES_CEE">#REF!</definedName>
    <definedName name="E_KEYWORD_ISSR_208010681_SALES_CHINA">#REF!</definedName>
    <definedName name="E_KEYWORD_ISSR_208010681_SALES_CONS">#REF!</definedName>
    <definedName name="E_KEYWORD_ISSR_208010681_SALES_EU_EX_UK">#REF!</definedName>
    <definedName name="E_KEYWORD_ISSR_208010681_SALES_FINAN">#REF!</definedName>
    <definedName name="E_KEYWORD_ISSR_208010681_SALES_FX_AUD">#REF!</definedName>
    <definedName name="E_KEYWORD_ISSR_208010681_SALES_FX_BRL">#REF!</definedName>
    <definedName name="E_KEYWORD_ISSR_208010681_SALES_FX_CNY">#REF!</definedName>
    <definedName name="E_KEYWORD_ISSR_208010681_SALES_FX_EUR">#REF!</definedName>
    <definedName name="E_KEYWORD_ISSR_208010681_SALES_FX_GPB">#REF!</definedName>
    <definedName name="E_KEYWORD_ISSR_208010681_SALES_FX_INR">#REF!</definedName>
    <definedName name="E_KEYWORD_ISSR_208010681_SALES_FX_NZD">#REF!</definedName>
    <definedName name="E_KEYWORD_ISSR_208010681_SALES_FX_OTH">#REF!</definedName>
    <definedName name="E_KEYWORD_ISSR_208010681_SALES_FX_RUB">#REF!</definedName>
    <definedName name="E_KEYWORD_ISSR_208010681_SALES_FX_USD">#REF!</definedName>
    <definedName name="E_KEYWORD_ISSR_208010681_SALES_FX_YEN">#REF!</definedName>
    <definedName name="E_KEYWORD_ISSR_208010681_SALES_GOV">#REF!</definedName>
    <definedName name="E_KEYWORD_ISSR_208010681_SALES_IND">#REF!</definedName>
    <definedName name="E_KEYWORD_ISSR_208010681_SALES_INDIA">#REF!</definedName>
    <definedName name="E_KEYWORD_ISSR_208010681_SALES_JAPAN">#REF!</definedName>
    <definedName name="E_KEYWORD_ISSR_208010681_SALES_ME">#REF!</definedName>
    <definedName name="E_KEYWORD_ISSR_208010681_SALES_NZ">#REF!</definedName>
    <definedName name="E_KEYWORD_ISSR_208010681_SALES_OTH_AEJ">#REF!</definedName>
    <definedName name="E_KEYWORD_ISSR_208010681_SALES_OTH_AM">#REF!</definedName>
    <definedName name="E_KEYWORD_ISSR_208010681_SALES_OTH_EMEA">#REF!</definedName>
    <definedName name="E_KEYWORD_ISSR_208010681_SALES_OTHER">#REF!</definedName>
    <definedName name="E_KEYWORD_ISSR_208010681_SALES_RUSSIA">#REF!</definedName>
    <definedName name="E_KEYWORD_ISSR_208010681_SALES_TOT_AFRICA">#REF!</definedName>
    <definedName name="E_KEYWORD_ISSR_208010681_SALES_TOT_AM">#REF!</definedName>
    <definedName name="E_KEYWORD_ISSR_208010681_SALES_TOT_ASIA">#REF!</definedName>
    <definedName name="E_KEYWORD_ISSR_208010681_SALES_TOT_EMEA">#REF!</definedName>
    <definedName name="E_KEYWORD_ISSR_208010681_SALES_UK">#REF!</definedName>
    <definedName name="E_KEYWORD_ISSR_208010681_SALES_US">#REF!</definedName>
    <definedName name="E_KEYWORD_ISSR_208010681_SEL_GL_AD">#REF!</definedName>
    <definedName name="E_KEYWORD_ISSR_208010681_SEL_GL_AD_OTHER">#REF!</definedName>
    <definedName name="E_KEYWORD_ISSR_208010681_SH_REPUR">#REF!</definedName>
    <definedName name="E_KEYWORD_ISSR_208010681_SHARE_BASED_PAYMENTS">#REF!</definedName>
    <definedName name="E_KEYWORD_ISSR_208010681_SHORT_T_DEBT">#REF!</definedName>
    <definedName name="E_KEYWORD_ISSR_208010681_SHORT_TERM_LIABS">#REF!</definedName>
    <definedName name="E_KEYWORD_ISSR_208010681_STOCKS">#REF!</definedName>
    <definedName name="E_KEYWORD_ISSR_208010681_SUPPLIER_EMPLOYEE_PAYS">#REF!</definedName>
    <definedName name="E_KEYWORD_ISSR_208010681_TOT_ASSET">#REF!</definedName>
    <definedName name="E_KEYWORD_ISSR_208010681_TOT_CF">#REF!</definedName>
    <definedName name="E_KEYWORD_ISSR_208010681_TOT_LIAB">#REF!</definedName>
    <definedName name="E_KEYWORD_ISSR_208010681_TOT_LIAB_EQ">#REF!</definedName>
    <definedName name="E_KEYWORD_ISSR_208010681_TOT_LT_LIAB">#REF!</definedName>
    <definedName name="E_KEYWORD_ISSR_208010681_TOT_OPS_EXP">#REF!</definedName>
    <definedName name="E_KEYWORD_ISSR_208010681_TOT_OPS_EXP_DDA">#REF!</definedName>
    <definedName name="E_KEYWORD_ISSR_208010681_TOTAL_CAPITAL_EMPLOYED_ADJ">#REF!</definedName>
    <definedName name="E_KEYWORD_ISSR_208010681_TOTAL_DEPREC_AMORT">#REF!</definedName>
    <definedName name="E_KEYWORD_ISSR_208010681_TOTAL_IFRS_ADJUST_PRE_TAX">#REF!</definedName>
    <definedName name="E_KEYWORD_ISSR_208010681_TOTAL_NONCURR_ASSETS">#REF!</definedName>
    <definedName name="E_KEYWORD_ISSR_208010681_TOTAL_OPR_REVENUE">#REF!</definedName>
    <definedName name="E_KEYWORD_ISSR_208010681_TV_LICENCES_MASTERHEADS">#REF!</definedName>
    <definedName name="E_KEYWORD_ISSR_208010681_UNF_PENS">#REF!</definedName>
    <definedName name="E_KEYWORD_ISSR_208010681_UNF_PENS_LIAB_OTH">#REF!</definedName>
    <definedName name="E_KEYWORD_ISSR_208010681_UNF_PENS_OFF">#REF!</definedName>
    <definedName name="E_KEYWORD_ISSR_208010681_WORK_CAP">#REF!</definedName>
    <definedName name="E_LIVEDATA_EQTY_200013829">#REF!</definedName>
    <definedName name="E_LIVEDATA_ISSR_208010681">#REF!</definedName>
    <definedName name="E_PERIOD_2006">#REF!</definedName>
    <definedName name="E_PERIOD_2007">#REF!</definedName>
    <definedName name="E_PERIOD_2008">#REF!</definedName>
    <definedName name="E_PERIOD_2009">#REF!</definedName>
    <definedName name="E_PERIOD_2010">#REF!</definedName>
    <definedName name="E_PERIOD_2011">#REF!</definedName>
    <definedName name="E_PERIOD_2012">#REF!</definedName>
    <definedName name="E_PERIOD_2013">#REF!</definedName>
    <definedName name="E_PERIOD_2013_H1">#REF!</definedName>
    <definedName name="E_PERIOD_2013_H2">#REF!</definedName>
    <definedName name="E_PERIOD_2014">#REF!</definedName>
    <definedName name="E_PERIOD_2014_H1">#REF!</definedName>
    <definedName name="E_PERIOD_2015">#REF!</definedName>
    <definedName name="E_PERIOD_2016">#REF!</definedName>
    <definedName name="E_PERIOD_2017">#REF!</definedName>
    <definedName name="E_SECTION_EQTY_200013829_1314">#REF!</definedName>
    <definedName name="E_SECTION_EQTY_200013829_1316A">#REF!</definedName>
    <definedName name="E_SECTION_EQTY_200013829_1316B">#REF!</definedName>
    <definedName name="E_SECTION_EQTY_200013829_1316C">#REF!</definedName>
    <definedName name="E_SECTION_EQTY_200013829_1316D">#REF!</definedName>
    <definedName name="E_SECTION_EQTY_200013829_1316E">#REF!</definedName>
    <definedName name="E_SECTION_EQTY_200013829_131E">#REF!</definedName>
    <definedName name="E_SECTION_EQTY_200013829_131O">#REF!</definedName>
    <definedName name="E_SECTION_EQTY_200013829_13A">#REF!</definedName>
    <definedName name="E_SECTION_EQTY_200013829_13K">#REF!</definedName>
    <definedName name="E_SECTION_EQTY_200013829_13U">#REF!</definedName>
    <definedName name="E_SECTION_EQTY_200013829_13V">#REF!</definedName>
    <definedName name="E_SECTION_EQTY_200013829_Reference_Data">#REF!</definedName>
    <definedName name="E_SECTION_ISSR_208010681_1314">#REF!</definedName>
    <definedName name="E_SECTION_ISSR_208010681_13168">#REF!</definedName>
    <definedName name="E_SECTION_ISSR_208010681_1316B">#REF!</definedName>
    <definedName name="E_SECTION_ISSR_208010681_1316C">#REF!</definedName>
    <definedName name="E_SECTION_ISSR_208010681_1316D">#REF!</definedName>
    <definedName name="E_SECTION_ISSR_208010681_1316E">#REF!</definedName>
    <definedName name="E_SECTION_ISSR_208010681_1316T">#REF!</definedName>
    <definedName name="E_SECTION_ISSR_208010681_1316U">#REF!</definedName>
    <definedName name="E_SECTION_ISSR_208010681_1319">#REF!</definedName>
    <definedName name="E_SECTION_ISSR_208010681_131E">#REF!</definedName>
    <definedName name="E_SECTION_ISSR_208010681_131J">#REF!</definedName>
    <definedName name="E_SECTION_ISSR_208010681_131O">#REF!</definedName>
    <definedName name="E_SECTION_ISSR_208010681_13U">#REF!</definedName>
    <definedName name="E_SECTION_ISSR_208010681_13V">#REF!</definedName>
    <definedName name="E_SECTION_ISSR_208010681_Reference_Data">#REF!</definedName>
    <definedName name="EBIT">#REF!</definedName>
    <definedName name="EBIT_Hotels">#REF!</definedName>
    <definedName name="EBIT_Margin">#REF!</definedName>
    <definedName name="EBIT_NZ_FL">#REF!</definedName>
    <definedName name="EBITDA">MODEL!$224:$224</definedName>
    <definedName name="EBITDA_ANZ">#REF!</definedName>
    <definedName name="EBITDA_AU">#REF!</definedName>
    <definedName name="EBITDA_Aus">#REF!</definedName>
    <definedName name="EBITDA_Japan">#REF!</definedName>
    <definedName name="EBITDA_margin">#REF!</definedName>
    <definedName name="EBITDA_NZ">#REF!</definedName>
    <definedName name="EBITDA_NZ_In_AUD">#REF!</definedName>
    <definedName name="EBITS">#REF!</definedName>
    <definedName name="ECAPEX_01">#REF!</definedName>
    <definedName name="EFPO">MODEL!$220:$220</definedName>
    <definedName name="EFPOWA">MODEL!$218:$218</definedName>
    <definedName name="EMEA_2011">#REF!</definedName>
    <definedName name="EMEA_2012">#REF!</definedName>
    <definedName name="EMEA_2013">#REF!</definedName>
    <definedName name="EMEA_2014">#REF!</definedName>
    <definedName name="EMEA_2015">#REF!</definedName>
    <definedName name="EMEA_2016">#REF!</definedName>
    <definedName name="EMEA_2017">#REF!</definedName>
    <definedName name="EMEA_2018">#REF!</definedName>
    <definedName name="EMEA_EBIT">#REF!</definedName>
    <definedName name="EMEA_sales">#REF!</definedName>
    <definedName name="Employees_FTE">#REF!</definedName>
    <definedName name="Employees_No">#REF!</definedName>
    <definedName name="Endeavour_EBIT">#REF!</definedName>
    <definedName name="EPS">MODEL!$210:$210</definedName>
    <definedName name="EPS__pre_NRIs">#REF!</definedName>
    <definedName name="EPS_growth_pre_ga">MODEL!$211:$211</definedName>
    <definedName name="EPS_pre_ga">MODEL!$209:$209</definedName>
    <definedName name="Equity_profits">#REF!</definedName>
    <definedName name="Equity_raised">MODEL!$104:$104</definedName>
    <definedName name="Europe_EBITDA">#REF!</definedName>
    <definedName name="Europe_sales">#REF!</definedName>
    <definedName name="Expansionary_capex">#REF!</definedName>
    <definedName name="Final_Discount">OFFSET(#REF!,0,COUNT(#REF!)-1,1)</definedName>
    <definedName name="Final_dividend">MODEL!$71:$71</definedName>
    <definedName name="Financial_Instruments_Current_Assets">#REF!</definedName>
    <definedName name="Financial_Instruments_Current_Liabilities">#REF!</definedName>
    <definedName name="Financial_Instruments_Non_Current_Assets">#REF!</definedName>
    <definedName name="Financial_Instruments_Non_Current_Liabilities">#REF!</definedName>
    <definedName name="Financial_Instrunments_Current_Liabilities">#REF!</definedName>
    <definedName name="Financial_Summary_Table">Template!$B$13:$N$88</definedName>
    <definedName name="FITB">MODEL!$147:$147</definedName>
    <definedName name="Fixed_Charges_Cover_">#REF!</definedName>
    <definedName name="FLP_19">#REF!</definedName>
    <definedName name="Food_EBIT">#REF!</definedName>
    <definedName name="Forecast_Less_10">#REF!</definedName>
    <definedName name="Forecast_Plus_10">#REF!</definedName>
    <definedName name="Franking">MODEL!$214:$214</definedName>
    <definedName name="Franking_Credits">#REF!</definedName>
    <definedName name="Franking_Tax_Rate">#REF!</definedName>
    <definedName name="FrankingCredits">#REF!</definedName>
    <definedName name="Free_Cash_Flow_per_share">#REF!</definedName>
    <definedName name="FX_1H18">#REF!</definedName>
    <definedName name="FX_1H21">#REF!</definedName>
    <definedName name="FX_1H23">#REF!</definedName>
    <definedName name="FX_2018">#REF!</definedName>
    <definedName name="FX_2019">#REF!</definedName>
    <definedName name="FX_2020">#REF!</definedName>
    <definedName name="FX_2021">#REF!</definedName>
    <definedName name="FX_2022">#REF!</definedName>
    <definedName name="FX_2023">#REF!</definedName>
    <definedName name="FX_2024">#REF!</definedName>
    <definedName name="FX_2025">#REF!</definedName>
    <definedName name="FX_2026">#REF!</definedName>
    <definedName name="FX_2027">#REF!</definedName>
    <definedName name="FX_2028">#REF!</definedName>
    <definedName name="FX_2029">#REF!</definedName>
    <definedName name="FX_2030">#REF!</definedName>
    <definedName name="FX_2031">#REF!</definedName>
    <definedName name="FX_2032">#REF!</definedName>
    <definedName name="FX_2033">#REF!</definedName>
    <definedName name="FX_2H18">#REF!</definedName>
    <definedName name="FX_2H22">#REF!</definedName>
    <definedName name="FX_2H23">#REF!</definedName>
    <definedName name="Global_prod_EBIT" localSheetId="14">Segments!$71:$71</definedName>
    <definedName name="global_prod_sales" localSheetId="14">Segments!$32:$32</definedName>
    <definedName name="global_product" localSheetId="14">Segments!$32:$32</definedName>
    <definedName name="global_product_sales" localSheetId="14">Segments!$32:$32</definedName>
    <definedName name="Goodwill">#REF!</definedName>
    <definedName name="Grape_vines">#REF!</definedName>
    <definedName name="Gross_Goodwill">#REF!</definedName>
    <definedName name="Gross_Intangibles_ExGoodwill">#REF!</definedName>
    <definedName name="Gross_Interest_Expense">#REF!</definedName>
    <definedName name="gross_operating_cashflow">MODEL!$83:$83</definedName>
    <definedName name="Gross_PPE">#REF!</definedName>
    <definedName name="GrossOthIntang">#REF!</definedName>
    <definedName name="GrossProfit">#REF!</definedName>
    <definedName name="Group_Labour">#REF!</definedName>
    <definedName name="Group_SGA">#REF!</definedName>
    <definedName name="Growth_Less_1">#REF!</definedName>
    <definedName name="Growth_Plus_1">#REF!</definedName>
    <definedName name="H1_2012">#REF!</definedName>
    <definedName name="H1_2013">#REF!</definedName>
    <definedName name="H1_2014">#REF!</definedName>
    <definedName name="H1_2015">#REF!</definedName>
    <definedName name="H1_2016">#REF!</definedName>
    <definedName name="H1_2017">#REF!</definedName>
    <definedName name="H1_2018">#REF!</definedName>
    <definedName name="H1_2019">#REF!</definedName>
    <definedName name="H2_2013">#REF!</definedName>
    <definedName name="H2_2014">#REF!</definedName>
    <definedName name="H2_2015">#REF!</definedName>
    <definedName name="H2_2016">#REF!</definedName>
    <definedName name="H2_2017">#REF!</definedName>
    <definedName name="HK_sales" localSheetId="14">Segments!$30:$30</definedName>
    <definedName name="Imp_Credit">[1]DCF!$D$45</definedName>
    <definedName name="Increase_in_net_cash">#REF!</definedName>
    <definedName name="IncWCap_01">#REF!</definedName>
    <definedName name="IND_2005">#REF!</definedName>
    <definedName name="IND_2006">#REF!</definedName>
    <definedName name="IND_2007">#REF!</definedName>
    <definedName name="IND_2008">#REF!</definedName>
    <definedName name="IND_2009">#REF!</definedName>
    <definedName name="IND_2010">#REF!</definedName>
    <definedName name="IND_2011">#REF!</definedName>
    <definedName name="IND_2012">#REF!</definedName>
    <definedName name="IND_2013">#REF!</definedName>
    <definedName name="IND_2014">#REF!</definedName>
    <definedName name="IND_2015">#REF!</definedName>
    <definedName name="IND_2016">#REF!</definedName>
    <definedName name="IND_2017">#REF!</definedName>
    <definedName name="IND_2018">#REF!</definedName>
    <definedName name="IND_2019">#REF!</definedName>
    <definedName name="IND_2020">#REF!</definedName>
    <definedName name="IND_EBIT">#REF!</definedName>
    <definedName name="IND_Volume">#REF!</definedName>
    <definedName name="Int_Exp_Copy">#REF!</definedName>
    <definedName name="Int_Exp_Paste">#REF!</definedName>
    <definedName name="Int_Rev_Copy">#REF!</definedName>
    <definedName name="Int_Rev_Paste">#REF!</definedName>
    <definedName name="Interest_expense">#REF!</definedName>
    <definedName name="Interest_Income">#REF!</definedName>
    <definedName name="Interest_on_debt">#REF!</definedName>
    <definedName name="Interest_rate_on_cash">#REF!</definedName>
    <definedName name="Interest_Rev">MODEL!$117:$117</definedName>
    <definedName name="Interest_Rev_Just">#REF!</definedName>
    <definedName name="Interest_Revenue">#REF!</definedName>
    <definedName name="Interim_dividend">MODEL!$70:$70</definedName>
    <definedName name="IntExp">#REF!</definedName>
    <definedName name="IntRev">#REF!</definedName>
    <definedName name="Inventories">MODEL!$135:$135</definedName>
    <definedName name="Inventory_turnover">MODEL!$194:$194</definedName>
    <definedName name="Investments">MODEL!$146:$146</definedName>
    <definedName name="J_2003">#REF!</definedName>
    <definedName name="J_2004">#REF!</definedName>
    <definedName name="J_2004H1">#REF!</definedName>
    <definedName name="J_2004H2">#REF!</definedName>
    <definedName name="J_2005">#REF!</definedName>
    <definedName name="J_2005H1">#REF!</definedName>
    <definedName name="J_2005H2">#REF!</definedName>
    <definedName name="J_2006">#REF!</definedName>
    <definedName name="J_2006H1">#REF!</definedName>
    <definedName name="J_2006H2">#REF!</definedName>
    <definedName name="J_2007">#REF!</definedName>
    <definedName name="J_2007H1">#REF!</definedName>
    <definedName name="J_2007H2">#REF!</definedName>
    <definedName name="J_2008">#REF!</definedName>
    <definedName name="J_2008H1">#REF!</definedName>
    <definedName name="J_2008H2">#REF!</definedName>
    <definedName name="J_2009">#REF!</definedName>
    <definedName name="J_2009H1">#REF!</definedName>
    <definedName name="J_2009H2">#REF!</definedName>
    <definedName name="J_2010">#REF!</definedName>
    <definedName name="J_2010H1">#REF!</definedName>
    <definedName name="J_2010H2">#REF!</definedName>
    <definedName name="J_2011">#REF!</definedName>
    <definedName name="J_2011H1">#REF!</definedName>
    <definedName name="J_2011H2">#REF!</definedName>
    <definedName name="J_2012">#REF!</definedName>
    <definedName name="J_2012H1">#REF!</definedName>
    <definedName name="J_2012H2">#REF!</definedName>
    <definedName name="J_2013">#REF!</definedName>
    <definedName name="J_2013H1">#REF!</definedName>
    <definedName name="J_2014">#REF!</definedName>
    <definedName name="J_2014H1">#REF!</definedName>
    <definedName name="J_2015">#REF!</definedName>
    <definedName name="J_2015H1">#REF!</definedName>
    <definedName name="J_2016">#REF!</definedName>
    <definedName name="J_2017">#REF!</definedName>
    <definedName name="J_2018">#REF!</definedName>
    <definedName name="J_2019">#REF!</definedName>
    <definedName name="J_2020">#REF!</definedName>
    <definedName name="J_2021">#REF!</definedName>
    <definedName name="J_2022">#REF!</definedName>
    <definedName name="J_2023">#REF!</definedName>
    <definedName name="J_2024">#REF!</definedName>
    <definedName name="J_2025">#REF!</definedName>
    <definedName name="J_Interest_Cover">#REF!</definedName>
    <definedName name="J_ROFE">#REF!</definedName>
    <definedName name="J_SalesGrowth">#REF!</definedName>
    <definedName name="J_Total_Sales">#REF!</definedName>
    <definedName name="JacquiE_EBITA">#REF!</definedName>
    <definedName name="JacquiE_Stores">#REF!</definedName>
    <definedName name="JJays_EBITA">#REF!</definedName>
    <definedName name="JJays_Stores">#REF!</definedName>
    <definedName name="JJeans_EBITA">#REF!</definedName>
    <definedName name="JJeans_Stores">#REF!</definedName>
    <definedName name="Just_EBIT">#REF!</definedName>
    <definedName name="Just_EBIT_Growth">#REF!</definedName>
    <definedName name="Just_EBIT_MArgin">#REF!</definedName>
    <definedName name="Just_EBITA">#REF!</definedName>
    <definedName name="Just_EBITDA">#REF!</definedName>
    <definedName name="Just_Goodwill">#REF!</definedName>
    <definedName name="Just_Intangibles">#REF!</definedName>
    <definedName name="Just_Other_EBITA">#REF!</definedName>
    <definedName name="JustKorSales">#REF!</definedName>
    <definedName name="L_ALL_BRG.AX">#REF!</definedName>
    <definedName name="L_ALL_BRG.AX_">#REF!</definedName>
    <definedName name="L_ALL_CCL.AX">#REF!</definedName>
    <definedName name="L_ALL_CTD.AX">#REF!</definedName>
    <definedName name="L_ALL_DMP.AX">#REF!</definedName>
    <definedName name="L_ALL_EDV.AX">#REF!</definedName>
    <definedName name="L_ALL_KEYWORDS_TYPE_ScalarContributed_EQTY_200006063">#REF!,#REF!,#REF!,#REF!,#REF!,#REF!,#REF!</definedName>
    <definedName name="L_ALL_KEYWORDS_TYPE_ScalarContributed_EQTY_200013829">#REF!,#REF!,#REF!,#REF!,#REF!,#REF!,#REF!,#REF!</definedName>
    <definedName name="L_ALL_KEYWORDS_TYPE_ScalarContributed_EQTY_200014125">#REF!,#REF!,#REF!,#REF!,#REF!,#REF!,#REF!</definedName>
    <definedName name="L_ALL_KEYWORDS_TYPE_ScalarContributed_EQTY_200014152">#REF!,#REF!,#REF!,#REF!,#REF!,#REF!,#REF!</definedName>
    <definedName name="L_ALL_KEYWORDS_TYPE_ScalarContributed_ISSR_208002501">#REF!,#REF!</definedName>
    <definedName name="L_ALL_KEYWORDS_TYPE_ScalarContributed_ISSR_208010681">#REF!,#REF!,#REF!</definedName>
    <definedName name="L_ALL_KEYWORDS_TYPE_ScalarContributed_ISSR_208010774">#REF!,#REF!,#REF!</definedName>
    <definedName name="L_ALL_KEYWORDS_TYPE_ScalarContributed_ISSR_208010844">#REF!,#REF!,#REF!</definedName>
    <definedName name="L_ALL_KEYWORDS_TYPE_ScalarReference_EQTY_200013829">#REF!</definedName>
    <definedName name="L_ALL_KEYWORDS_TYPE_ScalarReference_ISSR_208010681">#REF!</definedName>
    <definedName name="L_ALL_KEYWORDS_TYPE_Vector_EQTY_200006063">#REF!,#REF!,#REF!,#REF!,#REF!,#REF!,#REF!,#REF!,#REF!,#REF!,#REF!,#REF!,#REF!</definedName>
    <definedName name="L_ALL_KEYWORDS_TYPE_Vector_EQTY_200013829">#REF!,#REF!,#REF!,#REF!,#REF!,#REF!,#REF!,#REF!,#REF!,#REF!,#REF!,#REF!,#REF!</definedName>
    <definedName name="L_ALL_KEYWORDS_TYPE_Vector_EQTY_200014021">#REF!,#REF!,#REF!,#REF!,#REF!,#REF!,#REF!,#REF!,#REF!,#REF!,#REF!,#REF!,#REF!</definedName>
    <definedName name="L_ALL_KEYWORDS_TYPE_Vector_EQTY_200014125">#REF!,#REF!,#REF!,#REF!,#REF!,#REF!,#REF!,#REF!,#REF!,#REF!,#REF!,#REF!,#REF!</definedName>
    <definedName name="L_ALL_KEYWORDS_TYPE_Vector_EQTY_200014152">#REF!,#REF!,#REF!,#REF!,#REF!,#REF!,#REF!,#REF!,#REF!,#REF!,#REF!,#REF!,#REF!</definedName>
    <definedName name="L_ALL_KEYWORDS_TYPE_Vector_ISSR_208002501">#REF!,#REF!,#REF!,#REF!,#REF!,#REF!,#REF!,#REF!,#REF!,#REF!,#REF!,#REF!,#REF!,#REF!,#REF!,#REF!,#REF!,#REF!</definedName>
    <definedName name="L_ALL_KEYWORDS_TYPE_Vector_ISSR_208010774">#REF!,#REF!,#REF!,#REF!,#REF!,#REF!,#REF!,#REF!,#REF!,#REF!,#REF!,#REF!,#REF!,#REF!,#REF!,#REF!,#REF!,#REF!,#REF!</definedName>
    <definedName name="L_ALL_KEYWORDS_TYPE_Vector_ISSR_208010826">#REF!,#REF!,#REF!,#REF!,#REF!,#REF!,#REF!,#REF!,#REF!,#REF!,#REF!,#REF!,#REF!,#REF!,#REF!,#REF!,#REF!,#REF!,#REF!,#REF!,#REF!,#REF!,#REF!,#REF!</definedName>
    <definedName name="L_ALL_KEYWORDS_TYPE_Vector_ISSR_208010844">#REF!,#REF!,#REF!,#REF!,#REF!,#REF!,#REF!,#REF!,#REF!,#REF!,#REF!,#REF!,#REF!,#REF!,#REF!</definedName>
    <definedName name="L_ALL_PMV.AX">#REF!</definedName>
    <definedName name="L_ALL_SECTION_KEYWORDS_EQTY_200013829_1314">#REF!</definedName>
    <definedName name="L_ALL_SECTION_KEYWORDS_EQTY_200013829_1316A">#REF!</definedName>
    <definedName name="L_ALL_SECTION_KEYWORDS_EQTY_200013829_1316B">#REF!</definedName>
    <definedName name="L_ALL_SECTION_KEYWORDS_EQTY_200013829_1316C">#REF!</definedName>
    <definedName name="L_ALL_SECTION_KEYWORDS_EQTY_200013829_1316D">#REF!</definedName>
    <definedName name="L_ALL_SECTION_KEYWORDS_EQTY_200013829_1316E">#REF!</definedName>
    <definedName name="L_ALL_SECTION_KEYWORDS_EQTY_200013829_131E">#REF!</definedName>
    <definedName name="L_ALL_SECTION_KEYWORDS_EQTY_200013829_131O">#REF!</definedName>
    <definedName name="L_ALL_SECTION_KEYWORDS_EQTY_200013829_13A">#REF!</definedName>
    <definedName name="L_ALL_SECTION_KEYWORDS_EQTY_200013829_13K">#REF!</definedName>
    <definedName name="L_ALL_SECTION_KEYWORDS_EQTY_200013829_13U">#REF!</definedName>
    <definedName name="L_ALL_SECTION_KEYWORDS_EQTY_200013829_13V">#REF!</definedName>
    <definedName name="L_ALL_SECTION_KEYWORDS_EQTY_200013829_Reference_Data">#REF!</definedName>
    <definedName name="L_ALL_SECTION_KEYWORDS_ISSR_208002501_136E">#REF!,#REF!</definedName>
    <definedName name="L_ALL_SECTION_KEYWORDS_ISSR_208002501_136J">#REF!,#REF!</definedName>
    <definedName name="L_ALL_SECTION_KEYWORDS_ISSR_208002501_13A">#REF!,#REF!</definedName>
    <definedName name="L_ALL_SECTION_KEYWORDS_ISSR_208010681_1314">#REF!</definedName>
    <definedName name="L_ALL_SECTION_KEYWORDS_ISSR_208010681_13168">#REF!</definedName>
    <definedName name="L_ALL_SECTION_KEYWORDS_ISSR_208010681_1316B">#REF!</definedName>
    <definedName name="L_ALL_SECTION_KEYWORDS_ISSR_208010681_1316C">#REF!</definedName>
    <definedName name="L_ALL_SECTION_KEYWORDS_ISSR_208010681_1316D">#REF!</definedName>
    <definedName name="L_ALL_SECTION_KEYWORDS_ISSR_208010681_1316E">#REF!</definedName>
    <definedName name="L_ALL_SECTION_KEYWORDS_ISSR_208010681_1316T">#REF!</definedName>
    <definedName name="L_ALL_SECTION_KEYWORDS_ISSR_208010681_1316U">#REF!</definedName>
    <definedName name="L_ALL_SECTION_KEYWORDS_ISSR_208010681_1319">#REF!</definedName>
    <definedName name="L_ALL_SECTION_KEYWORDS_ISSR_208010681_131E">#REF!</definedName>
    <definedName name="L_ALL_SECTION_KEYWORDS_ISSR_208010681_131J">#REF!</definedName>
    <definedName name="L_ALL_SECTION_KEYWORDS_ISSR_208010681_131O">#REF!</definedName>
    <definedName name="L_ALL_SECTION_KEYWORDS_ISSR_208010681_136E">#REF!,#REF!</definedName>
    <definedName name="L_ALL_SECTION_KEYWORDS_ISSR_208010681_136J">#REF!</definedName>
    <definedName name="L_ALL_SECTION_KEYWORDS_ISSR_208010681_13A">#REF!,#REF!</definedName>
    <definedName name="L_ALL_SECTION_KEYWORDS_ISSR_208010681_13U">#REF!</definedName>
    <definedName name="L_ALL_SECTION_KEYWORDS_ISSR_208010681_13V">#REF!</definedName>
    <definedName name="L_ALL_SECTION_KEYWORDS_ISSR_208010681_Reference_Data">#REF!</definedName>
    <definedName name="L_ALL_SECTION_KEYWORDS_ISSR_208010774_13V">#REF!,#REF!</definedName>
    <definedName name="L_ALL_SECTION_KEYWORDS_ISSR_208010826_136J">#REF!,#REF!</definedName>
    <definedName name="L_ALL_SECTION_KEYWORDS_ISSR_208010844_136E">#REF!,#REF!</definedName>
    <definedName name="L_ALL_SECTION_KEYWORDS_ISSR_208010844_13A">#REF!,#REF!</definedName>
    <definedName name="L_ALL_TWE.AX">#REF!</definedName>
    <definedName name="L_CURRENCY_EQTY_200006063_PRI">#REF!</definedName>
    <definedName name="L_CURRENCY_EQTY_200006063_PUB">#REF!</definedName>
    <definedName name="L_CURRENCY_EQTY_200006063_REP">#REF!</definedName>
    <definedName name="L_CURRENCY_EQTY_200013829_PRI">#REF!</definedName>
    <definedName name="L_CURRENCY_EQTY_200013829_PUB">#REF!</definedName>
    <definedName name="L_CURRENCY_EQTY_200013829_REP">#REF!</definedName>
    <definedName name="L_CURRENCY_EQTY_200014125_PRI">#REF!</definedName>
    <definedName name="L_CURRENCY_EQTY_200014125_PUB">#REF!</definedName>
    <definedName name="L_CURRENCY_EQTY_200014125_REP">#REF!</definedName>
    <definedName name="L_CURRENCY_EQTY_200014152_PRI">#REF!</definedName>
    <definedName name="L_CURRENCY_EQTY_200014152_PUB">#REF!</definedName>
    <definedName name="L_CURRENCY_EQTY_200014152_REP">#REF!</definedName>
    <definedName name="L_CURRENCY_ISSR_208002501_REP">#REF!</definedName>
    <definedName name="L_CURRENCY_ISSR_208010681_REP">#REF!</definedName>
    <definedName name="L_CURRENCY_ISSR_208010826_REP">#REF!</definedName>
    <definedName name="L_CURRENCY_ISSR_208010844_REP">#REF!</definedName>
    <definedName name="L_KEYWORD_EQTY_200013829_ANZ_LIST">#REF!</definedName>
    <definedName name="L_KEYWORD_EQTY_200013829_ASSET_SALES_GAIN_LOSS">#REF!</definedName>
    <definedName name="L_KEYWORD_EQTY_200013829_BASE_CASE_VAL_DCF">#REF!</definedName>
    <definedName name="L_KEYWORD_EQTY_200013829_BENEFITS_TAX_LOSSES">#REF!</definedName>
    <definedName name="L_KEYWORD_EQTY_200013829_BETA_ANALYST">#REF!</definedName>
    <definedName name="L_KEYWORD_EQTY_200013829_BVPS">#REF!</definedName>
    <definedName name="L_KEYWORD_EQTY_200013829_BVPS_PUB">#REF!</definedName>
    <definedName name="L_KEYWORD_EQTY_200013829_CATALYST1_DATE">#REF!</definedName>
    <definedName name="L_KEYWORD_EQTY_200013829_CATALYST1_EVENT">#REF!</definedName>
    <definedName name="L_KEYWORD_EQTY_200013829_CATALYST2_DATE">#REF!</definedName>
    <definedName name="L_KEYWORD_EQTY_200013829_CATALYST2_EVENT">#REF!</definedName>
    <definedName name="L_KEYWORD_EQTY_200013829_CATALYST3_DATE">#REF!</definedName>
    <definedName name="L_KEYWORD_EQTY_200013829_CATALYST3_EVENT">#REF!</definedName>
    <definedName name="L_KEYWORD_EQTY_200013829_CATALYST4_DATE">#REF!</definedName>
    <definedName name="L_KEYWORD_EQTY_200013829_CATALYST4_EVENT">#REF!</definedName>
    <definedName name="L_KEYWORD_EQTY_200013829_CATALYST5_DATE">#REF!</definedName>
    <definedName name="L_KEYWORD_EQTY_200013829_CATALYST5_EVENT">#REF!</definedName>
    <definedName name="L_KEYWORD_EQTY_200013829_CF_NI_PRE_PREF">#REF!</definedName>
    <definedName name="L_KEYWORD_EQTY_200013829_CF_OPS_SHARE_NZ">#REF!</definedName>
    <definedName name="L_KEYWORD_EQTY_200013829_COMMON_DIV_PAID">#REF!</definedName>
    <definedName name="L_KEYWORD_EQTY_200013829_CONVERTIBLE_NOTES">#REF!</definedName>
    <definedName name="L_KEYWORD_EQTY_200013829_COST_OF_EQUITY_DCF">#REF!</definedName>
    <definedName name="L_KEYWORD_EQTY_200013829_CUM_PRESENT_VAL_CASH_FLOWS_DCF">#REF!</definedName>
    <definedName name="L_KEYWORD_EQTY_200013829_CURRENCY_ISO">#REF!</definedName>
    <definedName name="L_KEYWORD_EQTY_200013829_DCF_CASH_FLOW">#REF!</definedName>
    <definedName name="L_KEYWORD_EQTY_200013829_DEBT_EQUITY">#REF!</definedName>
    <definedName name="L_KEYWORD_EQTY_200013829_DEBT_RISK_MARGIN_DCF">#REF!</definedName>
    <definedName name="L_KEYWORD_EQTY_200013829_DILUTE_SHARES">#REF!</definedName>
    <definedName name="L_KEYWORD_EQTY_200013829_DISCOUNT_FACTOR_DCF">#REF!</definedName>
    <definedName name="L_KEYWORD_EQTY_200013829_DPS">#REF!</definedName>
    <definedName name="L_KEYWORD_EQTY_200013829_DPS_PUB">#REF!</definedName>
    <definedName name="L_KEYWORD_EQTY_200013829_EBIT_PUB">#REF!</definedName>
    <definedName name="L_KEYWORD_EQTY_200013829_EBITDA_PUB">#REF!</definedName>
    <definedName name="L_KEYWORD_EQTY_200013829_EBITDAF">#REF!</definedName>
    <definedName name="L_KEYWORD_EQTY_200013829_EFPO">#REF!</definedName>
    <definedName name="L_KEYWORD_EQTY_200013829_EFPOWA">#REF!</definedName>
    <definedName name="L_KEYWORD_EQTY_200013829_EPS">#REF!</definedName>
    <definedName name="L_KEYWORD_EQTY_200013829_EPS_CONS_PUB">#REF!</definedName>
    <definedName name="L_KEYWORD_EQTY_200013829_EPS_FUL_DIL">#REF!</definedName>
    <definedName name="L_KEYWORD_EQTY_200013829_EPS_POST_BASIC">#REF!</definedName>
    <definedName name="L_KEYWORD_EQTY_200013829_EPS_PRE_GWILL">#REF!</definedName>
    <definedName name="L_KEYWORD_EQTY_200013829_EPS_PUB">#REF!</definedName>
    <definedName name="L_KEYWORD_EQTY_200013829_EPS_REPORTED">#REF!</definedName>
    <definedName name="L_KEYWORD_EQTY_200013829_EQ_PUB">#REF!</definedName>
    <definedName name="L_KEYWORD_EQTY_200013829_EQUITY_VALUE_DCF">#REF!</definedName>
    <definedName name="L_KEYWORD_EQTY_200013829_EV_ADJ_PUB">#REF!</definedName>
    <definedName name="L_KEYWORD_EQTY_200013829_FIN_INSTRUMENT_HEDGE_POST_TAX">#REF!</definedName>
    <definedName name="L_KEYWORD_EQTY_200013829_FINAL_DIV_AMOUNT">#REF!</definedName>
    <definedName name="L_KEYWORD_EQTY_200013829_FINAL_DIV_EXDATE">#REF!</definedName>
    <definedName name="L_KEYWORD_EQTY_200013829_FINAL_DIV_FRANK">#REF!</definedName>
    <definedName name="L_KEYWORD_EQTY_200013829_FINAL_DIV_TAXRATE">#REF!</definedName>
    <definedName name="L_KEYWORD_EQTY_200013829_FOREIGN_EXCHANGE_GAIN_LOSS">#REF!</definedName>
    <definedName name="L_KEYWORD_EQTY_200013829_FOREIGN_HOLDNG">#REF!</definedName>
    <definedName name="L_KEYWORD_EQTY_200013829_FRANK_TAX_RATE">#REF!</definedName>
    <definedName name="L_KEYWORD_EQTY_200013829_FRANKING">#REF!</definedName>
    <definedName name="L_KEYWORD_EQTY_200013829_FRANKING_ANZPUB">#REF!</definedName>
    <definedName name="L_KEYWORD_EQTY_200013829_FREE_FLOAT">#REF!</definedName>
    <definedName name="L_KEYWORD_EQTY_200013829_FULLY_DIL_EPS">#REF!</definedName>
    <definedName name="L_KEYWORD_EQTY_200013829_GWILL_ASSET_IMP_CHG_POST_TAX">#REF!</definedName>
    <definedName name="L_KEYWORD_EQTY_200013829_IMP_CREDITS_PER_SHARE_DCF">#REF!</definedName>
    <definedName name="L_KEYWORD_EQTY_200013829_INC_MINORITY">#REF!</definedName>
    <definedName name="L_KEYWORD_EQTY_200013829_INCTAX_PL_ON_AB">#REF!</definedName>
    <definedName name="L_KEYWORD_EQTY_200013829_INCTAX_PL_POST_AB">#REF!</definedName>
    <definedName name="L_KEYWORD_EQTY_200013829_INT_DIV_AMOUNT">#REF!</definedName>
    <definedName name="L_KEYWORD_EQTY_200013829_INT_DIV_EXDATE">#REF!</definedName>
    <definedName name="L_KEYWORD_EQTY_200013829_INT_DIV_FRANK">#REF!</definedName>
    <definedName name="L_KEYWORD_EQTY_200013829_INT_DIV_TAXRATE">#REF!</definedName>
    <definedName name="L_KEYWORD_EQTY_200013829_Interim_Type">#REF!</definedName>
    <definedName name="L_KEYWORD_EQTY_200013829_INTRINSIC_PER_SHARE_VALUE_DCF">#REF!</definedName>
    <definedName name="L_KEYWORD_EQTY_200013829_LEGAL_RATING">#REF!</definedName>
    <definedName name="L_KEYWORD_EQTY_200013829_MARGIN_TAX_RATE">#REF!</definedName>
    <definedName name="L_KEYWORD_EQTY_200013829_MARKET_VALUE_OF_INVESTMENTS_DCF">#REF!</definedName>
    <definedName name="L_KEYWORD_EQTY_200013829_MKT_EQ_RISK_PREM">#REF!</definedName>
    <definedName name="L_KEYWORD_EQTY_200013829_NET_DEBT_NET_CASH_DCF">#REF!</definedName>
    <definedName name="L_KEYWORD_EQTY_200013829_NET_DEBT_PUB">#REF!</definedName>
    <definedName name="L_KEYWORD_EQTY_200013829_NET_EARNING">#REF!</definedName>
    <definedName name="L_KEYWORD_EQTY_200013829_NET_INC">#REF!</definedName>
    <definedName name="L_KEYWORD_EQTY_200013829_NET_PROFIT">#REF!</definedName>
    <definedName name="L_KEYWORD_EQTY_200013829_NET_TANGIBLE_ASSETS_ADJUSTED_NZ">#REF!</definedName>
    <definedName name="L_KEYWORD_EQTY_200013829_NI_CONS">#REF!</definedName>
    <definedName name="L_KEYWORD_EQTY_200013829_NI_PRE_PREF">#REF!</definedName>
    <definedName name="L_KEYWORD_EQTY_200013829_NI_PUB">#REF!</definedName>
    <definedName name="L_KEYWORD_EQTY_200013829_NI_REPT_PUB">#REF!</definedName>
    <definedName name="L_KEYWORD_EQTY_200013829_NON_OP_ADD">#REF!</definedName>
    <definedName name="L_KEYWORD_EQTY_200013829_NOPAT">#REF!</definedName>
    <definedName name="L_KEYWORD_EQTY_200013829_NTA_PER_SHARE">#REF!</definedName>
    <definedName name="L_KEYWORD_EQTY_200013829_NUM_SH">#REF!</definedName>
    <definedName name="L_KEYWORD_EQTY_200013829_NZ_FRANKING">#REF!</definedName>
    <definedName name="L_KEYWORD_EQTY_200013829_OPPL_ATAX_POST_AB">#REF!</definedName>
    <definedName name="L_KEYWORD_EQTY_200013829_OPPL_ATAX_PRE_AB">#REF!</definedName>
    <definedName name="L_KEYWORD_EQTY_200013829_OPTIONS">#REF!</definedName>
    <definedName name="L_KEYWORD_EQTY_200013829_OTH_ASSET_IMPAIR_CHG_POST_TAX">#REF!</definedName>
    <definedName name="L_KEYWORD_EQTY_200013829_OTHER_ABNORMAL_ITEMS">#REF!</definedName>
    <definedName name="L_KEYWORD_EQTY_200013829_OTHER_CAPITAL">#REF!</definedName>
    <definedName name="L_KEYWORD_EQTY_200013829_OTHER_IFRS_ADJUST_POST_TAX">#REF!</definedName>
    <definedName name="L_KEYWORD_EQTY_200013829_PARTLY_PAID_SHARES">#REF!</definedName>
    <definedName name="L_KEYWORD_EQTY_200013829_PERPETUITY_GROWTH_RATE_DCF">#REF!</definedName>
    <definedName name="L_KEYWORD_EQTY_200013829_PREF_DIV">#REF!</definedName>
    <definedName name="L_KEYWORD_EQTY_200013829_PREFERENCE_SHARES">#REF!</definedName>
    <definedName name="L_KEYWORD_EQTY_200013829_PRESENT_VALUE_OF_CASH_FLOW_DCF">#REF!</definedName>
    <definedName name="L_KEYWORD_EQTY_200013829_PRI_TARG_METH">#REF!</definedName>
    <definedName name="L_KEYWORD_EQTY_200013829_PRI_TARG_MULT">#REF!</definedName>
    <definedName name="L_KEYWORD_EQTY_200013829_PRICE_CURRENCY_ISO">#REF!</definedName>
    <definedName name="L_KEYWORD_EQTY_200013829_PROF_ADJUST_EPS">#REF!</definedName>
    <definedName name="L_KEYWORD_EQTY_200013829_PROV_INC_TAX">#REF!</definedName>
    <definedName name="L_KEYWORD_EQTY_200013829_PTP_PUB">#REF!</definedName>
    <definedName name="L_KEYWORD_EQTY_200013829_PUB_CURRENCY_ISO">#REF!</definedName>
    <definedName name="L_KEYWORD_EQTY_200013829_RESTRUC_COSTS">#REF!</definedName>
    <definedName name="L_KEYWORD_EQTY_200013829_REVS_PUB">#REF!</definedName>
    <definedName name="L_KEYWORD_EQTY_200013829_RISK_ADJ_OPTION_VALUE_DCF">#REF!</definedName>
    <definedName name="L_KEYWORD_EQTY_200013829_RISK_FR_RATE">#REF!</definedName>
    <definedName name="L_KEYWORD_EQTY_200013829_RISK_TO_EARNINGS">#REF!</definedName>
    <definedName name="L_KEYWORD_EQTY_200013829_ROCE_ANZ">#REF!</definedName>
    <definedName name="L_KEYWORD_EQTY_200013829_Security_Name">#REF!</definedName>
    <definedName name="L_KEYWORD_EQTY_200013829_SH">#REF!</definedName>
    <definedName name="L_KEYWORD_EQTY_200013829_SHOLDERS_EQUITY_MBRS">#REF!</definedName>
    <definedName name="L_KEYWORD_EQTY_200013829_STD_FREE_OP_CASH_FLOW_DCF">#REF!</definedName>
    <definedName name="L_KEYWORD_EQTY_200013829_TARGET_PRICE">#REF!</definedName>
    <definedName name="L_KEYWORD_EQTY_200013829_TAX_EXC">#REF!</definedName>
    <definedName name="L_KEYWORD_EQTY_200013829_TAX_RATE_DCF">#REF!</definedName>
    <definedName name="L_KEYWORD_EQTY_200013829_TERMINAL_YEAR_DCF">#REF!</definedName>
    <definedName name="L_KEYWORD_EQTY_200013829_Ticker">#REF!</definedName>
    <definedName name="L_KEYWORD_EQTY_200013829_TOTAL_CAPITAL">#REF!</definedName>
    <definedName name="L_KEYWORD_EQTY_200013829_TOTAL_IFRS_ADJUST_POST_TAX">#REF!</definedName>
    <definedName name="L_KEYWORD_EQTY_200013829_TP_PERIOD">#REF!</definedName>
    <definedName name="L_KEYWORD_EQTY_200013829_WACC_DCF">#REF!</definedName>
    <definedName name="L_KEYWORD_EQTY_200013829_YEAR_END_CAPITAL_EVA">#REF!</definedName>
    <definedName name="L_KEYWORD_ISSR_208010681_ACC_AMORT">#REF!</definedName>
    <definedName name="L_KEYWORD_ISSR_208010681_ACC_DDA">#REF!</definedName>
    <definedName name="L_KEYWORD_ISSR_208010681_ACC_END_DATE">#REF!</definedName>
    <definedName name="L_KEYWORD_ISSR_208010681_ACC_PAY_GQ">#REF!</definedName>
    <definedName name="L_KEYWORD_ISSR_208010681_ACCESS_CONNECTION">#REF!</definedName>
    <definedName name="L_KEYWORD_ISSR_208010681_ACQ">#REF!</definedName>
    <definedName name="L_KEYWORD_ISSR_208010681_ADJ_UNF_PENS_GOOD">#REF!</definedName>
    <definedName name="L_KEYWORD_ISSR_208010681_AMORT_OF_INTANGIBLES">#REF!</definedName>
    <definedName name="L_KEYWORD_ISSR_208010681_AMORT_OF_INTANGIBLES_ADJ">#REF!</definedName>
    <definedName name="L_KEYWORD_ISSR_208010681_ASSOC_JV_ADDBK">#REF!</definedName>
    <definedName name="L_KEYWORD_ISSR_208010681_ASSOCIATE">#REF!</definedName>
    <definedName name="L_KEYWORD_ISSR_208010681_ASSOCIATE_OP">#REF!</definedName>
    <definedName name="L_KEYWORD_ISSR_208010681_AVG_CAPITAL_EMPLOYED_ADJ">#REF!</definedName>
    <definedName name="L_KEYWORD_ISSR_208010681_BAL_MINO_INT">#REF!</definedName>
    <definedName name="L_KEYWORD_ISSR_208010681_BAL_OF_FRANK_CREDITS">#REF!</definedName>
    <definedName name="L_KEYWORD_ISSR_208010681_BANK_ODRAFT">#REF!</definedName>
    <definedName name="L_KEYWORD_ISSR_208010681_BORROWINGS">#REF!</definedName>
    <definedName name="L_KEYWORD_ISSR_208010681_CAP_LEASES">#REF!</definedName>
    <definedName name="L_KEYWORD_ISSR_208010681_CAPEX">#REF!</definedName>
    <definedName name="L_KEYWORD_ISSR_208010681_CAPEX_EXPANSION">#REF!</definedName>
    <definedName name="L_KEYWORD_ISSR_208010681_CAPEX_MAINTENANCE">#REF!</definedName>
    <definedName name="L_KEYWORD_ISSR_208010681_CASH_EQ">#REF!</definedName>
    <definedName name="L_KEYWORD_ISSR_208010681_CASH_INT_EXP">#REF!</definedName>
    <definedName name="L_KEYWORD_ISSR_208010681_CASH_TAX_EXP">#REF!</definedName>
    <definedName name="L_KEYWORD_ISSR_208010681_CF_FIN">#REF!</definedName>
    <definedName name="L_KEYWORD_ISSR_208010681_CF_FX">#REF!</definedName>
    <definedName name="L_KEYWORD_ISSR_208010681_CF_INC_MINORITY">#REF!</definedName>
    <definedName name="L_KEYWORD_ISSR_208010681_CF_INV">#REF!</definedName>
    <definedName name="L_KEYWORD_ISSR_208010681_CF_INV_MISC">#REF!</definedName>
    <definedName name="L_KEYWORD_ISSR_208010681_CF_OPS">#REF!</definedName>
    <definedName name="L_KEYWORD_ISSR_208010681_CF_OPS_MISC">#REF!</definedName>
    <definedName name="L_KEYWORD_ISSR_208010681_CHG_LT_DEBT">#REF!</definedName>
    <definedName name="L_KEYWORD_ISSR_208010681_CO_BOR_MARGIN">#REF!</definedName>
    <definedName name="L_KEYWORD_ISSR_208010681_COST_GD_SD">#REF!</definedName>
    <definedName name="L_KEYWORD_ISSR_208010681_COST_OF_DEBT_DCF">#REF!</definedName>
    <definedName name="L_KEYWORD_ISSR_208010681_CUR_ASS">#REF!</definedName>
    <definedName name="L_KEYWORD_ISSR_208010681_CUR_ASS_MISC">#REF!</definedName>
    <definedName name="L_KEYWORD_ISSR_208010681_CUR_LIABS_MISC">#REF!</definedName>
    <definedName name="L_KEYWORD_ISSR_208010681_CURRENCY_ISO">#REF!</definedName>
    <definedName name="L_KEYWORD_ISSR_208010681_CUSTOMER_RECEIPTS">#REF!</definedName>
    <definedName name="L_KEYWORD_ISSR_208010681_DEBT_TO_EQUITY_MKT_VALUES_DCF">#REF!</definedName>
    <definedName name="L_KEYWORD_ISSR_208010681_DEBTORS">#REF!</definedName>
    <definedName name="L_KEYWORD_ISSR_208010681_DEF_INC_TAX">#REF!</definedName>
    <definedName name="L_KEYWORD_ISSR_208010681_DEFINED_BENEFIT_OBLIGATION">#REF!</definedName>
    <definedName name="L_KEYWORD_ISSR_208010681_DEFINED_BENEFIT_SURPLUS">#REF!</definedName>
    <definedName name="L_KEYWORD_ISSR_208010681_DEPR_AMORT">#REF!</definedName>
    <definedName name="L_KEYWORD_ISSR_208010681_DEPREC">#REF!</definedName>
    <definedName name="L_KEYWORD_ISSR_208010681_DIV_PAID">#REF!</definedName>
    <definedName name="L_KEYWORD_ISSR_208010681_DIVDS_ASSOC_JV">#REF!</definedName>
    <definedName name="L_KEYWORD_ISSR_208010681_DIVDS_PD_MINORITIES">#REF!</definedName>
    <definedName name="L_KEYWORD_ISSR_208010681_DIVEST">#REF!</definedName>
    <definedName name="L_KEYWORD_ISSR_208010681_DIVIDENDS_RECEIVED">#REF!</definedName>
    <definedName name="L_KEYWORD_ISSR_208010681_EBIT">#REF!</definedName>
    <definedName name="L_KEYWORD_ISSR_208010681_EBIT_CONSOLIDATED">#REF!</definedName>
    <definedName name="L_KEYWORD_ISSR_208010681_EBIT_CONSOLIDATED_PRE_ASSOC">#REF!</definedName>
    <definedName name="L_KEYWORD_ISSR_208010681_EBITDA_CALC">#REF!</definedName>
    <definedName name="L_KEYWORD_ISSR_208010681_EBITDA_CONSOLIDATED">#REF!</definedName>
    <definedName name="L_KEYWORD_ISSR_208010681_EMPLOYEES">#REF!</definedName>
    <definedName name="L_KEYWORD_ISSR_208010681_EQ">#REF!</definedName>
    <definedName name="L_KEYWORD_ISSR_208010681_EXP_COPPER">#REF!</definedName>
    <definedName name="L_KEYWORD_ISSR_208010681_EXP_OTH_COMMODITY">#REF!</definedName>
    <definedName name="L_KEYWORD_ISSR_208010681_EXP_OTH_COST">#REF!</definedName>
    <definedName name="L_KEYWORD_ISSR_208010681_EXP_STEEL">#REF!</definedName>
    <definedName name="L_KEYWORD_ISSR_208010681_EXP_ZINC">#REF!</definedName>
    <definedName name="L_KEYWORD_ISSR_208010681_FIN_INSTR_HEDGE_CURR_LIABILITY">#REF!</definedName>
    <definedName name="L_KEYWORD_ISSR_208010681_FIN_INSTR_HEDGE_CURRENT">#REF!</definedName>
    <definedName name="L_KEYWORD_ISSR_208010681_FIN_INSTR_HEDGE_NON_CURR_LIAB">#REF!</definedName>
    <definedName name="L_KEYWORD_ISSR_208010681_FIN_INSTR_HEDGE_NON_CURRENT">#REF!</definedName>
    <definedName name="L_KEYWORD_ISSR_208010681_FIN_INSTRUMENT_HEDGE_PRE_TAX">#REF!</definedName>
    <definedName name="L_KEYWORD_ISSR_208010681_FIX_ASS_INV">#REF!</definedName>
    <definedName name="L_KEYWORD_ISSR_208010681_GCI_INFL">#REF!</definedName>
    <definedName name="L_KEYWORD_ISSR_208010681_GOODWILL_AMORT">#REF!</definedName>
    <definedName name="L_KEYWORD_ISSR_208010681_GOODWILL_NET_AMNT">#REF!</definedName>
    <definedName name="L_KEYWORD_ISSR_208010681_GR_FIX_ASS">#REF!</definedName>
    <definedName name="L_KEYWORD_ISSR_208010681_GR_INTANG">#REF!</definedName>
    <definedName name="L_KEYWORD_ISSR_208010681_GWILL_ASSET_IMPAIR_CHG_PRE_TAX">#REF!</definedName>
    <definedName name="L_KEYWORD_ISSR_208010681_INT_EXP_IND">#REF!</definedName>
    <definedName name="L_KEYWORD_ISSR_208010681_INT_INC_IND">#REF!</definedName>
    <definedName name="L_KEYWORD_ISSR_208010681_INT_OTHERS_RECEIVED">#REF!</definedName>
    <definedName name="L_KEYWORD_ISSR_208010681_INV_SECUR">#REF!</definedName>
    <definedName name="L_KEYWORD_ISSR_208010681_INVESTMENTS">#REF!</definedName>
    <definedName name="L_KEYWORD_ISSR_208010681_Issuer_Name">#REF!</definedName>
    <definedName name="L_KEYWORD_ISSR_208010681_LABOUR">#REF!</definedName>
    <definedName name="L_KEYWORD_ISSR_208010681_LAND_BUILDINGS">#REF!</definedName>
    <definedName name="L_KEYWORD_ISSR_208010681_LEASE_DEEM_DEPR">#REF!</definedName>
    <definedName name="L_KEYWORD_ISSR_208010681_LEASE_DEEM_INT">#REF!</definedName>
    <definedName name="L_KEYWORD_ISSR_208010681_LEASE_PAY">#REF!</definedName>
    <definedName name="L_KEYWORD_ISSR_208010681_LOAN_REPAID_OTHER_ENTS">#REF!</definedName>
    <definedName name="L_KEYWORD_ISSR_208010681_LOANS_OTHER_ENTITIES">#REF!</definedName>
    <definedName name="L_KEYWORD_ISSR_208010681_LT_DEBT">#REF!</definedName>
    <definedName name="L_KEYWORD_ISSR_208010681_MARKETING_ADVERTISNIG">#REF!</definedName>
    <definedName name="L_KEYWORD_ISSR_208010681_MINORITIES">#REF!</definedName>
    <definedName name="L_KEYWORD_ISSR_208010681_MV_ASSOCIATES">#REF!</definedName>
    <definedName name="L_KEYWORD_ISSR_208010681_MV_CONVERTIBLE_NOTES">#REF!</definedName>
    <definedName name="L_KEYWORD_ISSR_208010681_MV_NET_OTHER_STAKEHOLDERS">#REF!</definedName>
    <definedName name="L_KEYWORD_ISSR_208010681_NCASSET_INVENTORIES">#REF!</definedName>
    <definedName name="L_KEYWORD_ISSR_208010681_NCASSET_INVESTMENT">#REF!</definedName>
    <definedName name="L_KEYWORD_ISSR_208010681_NCASSET_MISC">#REF!</definedName>
    <definedName name="L_KEYWORD_ISSR_208010681_NCASSET_RECEIVABLES">#REF!</definedName>
    <definedName name="L_KEYWORD_ISSR_208010681_NCASSET_TRADE_DEBTORS">#REF!</definedName>
    <definedName name="L_KEYWORD_ISSR_208010681_NCLIAB_MISC">#REF!</definedName>
    <definedName name="L_KEYWORD_ISSR_208010681_NCLIAB_OTHER_CREDITORS">#REF!</definedName>
    <definedName name="L_KEYWORD_ISSR_208010681_NCLIAB_PROVISIONS">#REF!</definedName>
    <definedName name="L_KEYWORD_ISSR_208010681_NCLIAB_TRADE_CREDITORS">#REF!</definedName>
    <definedName name="L_KEYWORD_ISSR_208010681_NET_ASSETS">#REF!</definedName>
    <definedName name="L_KEYWORD_ISSR_208010681_NET_DEBT">#REF!</definedName>
    <definedName name="L_KEYWORD_ISSR_208010681_NET_DEBT_ADJ">#REF!</definedName>
    <definedName name="L_KEYWORD_ISSR_208010681_NET_FIX_ASS">#REF!</definedName>
    <definedName name="L_KEYWORD_ISSR_208010681_NET_INT_CH">#REF!</definedName>
    <definedName name="L_KEYWORD_ISSR_208010681_NET_INT_EXP">#REF!</definedName>
    <definedName name="L_KEYWORD_ISSR_208010681_NET_INTANG">#REF!</definedName>
    <definedName name="L_KEYWORD_ISSR_208010681_NET_TANGIBLE_ASSETS">#REF!</definedName>
    <definedName name="L_KEYWORD_ISSR_208010681_NONPPE_CAPEX">#REF!</definedName>
    <definedName name="L_KEYWORD_ISSR_208010681_OP_COST">#REF!</definedName>
    <definedName name="L_KEYWORD_ISSR_208010681_OPPL_BTAX_EX_ASSOC">#REF!</definedName>
    <definedName name="L_KEYWORD_ISSR_208010681_OPPL_BTAX_POST_AB">#REF!</definedName>
    <definedName name="L_KEYWORD_ISSR_208010681_ORD_SH_FUND">#REF!</definedName>
    <definedName name="L_KEYWORD_ISSR_208010681_ORD_SHARE_CAPITAL">#REF!</definedName>
    <definedName name="L_KEYWORD_ISSR_208010681_OTH_COST_INC">#REF!</definedName>
    <definedName name="L_KEYWORD_ISSR_208010681_OTH_CUR_ASS">#REF!</definedName>
    <definedName name="L_KEYWORD_ISSR_208010681_OTH_CUR_LIABS">#REF!</definedName>
    <definedName name="L_KEYWORD_ISSR_208010681_OTH_DACF_ADJ">#REF!</definedName>
    <definedName name="L_KEYWORD_ISSR_208010681_OTH_FIN_CF">#REF!</definedName>
    <definedName name="L_KEYWORD_ISSR_208010681_OTH_GCI_ADJ">#REF!</definedName>
    <definedName name="L_KEYWORD_ISSR_208010681_OTH_INV_CF">#REF!</definedName>
    <definedName name="L_KEYWORD_ISSR_208010681_OTH_LT_ASS">#REF!</definedName>
    <definedName name="L_KEYWORD_ISSR_208010681_OTH_LT_CRED_GQ">#REF!</definedName>
    <definedName name="L_KEYWORD_ISSR_208010681_OTH_NONCASH_ADJ">#REF!</definedName>
    <definedName name="L_KEYWORD_ISSR_208010681_OTH_OP_CF">#REF!</definedName>
    <definedName name="L_KEYWORD_ISSR_208010681_OTH_OP_INC_EXP">#REF!</definedName>
    <definedName name="L_KEYWORD_ISSR_208010681_OTHER_ASSET_IMPAIR_CHG_PRE_TAX">#REF!</definedName>
    <definedName name="L_KEYWORD_ISSR_208010681_OTHER_CREDITORS">#REF!</definedName>
    <definedName name="L_KEYWORD_ISSR_208010681_OTHER_IFRS_ADJUST_PRE_TAX">#REF!</definedName>
    <definedName name="L_KEYWORD_ISSR_208010681_OTHER_INTANGIBLES_DEPREC">#REF!</definedName>
    <definedName name="L_KEYWORD_ISSR_208010681_OTHER_INTANGIBLES_NON_DEPREC">#REF!</definedName>
    <definedName name="L_KEYWORD_ISSR_208010681_OTHER_RECEIVABLES">#REF!</definedName>
    <definedName name="L_KEYWORD_ISSR_208010681_OTHER_REVENUE">#REF!</definedName>
    <definedName name="L_KEYWORD_ISSR_208010681_PERIOD_MILESTONE">#REF!</definedName>
    <definedName name="L_KEYWORD_ISSR_208010681_PERSONNEL">#REF!</definedName>
    <definedName name="L_KEYWORD_ISSR_208010681_PL_BTAX_ON_AB">#REF!</definedName>
    <definedName name="L_KEYWORD_ISSR_208010681_PL_SALE_ASSETS">#REF!</definedName>
    <definedName name="L_KEYWORD_ISSR_208010681_PLANT_EQUIP">#REF!</definedName>
    <definedName name="L_KEYWORD_ISSR_208010681_PREF_SH">#REF!</definedName>
    <definedName name="L_KEYWORD_ISSR_208010681_PROCEEDS_BORROWINGS">#REF!</definedName>
    <definedName name="L_KEYWORD_ISSR_208010681_PROCEEDS_NCASSET">#REF!</definedName>
    <definedName name="L_KEYWORD_ISSR_208010681_PROCEEDS_PURCH_OPER_BUS">#REF!</definedName>
    <definedName name="L_KEYWORD_ISSR_208010681_PROCEEDS_SALE_EQUITY_INV">#REF!</definedName>
    <definedName name="L_KEYWORD_ISSR_208010681_PROCEEDS_SALE_OPER_BUS">#REF!</definedName>
    <definedName name="L_KEYWORD_ISSR_208010681_PROFIT_DEFBEN_PLAN_POST_TAX">#REF!</definedName>
    <definedName name="L_KEYWORD_ISSR_208010681_PROFIT_DEFBEN_PLAN_PRE_TAX">#REF!</definedName>
    <definedName name="L_KEYWORD_ISSR_208010681_PROFIT_ON_DISP">#REF!</definedName>
    <definedName name="L_KEYWORD_ISSR_208010681_PROVISIONS">#REF!</definedName>
    <definedName name="L_KEYWORD_ISSR_208010681_PT_PROF">#REF!</definedName>
    <definedName name="L_KEYWORD_ISSR_208010681_PURCH_EQUITY_INVESTS">#REF!</definedName>
    <definedName name="L_KEYWORD_ISSR_208010681_R_AND_D_CAP">#REF!</definedName>
    <definedName name="L_KEYWORD_ISSR_208010681_RD_EXP">#REF!</definedName>
    <definedName name="L_KEYWORD_ISSR_208010681_REPAY_BORROWINGS">#REF!</definedName>
    <definedName name="L_KEYWORD_ISSR_208010681_RESERVES">#REF!</definedName>
    <definedName name="L_KEYWORD_ISSR_208010681_RETAIN_PROFIT_LOSS">#REF!</definedName>
    <definedName name="L_KEYWORD_ISSR_208010681_SALE_PROP_PLANT_EQUIP">#REF!</definedName>
    <definedName name="L_KEYWORD_ISSR_208010681_SALES">#REF!</definedName>
    <definedName name="L_KEYWORD_ISSR_208010681_SALES_AUSTRA">#REF!</definedName>
    <definedName name="L_KEYWORD_ISSR_208010681_SALES_BRAZIL">#REF!</definedName>
    <definedName name="L_KEYWORD_ISSR_208010681_SALES_CEE">#REF!</definedName>
    <definedName name="L_KEYWORD_ISSR_208010681_SALES_CHINA">#REF!</definedName>
    <definedName name="L_KEYWORD_ISSR_208010681_SALES_CONS">#REF!</definedName>
    <definedName name="L_KEYWORD_ISSR_208010681_SALES_EU_EX_UK">#REF!</definedName>
    <definedName name="L_KEYWORD_ISSR_208010681_SALES_FINAN">#REF!</definedName>
    <definedName name="L_KEYWORD_ISSR_208010681_SALES_FX_AUD">#REF!</definedName>
    <definedName name="L_KEYWORD_ISSR_208010681_SALES_FX_BRL">#REF!</definedName>
    <definedName name="L_KEYWORD_ISSR_208010681_SALES_FX_CNY">#REF!</definedName>
    <definedName name="L_KEYWORD_ISSR_208010681_SALES_FX_EUR">#REF!</definedName>
    <definedName name="L_KEYWORD_ISSR_208010681_SALES_FX_GPB">#REF!</definedName>
    <definedName name="L_KEYWORD_ISSR_208010681_SALES_FX_INR">#REF!</definedName>
    <definedName name="L_KEYWORD_ISSR_208010681_SALES_FX_NZD">#REF!</definedName>
    <definedName name="L_KEYWORD_ISSR_208010681_SALES_FX_OTH">#REF!</definedName>
    <definedName name="L_KEYWORD_ISSR_208010681_SALES_FX_RUB">#REF!</definedName>
    <definedName name="L_KEYWORD_ISSR_208010681_SALES_FX_USD">#REF!</definedName>
    <definedName name="L_KEYWORD_ISSR_208010681_SALES_FX_YEN">#REF!</definedName>
    <definedName name="L_KEYWORD_ISSR_208010681_SALES_GOV">#REF!</definedName>
    <definedName name="L_KEYWORD_ISSR_208010681_SALES_IND">#REF!</definedName>
    <definedName name="L_KEYWORD_ISSR_208010681_SALES_INDIA">#REF!</definedName>
    <definedName name="L_KEYWORD_ISSR_208010681_SALES_JAPAN">#REF!</definedName>
    <definedName name="L_KEYWORD_ISSR_208010681_SALES_ME">#REF!</definedName>
    <definedName name="L_KEYWORD_ISSR_208010681_SALES_NZ">#REF!</definedName>
    <definedName name="L_KEYWORD_ISSR_208010681_SALES_OTH_AEJ">#REF!</definedName>
    <definedName name="L_KEYWORD_ISSR_208010681_SALES_OTH_AM">#REF!</definedName>
    <definedName name="L_KEYWORD_ISSR_208010681_SALES_OTH_EMEA">#REF!</definedName>
    <definedName name="L_KEYWORD_ISSR_208010681_SALES_OTHER">#REF!</definedName>
    <definedName name="L_KEYWORD_ISSR_208010681_SALES_RUSSIA">#REF!</definedName>
    <definedName name="L_KEYWORD_ISSR_208010681_SALES_TOT_AFRICA">#REF!</definedName>
    <definedName name="L_KEYWORD_ISSR_208010681_SALES_TOT_AM">#REF!</definedName>
    <definedName name="L_KEYWORD_ISSR_208010681_SALES_TOT_ASIA">#REF!</definedName>
    <definedName name="L_KEYWORD_ISSR_208010681_SALES_TOT_EMEA">#REF!</definedName>
    <definedName name="L_KEYWORD_ISSR_208010681_SALES_UK">#REF!</definedName>
    <definedName name="L_KEYWORD_ISSR_208010681_SALES_US">#REF!</definedName>
    <definedName name="L_KEYWORD_ISSR_208010681_SEL_GL_AD">#REF!</definedName>
    <definedName name="L_KEYWORD_ISSR_208010681_SEL_GL_AD_OTHER">#REF!</definedName>
    <definedName name="L_KEYWORD_ISSR_208010681_SH_REPUR">#REF!</definedName>
    <definedName name="L_KEYWORD_ISSR_208010681_SHARE_BASED_PAYMENTS">#REF!</definedName>
    <definedName name="L_KEYWORD_ISSR_208010681_SHORT_T_DEBT">#REF!</definedName>
    <definedName name="L_KEYWORD_ISSR_208010681_SHORT_TERM_LIABS">#REF!</definedName>
    <definedName name="L_KEYWORD_ISSR_208010681_STOCKS">#REF!</definedName>
    <definedName name="L_KEYWORD_ISSR_208010681_SUPPLIER_EMPLOYEE_PAYS">#REF!</definedName>
    <definedName name="L_KEYWORD_ISSR_208010681_TOT_ASSET">#REF!</definedName>
    <definedName name="L_KEYWORD_ISSR_208010681_TOT_CF">#REF!</definedName>
    <definedName name="L_KEYWORD_ISSR_208010681_TOT_LIAB">#REF!</definedName>
    <definedName name="L_KEYWORD_ISSR_208010681_TOT_LIAB_EQ">#REF!</definedName>
    <definedName name="L_KEYWORD_ISSR_208010681_TOT_LT_LIAB">#REF!</definedName>
    <definedName name="L_KEYWORD_ISSR_208010681_TOT_OPS_EXP">#REF!</definedName>
    <definedName name="L_KEYWORD_ISSR_208010681_TOT_OPS_EXP_DDA">#REF!</definedName>
    <definedName name="L_KEYWORD_ISSR_208010681_TOTAL_CAPITAL_EMPLOYED_ADJ">#REF!</definedName>
    <definedName name="L_KEYWORD_ISSR_208010681_TOTAL_DEPREC_AMORT">#REF!</definedName>
    <definedName name="L_KEYWORD_ISSR_208010681_TOTAL_IFRS_ADJUST_PRE_TAX">#REF!</definedName>
    <definedName name="L_KEYWORD_ISSR_208010681_TOTAL_NONCURR_ASSETS">#REF!</definedName>
    <definedName name="L_KEYWORD_ISSR_208010681_TOTAL_OPR_REVENUE">#REF!</definedName>
    <definedName name="L_KEYWORD_ISSR_208010681_TV_LICENCES_MASTERHEADS">#REF!</definedName>
    <definedName name="L_KEYWORD_ISSR_208010681_UNF_PENS">#REF!</definedName>
    <definedName name="L_KEYWORD_ISSR_208010681_UNF_PENS_LIAB_OTH">#REF!</definedName>
    <definedName name="L_KEYWORD_ISSR_208010681_UNF_PENS_OFF">#REF!</definedName>
    <definedName name="L_KEYWORD_ISSR_208010681_WORK_CAP">#REF!</definedName>
    <definedName name="L_LIVEDATA_EQTY_200013829">#REF!</definedName>
    <definedName name="L_LIVEDATA_ISSR_208010681">#REF!</definedName>
    <definedName name="L_PERIOD_2006">#REF!</definedName>
    <definedName name="L_PERIOD_2007">#REF!</definedName>
    <definedName name="L_PERIOD_2008">#REF!</definedName>
    <definedName name="L_PERIOD_2009">#REF!</definedName>
    <definedName name="L_PERIOD_2010">#REF!</definedName>
    <definedName name="L_PERIOD_2011">#REF!</definedName>
    <definedName name="L_PERIOD_2012">#REF!</definedName>
    <definedName name="L_PERIOD_2013">#REF!</definedName>
    <definedName name="L_PERIOD_2013_H1">#REF!</definedName>
    <definedName name="L_PERIOD_2013_H2">#REF!</definedName>
    <definedName name="L_PERIOD_2014">#REF!</definedName>
    <definedName name="L_PERIOD_2014_H1">#REF!</definedName>
    <definedName name="L_PERIOD_2015">#REF!</definedName>
    <definedName name="L_PERIOD_2016">#REF!</definedName>
    <definedName name="L_PERIOD_2017">#REF!</definedName>
    <definedName name="L_SECTION_EQTY_200013829_1314">#REF!</definedName>
    <definedName name="L_SECTION_EQTY_200013829_1316A">#REF!</definedName>
    <definedName name="L_SECTION_EQTY_200013829_1316B">#REF!</definedName>
    <definedName name="L_SECTION_EQTY_200013829_1316C">#REF!</definedName>
    <definedName name="L_SECTION_EQTY_200013829_1316D">#REF!</definedName>
    <definedName name="L_SECTION_EQTY_200013829_1316E">#REF!</definedName>
    <definedName name="L_SECTION_EQTY_200013829_131E">#REF!</definedName>
    <definedName name="L_SECTION_EQTY_200013829_131O">#REF!</definedName>
    <definedName name="L_SECTION_EQTY_200013829_13A">#REF!</definedName>
    <definedName name="L_SECTION_EQTY_200013829_13K">#REF!</definedName>
    <definedName name="L_SECTION_EQTY_200013829_13U">#REF!</definedName>
    <definedName name="L_SECTION_EQTY_200013829_13V">#REF!</definedName>
    <definedName name="L_SECTION_EQTY_200013829_Reference_Data">#REF!</definedName>
    <definedName name="L_SECTION_ISSR_208010681_1314">#REF!</definedName>
    <definedName name="L_SECTION_ISSR_208010681_13168">#REF!</definedName>
    <definedName name="L_SECTION_ISSR_208010681_1316B">#REF!</definedName>
    <definedName name="L_SECTION_ISSR_208010681_1316C">#REF!</definedName>
    <definedName name="L_SECTION_ISSR_208010681_1316D">#REF!</definedName>
    <definedName name="L_SECTION_ISSR_208010681_1316E">#REF!</definedName>
    <definedName name="L_SECTION_ISSR_208010681_1316T">#REF!</definedName>
    <definedName name="L_SECTION_ISSR_208010681_1316U">#REF!</definedName>
    <definedName name="L_SECTION_ISSR_208010681_1319">#REF!</definedName>
    <definedName name="L_SECTION_ISSR_208010681_131E">#REF!</definedName>
    <definedName name="L_SECTION_ISSR_208010681_131J">#REF!</definedName>
    <definedName name="L_SECTION_ISSR_208010681_131O">#REF!</definedName>
    <definedName name="L_SECTION_ISSR_208010681_13U">#REF!</definedName>
    <definedName name="L_SECTION_ISSR_208010681_13V">#REF!</definedName>
    <definedName name="L_SECTION_ISSR_208010681_Reference_Data">#REF!</definedName>
    <definedName name="Lease_Exp">#REF!</definedName>
    <definedName name="Lease_liabilities_current">MODEL!$157:$157</definedName>
    <definedName name="Lease_liabilities_non_current">MODEL!$166:$166</definedName>
    <definedName name="maintenance">MODEL!$96:$96</definedName>
    <definedName name="Maintenance_capex">#REF!</definedName>
    <definedName name="Marketing_costs">#REF!</definedName>
    <definedName name="MCAPEX_01">#REF!</definedName>
    <definedName name="Minorities">MODEL!$56:$56</definedName>
    <definedName name="Minorities_profit">#REF!</definedName>
    <definedName name="Minority_Interest">#REF!</definedName>
    <definedName name="Minority_interests">MODEL!$177:$177</definedName>
    <definedName name="Mkt_DEqty">#REF!</definedName>
    <definedName name="MktImpute">[1]DCF!#REF!</definedName>
    <definedName name="model">MODEL!$1:$1048576</definedName>
    <definedName name="Net_Amortised_Intangibles">#REF!</definedName>
    <definedName name="Net_debt">MODEL!$229:$229</definedName>
    <definedName name="Net_Fin_CF">MODEL!$108:$108</definedName>
    <definedName name="Net_goodwill">MODEL!$142:$142</definedName>
    <definedName name="Net_interest_expense">MODEL!$48:$48</definedName>
    <definedName name="Net_Interest_Just">#REF!</definedName>
    <definedName name="Net_interest_paid">#REF!</definedName>
    <definedName name="Net_Inv_CF">MODEL!$101:$101</definedName>
    <definedName name="Net_Op_CF">MODEL!$94:$94</definedName>
    <definedName name="Net_operating_cash_flow">#REF!</definedName>
    <definedName name="Net_operating_cashflow">#REF!</definedName>
    <definedName name="Net_plant___equipment">MODEL!$140:$140</definedName>
    <definedName name="Net_ppe">#REF!</definedName>
    <definedName name="Net_Rent">#REF!</definedName>
    <definedName name="No_of_Group_Stores">#REF!</definedName>
    <definedName name="nocf">#REF!</definedName>
    <definedName name="Non_current_borrowings">#REF!</definedName>
    <definedName name="Non_current_inventories">#REF!</definedName>
    <definedName name="non_current_liabs">#REF!</definedName>
    <definedName name="Non_current_provisions">#REF!</definedName>
    <definedName name="Non_current_receivables">#REF!</definedName>
    <definedName name="Non_operating_profit">#REF!</definedName>
    <definedName name="NPAT">MODEL!$57:$57</definedName>
    <definedName name="NPAT_Just">#REF!</definedName>
    <definedName name="NPAT_post_NRIs">MODEL!$63:$63</definedName>
    <definedName name="NPAT_REP">#REF!</definedName>
    <definedName name="NRIs_Pre_Tax">MODEL!$60:$60</definedName>
    <definedName name="NRIs_PreTax">#REF!</definedName>
    <definedName name="NRIs_Tax">MODEL!$61:$61</definedName>
    <definedName name="NTA">MODEL!$217:$217</definedName>
    <definedName name="NTA_per_share">#REF!</definedName>
    <definedName name="NZ_2005">#REF!</definedName>
    <definedName name="NZ_2006">#REF!</definedName>
    <definedName name="NZ_2007">#REF!</definedName>
    <definedName name="NZ_2008">#REF!</definedName>
    <definedName name="NZ_2009">#REF!</definedName>
    <definedName name="NZ_2010">#REF!</definedName>
    <definedName name="NZ_2011">#REF!</definedName>
    <definedName name="NZ_2012">#REF!</definedName>
    <definedName name="NZ_2013">#REF!</definedName>
    <definedName name="NZ_2014">#REF!</definedName>
    <definedName name="NZ_2015">#REF!</definedName>
    <definedName name="NZ_2016">#REF!</definedName>
    <definedName name="NZ_2017">#REF!</definedName>
    <definedName name="NZ_2018">#REF!</definedName>
    <definedName name="NZ_2019">#REF!</definedName>
    <definedName name="NZ_2020">#REF!</definedName>
    <definedName name="NZ_EBIT">#REF!</definedName>
    <definedName name="NZ_Volume">#REF!</definedName>
    <definedName name="NZEBIT">#REF!</definedName>
    <definedName name="NZSales">#REF!</definedName>
    <definedName name="Options_in_the_money">#REF!</definedName>
    <definedName name="Organic_Growth">#REF!</definedName>
    <definedName name="OTH_DEV_ASIA">#REF!</definedName>
    <definedName name="Oth_GCI_Adj">#REF!</definedName>
    <definedName name="Other_creditors">MODEL!$159:$159</definedName>
    <definedName name="Other_current">MODEL!$136:$136</definedName>
    <definedName name="Other_current_assets">#REF!</definedName>
    <definedName name="Other_current_liabilities">#REF!</definedName>
    <definedName name="Other_DACF_Adj">#REF!</definedName>
    <definedName name="Other_financing">MODEL!$107:$107</definedName>
    <definedName name="Other_inflows">#REF!</definedName>
    <definedName name="Other_intangibles">MODEL!$144:$144</definedName>
    <definedName name="Other_Intangiles_unamortised">#REF!</definedName>
    <definedName name="Other_investing">MODEL!$100:$100</definedName>
    <definedName name="Other_investing_cashflows">#REF!</definedName>
    <definedName name="Other_liabilities_current">MODEL!$161:$161</definedName>
    <definedName name="Other_liabilities_non_current">MODEL!$168:$168</definedName>
    <definedName name="Other_non_current">MODEL!$149:$149</definedName>
    <definedName name="Other_non_current_assets">#REF!</definedName>
    <definedName name="Other_non_current_liabilities">#REF!</definedName>
    <definedName name="Other_receivables">#REF!</definedName>
    <definedName name="Other_Revenue">#REF!</definedName>
    <definedName name="Other_Sales" localSheetId="14">Segments!$31:$31</definedName>
    <definedName name="Payout_ratio">MODEL!$75:$75</definedName>
    <definedName name="PDIT">#REF!</definedName>
    <definedName name="Pension_plan_assets">#REF!</definedName>
    <definedName name="Pension_plan_liabilites">#REF!</definedName>
    <definedName name="Pension_Plan_Liabilities">#REF!</definedName>
    <definedName name="PeterA_EBITA">#REF!</definedName>
    <definedName name="PeterA_Stores">#REF!</definedName>
    <definedName name="PL_19">#REF!</definedName>
    <definedName name="PL_1997">#REF!</definedName>
    <definedName name="PL_1998">#REF!</definedName>
    <definedName name="PL_1999">#REF!</definedName>
    <definedName name="PL_2009H1">#REF!</definedName>
    <definedName name="PL_2010H1">#REF!</definedName>
    <definedName name="PL_2011H1">#REF!</definedName>
    <definedName name="PL_2012H1">#REF!</definedName>
    <definedName name="PL_2013H1">#REF!</definedName>
    <definedName name="PL_2014H1">#REF!</definedName>
    <definedName name="PL_2015H1">#REF!</definedName>
    <definedName name="PL_2016">#REF!</definedName>
    <definedName name="PL_2016H1">#REF!</definedName>
    <definedName name="Pofit_adj_for_EPS">#REF!</definedName>
    <definedName name="Portmans_EBITA">#REF!</definedName>
    <definedName name="Portmans_Stores">#REF!</definedName>
    <definedName name="PPE">#REF!</definedName>
    <definedName name="PPE_and_intangibles">PPE_and_intangibles!$A:$BP</definedName>
    <definedName name="Pre_Tax_NRIs">#REF!</definedName>
    <definedName name="Pre_tax_profit">MODEL!$50:$50</definedName>
    <definedName name="PREF_DIV">#REF!</definedName>
    <definedName name="PREF_SH">#REF!</definedName>
    <definedName name="PremierRetail_EBIT">#REF!</definedName>
    <definedName name="_xlnm.Print_Area" localSheetId="1">INDUST_TPLATE!$B$1:$G$45</definedName>
    <definedName name="_xlnm.Print_Area" localSheetId="13">MODEL!$B$1:$D$231</definedName>
    <definedName name="_xlnm.Print_Area" localSheetId="14">Segments!$B$1:$D$114</definedName>
    <definedName name="_xlnm.Print_Area" localSheetId="7">Template!$B$10:$N$87</definedName>
    <definedName name="_xlnm.Print_Area">#REF!,#REF!,#REF!,#REF!,#REF!,#REF!,#REF!,#REF!,#REF!,#REF!</definedName>
    <definedName name="_xlnm.Print_Titles" localSheetId="20">Margin!$2:$2</definedName>
    <definedName name="_xlnm.Print_Titles" localSheetId="13">MODEL!$A:$A,MODEL!$1:$2</definedName>
    <definedName name="_xlnm.Print_Titles" localSheetId="14">Segments!$A:$A,Segments!$1:$2</definedName>
    <definedName name="_xlnm.Print_Titles">#REF!,#REF!</definedName>
    <definedName name="Profit_adj_for_EPS">#REF!</definedName>
    <definedName name="Profit_loss_on_asset_sales">MODEL!$92:$92</definedName>
    <definedName name="Provisions">MODEL!$160:$160</definedName>
    <definedName name="Provisions_current">MODEL!$159:$159</definedName>
    <definedName name="Provisions_non_current">MODEL!$166:$166</definedName>
    <definedName name="PVCF">[1]DCF!$D$39</definedName>
    <definedName name="Rent_Expense">#REF!</definedName>
    <definedName name="Reported_NPAT">#REF!</definedName>
    <definedName name="Reserves">MODEL!$175:$175</definedName>
    <definedName name="Retained_profits">MODEL!$176:$176</definedName>
    <definedName name="Returns">OFFSET(#REF!,0,0,1,COUNT(#REF!))</definedName>
    <definedName name="Rev_Aus">#REF!</definedName>
    <definedName name="Rev_NZ">#REF!</definedName>
    <definedName name="Revenue_ANZ">#REF!</definedName>
    <definedName name="Revenue_Japan">#REF!</definedName>
    <definedName name="Risk_Premium">#REF!</definedName>
    <definedName name="Rwvu.bal_98." hidden="1">#REF!</definedName>
    <definedName name="Rwvu.Full_Year." hidden="1">#REF!,#REF!,#REF!,#REF!</definedName>
    <definedName name="Rwvu.Print_1999." localSheetId="13" hidden="1">MODEL!#REF!,MODEL!#REF!,MODEL!#REF!,MODEL!#REF!,MODEL!#REF!</definedName>
    <definedName name="Rwvu.Print_1999." localSheetId="14" hidden="1">Segments!#REF!,Segments!#REF!,Segments!#REF!,Segments!#REF!,Segments!#REF!</definedName>
    <definedName name="Rwvu.Print_2001." localSheetId="13" hidden="1">MODEL!#REF!,MODEL!#REF!,MODEL!#REF!,MODEL!#REF!,MODEL!#REF!</definedName>
    <definedName name="Rwvu.Print_2001." localSheetId="14" hidden="1">Segments!#REF!,Segments!#REF!,Segments!#REF!,Segments!#REF!,Segments!#REF!</definedName>
    <definedName name="Sales_ALC_C">#REF!</definedName>
    <definedName name="Sales_Aust">#REF!</definedName>
    <definedName name="Sales_CFS">#REF!</definedName>
    <definedName name="Sales_Indo">#REF!</definedName>
    <definedName name="Sales_NZ">#REF!</definedName>
    <definedName name="Scatter_Data_1">"$F$4:$N$5"</definedName>
    <definedName name="Scatter_Data_2">"$F$4:$N$5"</definedName>
    <definedName name="Scatter_Data_3">"$F$4:$N$5"</definedName>
    <definedName name="Scatter_Data_4">"$F$4:$N$5"</definedName>
    <definedName name="Scatter_Data_5">"$L$10:$O$103"</definedName>
    <definedName name="Scatter_Data_6">"$L$10:$O$103"</definedName>
    <definedName name="Scatter_Data_7">"$F$4:$N$5"</definedName>
    <definedName name="Segment">#REF!</definedName>
    <definedName name="Selling_costs">#REF!</definedName>
    <definedName name="sencount" hidden="1">1</definedName>
    <definedName name="SGA_ROW">#REF!</definedName>
    <definedName name="SGA_US">#REF!</definedName>
    <definedName name="SGARA">#REF!</definedName>
    <definedName name="SGsales">#REF!</definedName>
    <definedName name="Share_capital">MODEL!$174:$174</definedName>
    <definedName name="Shares_issued">#REF!</definedName>
    <definedName name="shares_outstanding">#REF!</definedName>
    <definedName name="Smiggle_EBITA">#REF!</definedName>
    <definedName name="Smiggle_Stores">#REF!</definedName>
    <definedName name="Smiggle_Stores_Ire">#REF!</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5.05</definedName>
    <definedName name="SOTP__VAL">Valuation!$I$19</definedName>
    <definedName name="SOTP_VAL">Valuation!$I$19</definedName>
    <definedName name="Special_Div">#REF!</definedName>
    <definedName name="Special_DPS">#REF!</definedName>
    <definedName name="Spreads">OFFSET(#REF!,0,0,1,COUNT(#REF!))</definedName>
    <definedName name="Swvu.bal_98." hidden="1">#REF!</definedName>
    <definedName name="Swvu.Detail." hidden="1">#REF!</definedName>
    <definedName name="Swvu.Forestry." hidden="1">#REF!</definedName>
    <definedName name="Swvu.Full_Year." hidden="1">#REF!</definedName>
    <definedName name="Swvu.Merch_Summary." hidden="1">#REF!</definedName>
    <definedName name="Swvu.Print_1999." localSheetId="13" hidden="1">MODEL!#REF!</definedName>
    <definedName name="Swvu.Print_1999." localSheetId="14" hidden="1">Segments!#REF!</definedName>
    <definedName name="Swvu.Print_2001." localSheetId="13" hidden="1">MODEL!#REF!</definedName>
    <definedName name="Swvu.Print_2001." localSheetId="14" hidden="1">Segments!#REF!</definedName>
    <definedName name="Swvu.Summary." hidden="1">#REF!</definedName>
    <definedName name="Swvu.Warehouse." hidden="1">#REF!</definedName>
    <definedName name="TableNames">#REF!,#REF!</definedName>
    <definedName name="TableTypes">#REF!,#REF!</definedName>
    <definedName name="TAX">#REF!</definedName>
    <definedName name="Tax_expense">MODEL!$52:$52</definedName>
    <definedName name="Tax_paid">MODEL!$91:$91</definedName>
    <definedName name="Tax_rate">#REF!</definedName>
    <definedName name="TaxOnNRIs">#REF!</definedName>
    <definedName name="TestAdd">"Test RefersTo1"</definedName>
    <definedName name="Tigr_Exhibit005ac33f_300b_47d1_9398_a98f09e93d3a" hidden="1">#REF!</definedName>
    <definedName name="Tigr_Exhibit0f05e1be_86c4_40eb_8c4d_1d5339fb5cd8" hidden="1">#REF!</definedName>
    <definedName name="Tigr_Exhibit16fe32ee_14fc_42f4_9ff0_f99bda7ad1bf" hidden="1">#REF!</definedName>
    <definedName name="Tigr_Exhibit197f3a91_70e3_4562_9b88_868a53f0ba99" hidden="1">#REF!</definedName>
    <definedName name="Tigr_Exhibit1b974054_e4c4_4791_ab9a_480b1f14dd2e" hidden="1">#REF!</definedName>
    <definedName name="Tigr_Exhibit2129acb3_b49f_45ff_9009_712da683c640" hidden="1">#REF!</definedName>
    <definedName name="Tigr_Exhibit21c90858_1c7f_4b93_b08c_65096be4d5ed" hidden="1">#REF!</definedName>
    <definedName name="Tigr_Exhibit265f0927_13d5_4558_8dab_858bca91a62b" hidden="1">#REF!</definedName>
    <definedName name="Tigr_Exhibit27b02905_c8e2_4151_bdd1_cd23d6485d03" hidden="1">#REF!</definedName>
    <definedName name="Tigr_Exhibit2a772dbc_f107_4b26_a6ff_b52b52793f69" hidden="1">#REF!</definedName>
    <definedName name="Tigr_Exhibit2b578562_4ad2_422d_8b6c_52df936cda00" hidden="1">#REF!</definedName>
    <definedName name="Tigr_Exhibit2ce55b99_35df_4c09_a81a_bfb0b16ddc78" hidden="1">#REF!</definedName>
    <definedName name="Tigr_Exhibit324425b7_6862_43b3_9de6_cc5c42cef10b" hidden="1">#REF!</definedName>
    <definedName name="Tigr_Exhibit34afed1c_e30d_45c1_9ab6_e0cf4829eb17" hidden="1">#REF!</definedName>
    <definedName name="Tigr_Exhibit357e78e2_e450_462a_a271_cc8d8f8cabcd" hidden="1">#REF!</definedName>
    <definedName name="Tigr_Exhibit437a3981_9db9_4ddb_92ce_b368a7e1c14a" hidden="1">#REF!</definedName>
    <definedName name="Tigr_Exhibit57432f2c_0053_4673_b740_9940057ea497" hidden="1">#REF!</definedName>
    <definedName name="Tigr_Exhibit5f8d45b4_4af4_4533_a4f4_9cf08d3f4c3b" hidden="1">#REF!</definedName>
    <definedName name="Tigr_Exhibit60da6634_774d_448e_8a44_371ae7243933" hidden="1">#REF!</definedName>
    <definedName name="Tigr_Exhibit720e43f3_cdfe_4173_9472_d351a1dd2ff8" hidden="1">#REF!</definedName>
    <definedName name="Tigr_Exhibit76cff525_9848_4270_a755_c49d258b1a2d" hidden="1">#REF!</definedName>
    <definedName name="Tigr_Exhibit7e958494_9d31_4840_961a_1084352a0c0e" hidden="1">#REF!</definedName>
    <definedName name="Tigr_Exhibit7ff97a26_89fa_4866_aac9_2212977680e0" hidden="1">Template!$B$12:$N$87</definedName>
    <definedName name="Tigr_Exhibit832e97c0_6db0_48c3_a987_8e3af060e8d0" hidden="1">#REF!</definedName>
    <definedName name="Tigr_Exhibit84b55588_7b0d_4a0a_9736_9cd7ed7e2c5a" localSheetId="14" hidden="1">#REF!</definedName>
    <definedName name="Tigr_Exhibit84b55588_7b0d_4a0a_9736_9cd7ed7e2c5a" hidden="1">#REF!</definedName>
    <definedName name="Tigr_Exhibit873e47cd_9cc3_4c81_b36e_d4e8dcc1d093" localSheetId="14" hidden="1">#REF!</definedName>
    <definedName name="Tigr_Exhibit873e47cd_9cc3_4c81_b36e_d4e8dcc1d093" hidden="1">#REF!</definedName>
    <definedName name="Tigr_Exhibit882b8bd1_ae2f_42ea_918c_72e0dff2092e" hidden="1">#REF!</definedName>
    <definedName name="Tigr_Exhibit907894da_4d3b_4a2f_8044_6546ab046393" hidden="1">#REF!</definedName>
    <definedName name="Tigr_Exhibit92b5115f_bf8e_469b_8cd1_17e804c32cee" hidden="1">#REF!</definedName>
    <definedName name="Tigr_Exhibit995e23c9_b147_433e_8a87_5d177fc53229" hidden="1">#REF!</definedName>
    <definedName name="Tigr_Exhibit9a6a24f5_8cc0_43ca_9bf6_bb2a6223436e" hidden="1">#REF!</definedName>
    <definedName name="Tigr_Exhibita9a5b34d_6a61_4604_b7bc_5a51db937be9" hidden="1">[1]DCF!#REF!</definedName>
    <definedName name="Tigr_Exhibitb3276afa_54bc_4ee9_bd66_e49a2c6a81c5" hidden="1">#REF!</definedName>
    <definedName name="Tigr_Exhibitb33a401f_07fb_4448_ac4d_82f7aec2c6f6" hidden="1">#REF!</definedName>
    <definedName name="Tigr_Exhibitb397ddec_6207_4ebf_884e_c48b19a7aa8d" hidden="1">#REF!</definedName>
    <definedName name="Tigr_Exhibitb872f483_31c7_44ed_9e76_8b70ba7bbcd0" hidden="1">#REF!</definedName>
    <definedName name="Tigr_Exhibitbb313c8d_8a17_4899_a8b3_f089a0d75d77" hidden="1">#REF!</definedName>
    <definedName name="Tigr_Exhibitbb3be15c_841c_408e_bba3_4553daef09fc" hidden="1">#REF!</definedName>
    <definedName name="Tigr_Exhibitbb4c91c9_ef71_45df_8265_4efeb35a2ee4" localSheetId="14" hidden="1">#REF!</definedName>
    <definedName name="Tigr_Exhibitbb4c91c9_ef71_45df_8265_4efeb35a2ee4" hidden="1">#REF!</definedName>
    <definedName name="Tigr_Exhibitbe1037b6_6ef9_4cf9_9a90_b18401349fb9" localSheetId="14" hidden="1">#REF!</definedName>
    <definedName name="Tigr_Exhibitbe1037b6_6ef9_4cf9_9a90_b18401349fb9" hidden="1">#REF!</definedName>
    <definedName name="Tigr_Exhibitc48e599e_cae8_4a82_9bfc_2c7130c25535" hidden="1">#REF!</definedName>
    <definedName name="Tigr_Exhibitc66ad5c9_389b_4012_a55f_ee18af8bd098" hidden="1">#REF!</definedName>
    <definedName name="Tigr_Exhibitc71561a4_86e7_48d3_9aca_78ed8e54a81e" hidden="1">#REF!</definedName>
    <definedName name="Tigr_Exhibitc81cd98b_c976_4cef_b7cf_26348a6c4efa" hidden="1">#REF!</definedName>
    <definedName name="Tigr_Exhibitd3dac2ee_0e9e_4575_961c_f9efc30c5762" hidden="1">#REF!</definedName>
    <definedName name="Tigr_Exhibitd7cd5ae5_ddcf_4fd4_8986_2ab2d75be057" hidden="1">#REF!</definedName>
    <definedName name="Tigr_Exhibitd8caacc8_650a_4e7d_919e_07e9362720d8" hidden="1">#REF!</definedName>
    <definedName name="Tigr_Exhibitdbc12a37_6050_4ed0_87b4_e6c13e5544bd" hidden="1">#REF!</definedName>
    <definedName name="Tigr_Exhibitdd7a58a0_e544_4e6a_8e2f_cf4e6dae8335" hidden="1">#REF!</definedName>
    <definedName name="Tigr_Exhibitdfd36512_f6ad_4847_88fa_cab2f9f3f6b5" hidden="1">#REF!</definedName>
    <definedName name="Tigr_Exhibite1cb2df0_af9c_4dce_9e6c_d2c36b8631a9" hidden="1">#REF!</definedName>
    <definedName name="Tigr_Exhibitebea0aad_b86c_4a12_9d80_6fc56dcaf70a" hidden="1">#REF!</definedName>
    <definedName name="Tigr_Exhibitf7a36e3a_fef9_4a6a_b277_cd3a57d8cf2e" hidden="1">#REF!</definedName>
    <definedName name="Tot_CF">MODEL!$109:$109</definedName>
    <definedName name="Tot_Curr_Assets">MODEL!$137:$137</definedName>
    <definedName name="Tot_Curr_Liabs">MODEL!$162:$162</definedName>
    <definedName name="Tot_NC_Assets">MODEL!$151:$151</definedName>
    <definedName name="Tot_NC_Liabs">MODEL!$169:$169</definedName>
    <definedName name="Total_assets">MODEL!$153:$153</definedName>
    <definedName name="Total_Curr_Assets">#REF!</definedName>
    <definedName name="Total_Curr_Liabs">#REF!</definedName>
    <definedName name="Total_EBIT" localSheetId="14">Segments!$110:$110</definedName>
    <definedName name="Total_EBITDA">#REF!</definedName>
    <definedName name="Total_equity">MODEL!$178:$178</definedName>
    <definedName name="Total_liabilities">MODEL!$171:$171</definedName>
    <definedName name="Total_Liabs">#REF!</definedName>
    <definedName name="Total_NC_Assets">#REF!</definedName>
    <definedName name="Total_NC_Liabs">#REF!</definedName>
    <definedName name="Total_operating_costs">#REF!</definedName>
    <definedName name="Total_revenue">#REF!</definedName>
    <definedName name="Total_sales" localSheetId="14">Segments!$102:$102</definedName>
    <definedName name="Total_sales">#REF!</definedName>
    <definedName name="TP">Valuation!$I$30</definedName>
    <definedName name="Trade_creditors">MODEL!$158:$158</definedName>
    <definedName name="Trade_debtors">MODEL!$134:$134</definedName>
    <definedName name="UKsales">#REF!</definedName>
    <definedName name="US_2011">#REF!</definedName>
    <definedName name="US_2012">#REF!</definedName>
    <definedName name="US_2013">#REF!</definedName>
    <definedName name="US_2014">#REF!</definedName>
    <definedName name="US_2015">#REF!</definedName>
    <definedName name="US_2016">#REF!</definedName>
    <definedName name="US_2017">#REF!</definedName>
    <definedName name="US_2018">#REF!</definedName>
    <definedName name="US_sales" localSheetId="14">Segments!$13:$13</definedName>
    <definedName name="V_ALL_BRG.AX">#REF!</definedName>
    <definedName name="V_ALL_BRG.AX_">#REF!</definedName>
    <definedName name="V_ALL_CCL.AX">#REF!</definedName>
    <definedName name="V_ALL_CTD.AX">#REF!</definedName>
    <definedName name="V_ALL_DMP.AX">#REF!</definedName>
    <definedName name="V_ALL_EDV.AX">#REF!</definedName>
    <definedName name="V_ALL_KEYWORDS_TYPE_ScalarContributed_EQTY_200006063">#REF!,#REF!,#REF!,#REF!,#REF!,#REF!,#REF!</definedName>
    <definedName name="V_ALL_KEYWORDS_TYPE_ScalarContributed_EQTY_200013829">#REF!,#REF!,#REF!,#REF!,#REF!,#REF!,#REF!,#REF!</definedName>
    <definedName name="V_ALL_KEYWORDS_TYPE_ScalarContributed_EQTY_200014125">#REF!,#REF!,#REF!,#REF!,#REF!,#REF!,#REF!</definedName>
    <definedName name="V_ALL_KEYWORDS_TYPE_ScalarContributed_EQTY_200014152">#REF!,#REF!,#REF!,#REF!,#REF!,#REF!,#REF!</definedName>
    <definedName name="V_ALL_KEYWORDS_TYPE_ScalarContributed_ISSR_208002501">#REF!,#REF!</definedName>
    <definedName name="V_ALL_KEYWORDS_TYPE_ScalarContributed_ISSR_208010681">#REF!,#REF!,#REF!</definedName>
    <definedName name="V_ALL_KEYWORDS_TYPE_ScalarContributed_ISSR_208010774">#REF!,#REF!,#REF!</definedName>
    <definedName name="V_ALL_KEYWORDS_TYPE_ScalarContributed_ISSR_208010844">#REF!,#REF!,#REF!</definedName>
    <definedName name="V_ALL_KEYWORDS_TYPE_ScalarReference_EQTY_200013829">#REF!</definedName>
    <definedName name="V_ALL_KEYWORDS_TYPE_ScalarReference_ISSR_208010681">#REF!</definedName>
    <definedName name="V_ALL_KEYWORDS_TYPE_Vector_EQTY_200006063">#REF!,#REF!,#REF!,#REF!,#REF!,#REF!,#REF!,#REF!,#REF!,#REF!,#REF!,#REF!,#REF!</definedName>
    <definedName name="V_ALL_KEYWORDS_TYPE_Vector_EQTY_200013829">#REF!,#REF!,#REF!,#REF!,#REF!,#REF!,#REF!,#REF!,#REF!,#REF!,#REF!,#REF!,#REF!</definedName>
    <definedName name="V_ALL_KEYWORDS_TYPE_Vector_EQTY_200014021">#REF!,#REF!,#REF!,#REF!,#REF!,#REF!,#REF!,#REF!,#REF!,#REF!,#REF!,#REF!,#REF!</definedName>
    <definedName name="V_ALL_KEYWORDS_TYPE_Vector_EQTY_200014125">#REF!,#REF!,#REF!,#REF!,#REF!,#REF!,#REF!,#REF!,#REF!,#REF!,#REF!,#REF!,#REF!</definedName>
    <definedName name="V_ALL_KEYWORDS_TYPE_Vector_EQTY_200014152">#REF!,#REF!,#REF!,#REF!,#REF!,#REF!,#REF!,#REF!,#REF!,#REF!,#REF!,#REF!,#REF!</definedName>
    <definedName name="V_ALL_KEYWORDS_TYPE_Vector_ISSR_208002501">#REF!,#REF!,#REF!,#REF!,#REF!,#REF!,#REF!,#REF!,#REF!,#REF!,#REF!,#REF!,#REF!,#REF!,#REF!,#REF!,#REF!,#REF!</definedName>
    <definedName name="V_ALL_KEYWORDS_TYPE_Vector_ISSR_208010774">#REF!,#REF!,#REF!,#REF!,#REF!,#REF!,#REF!,#REF!,#REF!,#REF!,#REF!,#REF!,#REF!,#REF!,#REF!,#REF!,#REF!,#REF!,#REF!</definedName>
    <definedName name="V_ALL_KEYWORDS_TYPE_Vector_ISSR_208010826">#REF!,#REF!,#REF!,#REF!,#REF!,#REF!,#REF!,#REF!,#REF!,#REF!,#REF!,#REF!,#REF!,#REF!,#REF!,#REF!,#REF!,#REF!,#REF!,#REF!,#REF!,#REF!,#REF!,#REF!</definedName>
    <definedName name="V_ALL_KEYWORDS_TYPE_Vector_ISSR_208010844">#REF!,#REF!,#REF!,#REF!,#REF!,#REF!,#REF!,#REF!,#REF!,#REF!,#REF!,#REF!,#REF!,#REF!,#REF!</definedName>
    <definedName name="V_ALL_PMV.AX">#REF!</definedName>
    <definedName name="V_ALL_SECTION_KEYWORDS_EQTY_200013829_1314">#REF!</definedName>
    <definedName name="V_ALL_SECTION_KEYWORDS_EQTY_200013829_1316A">#REF!</definedName>
    <definedName name="V_ALL_SECTION_KEYWORDS_EQTY_200013829_1316B">#REF!</definedName>
    <definedName name="V_ALL_SECTION_KEYWORDS_EQTY_200013829_1316C">#REF!</definedName>
    <definedName name="V_ALL_SECTION_KEYWORDS_EQTY_200013829_1316D">#REF!</definedName>
    <definedName name="V_ALL_SECTION_KEYWORDS_EQTY_200013829_1316E">#REF!</definedName>
    <definedName name="V_ALL_SECTION_KEYWORDS_EQTY_200013829_131E">#REF!</definedName>
    <definedName name="V_ALL_SECTION_KEYWORDS_EQTY_200013829_131O">#REF!</definedName>
    <definedName name="V_ALL_SECTION_KEYWORDS_EQTY_200013829_13A">#REF!</definedName>
    <definedName name="V_ALL_SECTION_KEYWORDS_EQTY_200013829_13K">#REF!</definedName>
    <definedName name="V_ALL_SECTION_KEYWORDS_EQTY_200013829_13U">#REF!</definedName>
    <definedName name="V_ALL_SECTION_KEYWORDS_EQTY_200013829_13V">#REF!</definedName>
    <definedName name="V_ALL_SECTION_KEYWORDS_EQTY_200013829_Reference_Data">#REF!</definedName>
    <definedName name="V_ALL_SECTION_KEYWORDS_ISSR_208002501_136E">#REF!,#REF!</definedName>
    <definedName name="V_ALL_SECTION_KEYWORDS_ISSR_208002501_136J">#REF!,#REF!</definedName>
    <definedName name="V_ALL_SECTION_KEYWORDS_ISSR_208002501_13A">#REF!,#REF!</definedName>
    <definedName name="V_ALL_SECTION_KEYWORDS_ISSR_208010681_1314">#REF!</definedName>
    <definedName name="V_ALL_SECTION_KEYWORDS_ISSR_208010681_13168">#REF!</definedName>
    <definedName name="V_ALL_SECTION_KEYWORDS_ISSR_208010681_1316B">#REF!</definedName>
    <definedName name="V_ALL_SECTION_KEYWORDS_ISSR_208010681_1316C">#REF!</definedName>
    <definedName name="V_ALL_SECTION_KEYWORDS_ISSR_208010681_1316D">#REF!</definedName>
    <definedName name="V_ALL_SECTION_KEYWORDS_ISSR_208010681_1316E">#REF!</definedName>
    <definedName name="V_ALL_SECTION_KEYWORDS_ISSR_208010681_1316T">#REF!</definedName>
    <definedName name="V_ALL_SECTION_KEYWORDS_ISSR_208010681_1316U">#REF!</definedName>
    <definedName name="V_ALL_SECTION_KEYWORDS_ISSR_208010681_1319">#REF!</definedName>
    <definedName name="V_ALL_SECTION_KEYWORDS_ISSR_208010681_131E">#REF!</definedName>
    <definedName name="V_ALL_SECTION_KEYWORDS_ISSR_208010681_131J">#REF!</definedName>
    <definedName name="V_ALL_SECTION_KEYWORDS_ISSR_208010681_131O">#REF!</definedName>
    <definedName name="V_ALL_SECTION_KEYWORDS_ISSR_208010681_136E">#REF!,#REF!</definedName>
    <definedName name="V_ALL_SECTION_KEYWORDS_ISSR_208010681_136J">#REF!</definedName>
    <definedName name="V_ALL_SECTION_KEYWORDS_ISSR_208010681_13A">#REF!,#REF!</definedName>
    <definedName name="V_ALL_SECTION_KEYWORDS_ISSR_208010681_13U">#REF!</definedName>
    <definedName name="V_ALL_SECTION_KEYWORDS_ISSR_208010681_13V">#REF!</definedName>
    <definedName name="V_ALL_SECTION_KEYWORDS_ISSR_208010681_Reference_Data">#REF!</definedName>
    <definedName name="V_ALL_SECTION_KEYWORDS_ISSR_208010774_13V">#REF!,#REF!</definedName>
    <definedName name="V_ALL_SECTION_KEYWORDS_ISSR_208010826_136J">#REF!,#REF!</definedName>
    <definedName name="V_ALL_SECTION_KEYWORDS_ISSR_208010844_136E">#REF!,#REF!</definedName>
    <definedName name="V_ALL_SECTION_KEYWORDS_ISSR_208010844_13A">#REF!,#REF!</definedName>
    <definedName name="V_ALL_TWE.AX">#REF!</definedName>
    <definedName name="V_CURRENCY_EQTY_200013829_PRI">#REF!</definedName>
    <definedName name="V_CURRENCY_EQTY_200013829_PUB">#REF!</definedName>
    <definedName name="V_CURRENCY_EQTY_200013829_REP">#REF!</definedName>
    <definedName name="V_CURRENCY_ISSR_208010681_REP">#REF!</definedName>
    <definedName name="V_KEYWORD_EQTY_200013829_ANZ_LIST">#REF!</definedName>
    <definedName name="V_KEYWORD_EQTY_200013829_ASSET_SALES_GAIN_LOSS">#REF!</definedName>
    <definedName name="V_KEYWORD_EQTY_200013829_BASE_CASE_VAL_DCF">#REF!</definedName>
    <definedName name="V_KEYWORD_EQTY_200013829_BENEFITS_TAX_LOSSES">#REF!</definedName>
    <definedName name="V_KEYWORD_EQTY_200013829_BETA_ANALYST">#REF!</definedName>
    <definedName name="V_KEYWORD_EQTY_200013829_BVPS">#REF!</definedName>
    <definedName name="V_KEYWORD_EQTY_200013829_BVPS_PUB">#REF!</definedName>
    <definedName name="V_KEYWORD_EQTY_200013829_CATALYST1_DATE">#REF!</definedName>
    <definedName name="V_KEYWORD_EQTY_200013829_CATALYST1_EVENT">#REF!</definedName>
    <definedName name="V_KEYWORD_EQTY_200013829_CATALYST2_DATE">#REF!</definedName>
    <definedName name="V_KEYWORD_EQTY_200013829_CATALYST2_EVENT">#REF!</definedName>
    <definedName name="V_KEYWORD_EQTY_200013829_CATALYST3_DATE">#REF!</definedName>
    <definedName name="V_KEYWORD_EQTY_200013829_CATALYST3_EVENT">#REF!</definedName>
    <definedName name="V_KEYWORD_EQTY_200013829_CATALYST4_DATE">#REF!</definedName>
    <definedName name="V_KEYWORD_EQTY_200013829_CATALYST4_EVENT">#REF!</definedName>
    <definedName name="V_KEYWORD_EQTY_200013829_CATALYST5_DATE">#REF!</definedName>
    <definedName name="V_KEYWORD_EQTY_200013829_CATALYST5_EVENT">#REF!</definedName>
    <definedName name="V_KEYWORD_EQTY_200013829_CF_NI_PRE_PREF">#REF!</definedName>
    <definedName name="V_KEYWORD_EQTY_200013829_CF_OPS_SHARE_NZ">#REF!</definedName>
    <definedName name="V_KEYWORD_EQTY_200013829_COMMON_DIV_PAID">#REF!</definedName>
    <definedName name="V_KEYWORD_EQTY_200013829_CONVERTIBLE_NOTES">#REF!</definedName>
    <definedName name="V_KEYWORD_EQTY_200013829_COST_OF_EQUITY_DCF">#REF!</definedName>
    <definedName name="V_KEYWORD_EQTY_200013829_CUM_PRESENT_VAL_CASH_FLOWS_DCF">#REF!</definedName>
    <definedName name="V_KEYWORD_EQTY_200013829_CURRENCY_ISO">#REF!</definedName>
    <definedName name="V_KEYWORD_EQTY_200013829_DCF_CASH_FLOW">#REF!</definedName>
    <definedName name="V_KEYWORD_EQTY_200013829_DEBT_EQUITY">#REF!</definedName>
    <definedName name="V_KEYWORD_EQTY_200013829_DEBT_RISK_MARGIN_DCF">#REF!</definedName>
    <definedName name="V_KEYWORD_EQTY_200013829_DILUTE_SHARES">#REF!</definedName>
    <definedName name="V_KEYWORD_EQTY_200013829_DISCOUNT_FACTOR_DCF">#REF!</definedName>
    <definedName name="V_KEYWORD_EQTY_200013829_DPS">#REF!</definedName>
    <definedName name="V_KEYWORD_EQTY_200013829_DPS_PUB">#REF!</definedName>
    <definedName name="V_KEYWORD_EQTY_200013829_EBIT_PUB">#REF!</definedName>
    <definedName name="V_KEYWORD_EQTY_200013829_EBITDA_PUB">#REF!</definedName>
    <definedName name="V_KEYWORD_EQTY_200013829_EBITDAF">#REF!</definedName>
    <definedName name="V_KEYWORD_EQTY_200013829_EFPO">#REF!</definedName>
    <definedName name="V_KEYWORD_EQTY_200013829_EFPOWA">#REF!</definedName>
    <definedName name="V_KEYWORD_EQTY_200013829_EPS">#REF!</definedName>
    <definedName name="V_KEYWORD_EQTY_200013829_EPS_CONS_PUB">#REF!</definedName>
    <definedName name="V_KEYWORD_EQTY_200013829_EPS_FUL_DIL">#REF!</definedName>
    <definedName name="V_KEYWORD_EQTY_200013829_EPS_POST_BASIC">#REF!</definedName>
    <definedName name="V_KEYWORD_EQTY_200013829_EPS_PRE_GWILL">#REF!</definedName>
    <definedName name="V_KEYWORD_EQTY_200013829_EPS_PUB">#REF!</definedName>
    <definedName name="V_KEYWORD_EQTY_200013829_EPS_REPORTED">#REF!</definedName>
    <definedName name="V_KEYWORD_EQTY_200013829_EQ_PUB">#REF!</definedName>
    <definedName name="V_KEYWORD_EQTY_200013829_EQUITY_VALUE_DCF">#REF!</definedName>
    <definedName name="V_KEYWORD_EQTY_200013829_EV_ADJ_PUB">#REF!</definedName>
    <definedName name="V_KEYWORD_EQTY_200013829_FIN_INSTRUMENT_HEDGE_POST_TAX">#REF!</definedName>
    <definedName name="V_KEYWORD_EQTY_200013829_FINAL_DIV_AMOUNT">#REF!</definedName>
    <definedName name="V_KEYWORD_EQTY_200013829_FINAL_DIV_EXDATE">#REF!</definedName>
    <definedName name="V_KEYWORD_EQTY_200013829_FINAL_DIV_FRANK">#REF!</definedName>
    <definedName name="V_KEYWORD_EQTY_200013829_FINAL_DIV_TAXRATE">#REF!</definedName>
    <definedName name="V_KEYWORD_EQTY_200013829_FOREIGN_EXCHANGE_GAIN_LOSS">#REF!</definedName>
    <definedName name="V_KEYWORD_EQTY_200013829_FOREIGN_HOLDNG">#REF!</definedName>
    <definedName name="V_KEYWORD_EQTY_200013829_FRANK_TAX_RATE">#REF!</definedName>
    <definedName name="V_KEYWORD_EQTY_200013829_FRANKING">#REF!</definedName>
    <definedName name="V_KEYWORD_EQTY_200013829_FRANKING_ANZPUB">#REF!</definedName>
    <definedName name="V_KEYWORD_EQTY_200013829_FREE_FLOAT">#REF!</definedName>
    <definedName name="V_KEYWORD_EQTY_200013829_FULLY_DIL_EPS">#REF!</definedName>
    <definedName name="V_KEYWORD_EQTY_200013829_GWILL_ASSET_IMP_CHG_POST_TAX">#REF!</definedName>
    <definedName name="V_KEYWORD_EQTY_200013829_IMP_CREDITS_PER_SHARE_DCF">#REF!</definedName>
    <definedName name="V_KEYWORD_EQTY_200013829_INC_MINORITY">#REF!</definedName>
    <definedName name="V_KEYWORD_EQTY_200013829_INCTAX_PL_ON_AB">#REF!</definedName>
    <definedName name="V_KEYWORD_EQTY_200013829_INCTAX_PL_POST_AB">#REF!</definedName>
    <definedName name="V_KEYWORD_EQTY_200013829_INT_DIV_AMOUNT">#REF!</definedName>
    <definedName name="V_KEYWORD_EQTY_200013829_INT_DIV_EXDATE">#REF!</definedName>
    <definedName name="V_KEYWORD_EQTY_200013829_INT_DIV_FRANK">#REF!</definedName>
    <definedName name="V_KEYWORD_EQTY_200013829_INT_DIV_TAXRATE">#REF!</definedName>
    <definedName name="V_KEYWORD_EQTY_200013829_Interim_Type">#REF!</definedName>
    <definedName name="V_KEYWORD_EQTY_200013829_INTRINSIC_PER_SHARE_VALUE_DCF">#REF!</definedName>
    <definedName name="V_KEYWORD_EQTY_200013829_LEGAL_RATING">#REF!</definedName>
    <definedName name="V_KEYWORD_EQTY_200013829_MARGIN_TAX_RATE">#REF!</definedName>
    <definedName name="V_KEYWORD_EQTY_200013829_MARKET_VALUE_OF_INVESTMENTS_DCF">#REF!</definedName>
    <definedName name="V_KEYWORD_EQTY_200013829_MKT_EQ_RISK_PREM">#REF!</definedName>
    <definedName name="V_KEYWORD_EQTY_200013829_NET_DEBT_NET_CASH_DCF">#REF!</definedName>
    <definedName name="V_KEYWORD_EQTY_200013829_NET_DEBT_PUB">#REF!</definedName>
    <definedName name="V_KEYWORD_EQTY_200013829_NET_EARNING">#REF!</definedName>
    <definedName name="V_KEYWORD_EQTY_200013829_NET_INC">#REF!</definedName>
    <definedName name="V_KEYWORD_EQTY_200013829_NET_PROFIT">#REF!</definedName>
    <definedName name="V_KEYWORD_EQTY_200013829_NET_TANGIBLE_ASSETS_ADJUSTED_NZ">#REF!</definedName>
    <definedName name="V_KEYWORD_EQTY_200013829_NI_CONS">#REF!</definedName>
    <definedName name="V_KEYWORD_EQTY_200013829_NI_PRE_PREF">#REF!</definedName>
    <definedName name="V_KEYWORD_EQTY_200013829_NI_PUB">#REF!</definedName>
    <definedName name="V_KEYWORD_EQTY_200013829_NI_REPT_PUB">#REF!</definedName>
    <definedName name="V_KEYWORD_EQTY_200013829_NON_OP_ADD">#REF!</definedName>
    <definedName name="V_KEYWORD_EQTY_200013829_NOPAT">#REF!</definedName>
    <definedName name="V_KEYWORD_EQTY_200013829_NTA_PER_SHARE">#REF!</definedName>
    <definedName name="V_KEYWORD_EQTY_200013829_NUM_SH">#REF!</definedName>
    <definedName name="V_KEYWORD_EQTY_200013829_NZ_FRANKING">#REF!</definedName>
    <definedName name="V_KEYWORD_EQTY_200013829_OPPL_ATAX_POST_AB">#REF!</definedName>
    <definedName name="V_KEYWORD_EQTY_200013829_OPPL_ATAX_PRE_AB">#REF!</definedName>
    <definedName name="V_KEYWORD_EQTY_200013829_OPTIONS">#REF!</definedName>
    <definedName name="V_KEYWORD_EQTY_200013829_OTH_ASSET_IMPAIR_CHG_POST_TAX">#REF!</definedName>
    <definedName name="V_KEYWORD_EQTY_200013829_OTHER_ABNORMAL_ITEMS">#REF!</definedName>
    <definedName name="V_KEYWORD_EQTY_200013829_OTHER_CAPITAL">#REF!</definedName>
    <definedName name="V_KEYWORD_EQTY_200013829_OTHER_IFRS_ADJUST_POST_TAX">#REF!</definedName>
    <definedName name="V_KEYWORD_EQTY_200013829_PARTLY_PAID_SHARES">#REF!</definedName>
    <definedName name="V_KEYWORD_EQTY_200013829_PERPETUITY_GROWTH_RATE_DCF">#REF!</definedName>
    <definedName name="V_KEYWORD_EQTY_200013829_PREF_DIV">#REF!</definedName>
    <definedName name="V_KEYWORD_EQTY_200013829_PREFERENCE_SHARES">#REF!</definedName>
    <definedName name="V_KEYWORD_EQTY_200013829_PRESENT_VALUE_OF_CASH_FLOW_DCF">#REF!</definedName>
    <definedName name="V_KEYWORD_EQTY_200013829_PRI_TARG_METH">#REF!</definedName>
    <definedName name="V_KEYWORD_EQTY_200013829_PRI_TARG_MULT">#REF!</definedName>
    <definedName name="V_KEYWORD_EQTY_200013829_PRICE_CURRENCY_ISO">#REF!</definedName>
    <definedName name="V_KEYWORD_EQTY_200013829_PROF_ADJUST_EPS">#REF!</definedName>
    <definedName name="V_KEYWORD_EQTY_200013829_PROV_INC_TAX">#REF!</definedName>
    <definedName name="V_KEYWORD_EQTY_200013829_PTP_PUB">#REF!</definedName>
    <definedName name="V_KEYWORD_EQTY_200013829_PUB_CURRENCY_ISO">#REF!</definedName>
    <definedName name="V_KEYWORD_EQTY_200013829_RESTRUC_COSTS">#REF!</definedName>
    <definedName name="V_KEYWORD_EQTY_200013829_REVS_PUB">#REF!</definedName>
    <definedName name="V_KEYWORD_EQTY_200013829_RISK_ADJ_OPTION_VALUE_DCF">#REF!</definedName>
    <definedName name="V_KEYWORD_EQTY_200013829_RISK_FR_RATE">#REF!</definedName>
    <definedName name="V_KEYWORD_EQTY_200013829_RISK_TO_EARNINGS">#REF!</definedName>
    <definedName name="V_KEYWORD_EQTY_200013829_ROCE_ANZ">#REF!</definedName>
    <definedName name="V_KEYWORD_EQTY_200013829_Security_Name">#REF!</definedName>
    <definedName name="V_KEYWORD_EQTY_200013829_SH">#REF!</definedName>
    <definedName name="V_KEYWORD_EQTY_200013829_SHOLDERS_EQUITY_MBRS">#REF!</definedName>
    <definedName name="V_KEYWORD_EQTY_200013829_STD_FREE_OP_CASH_FLOW_DCF">#REF!</definedName>
    <definedName name="V_KEYWORD_EQTY_200013829_TARGET_PRICE">#REF!</definedName>
    <definedName name="V_KEYWORD_EQTY_200013829_TAX_EXC">#REF!</definedName>
    <definedName name="V_KEYWORD_EQTY_200013829_TAX_RATE_DCF">#REF!</definedName>
    <definedName name="V_KEYWORD_EQTY_200013829_TERMINAL_YEAR_DCF">#REF!</definedName>
    <definedName name="V_KEYWORD_EQTY_200013829_Ticker">#REF!</definedName>
    <definedName name="V_KEYWORD_EQTY_200013829_TOTAL_CAPITAL">#REF!</definedName>
    <definedName name="V_KEYWORD_EQTY_200013829_TOTAL_IFRS_ADJUST_POST_TAX">#REF!</definedName>
    <definedName name="V_KEYWORD_EQTY_200013829_TP_PERIOD">#REF!</definedName>
    <definedName name="V_KEYWORD_EQTY_200013829_WACC_DCF">#REF!</definedName>
    <definedName name="V_KEYWORD_EQTY_200013829_YEAR_END_CAPITAL_EVA">#REF!</definedName>
    <definedName name="V_KEYWORD_ISSR_208010681_ACC_AMORT">#REF!</definedName>
    <definedName name="V_KEYWORD_ISSR_208010681_ACC_DDA">#REF!</definedName>
    <definedName name="V_KEYWORD_ISSR_208010681_ACC_END_DATE">#REF!</definedName>
    <definedName name="V_KEYWORD_ISSR_208010681_ACC_PAY_GQ">#REF!</definedName>
    <definedName name="V_KEYWORD_ISSR_208010681_ACCESS_CONNECTION">#REF!</definedName>
    <definedName name="V_KEYWORD_ISSR_208010681_ACQ">#REF!</definedName>
    <definedName name="V_KEYWORD_ISSR_208010681_ADJ_UNF_PENS_GOOD">#REF!</definedName>
    <definedName name="V_KEYWORD_ISSR_208010681_AMORT_OF_INTANGIBLES">#REF!</definedName>
    <definedName name="V_KEYWORD_ISSR_208010681_AMORT_OF_INTANGIBLES_ADJ">#REF!</definedName>
    <definedName name="V_KEYWORD_ISSR_208010681_ASSOC_JV_ADDBK">#REF!</definedName>
    <definedName name="V_KEYWORD_ISSR_208010681_ASSOCIATE">#REF!</definedName>
    <definedName name="V_KEYWORD_ISSR_208010681_ASSOCIATE_OP">#REF!</definedName>
    <definedName name="V_KEYWORD_ISSR_208010681_AVG_CAPITAL_EMPLOYED_ADJ">#REF!</definedName>
    <definedName name="V_KEYWORD_ISSR_208010681_BAL_MINO_INT">#REF!</definedName>
    <definedName name="V_KEYWORD_ISSR_208010681_BAL_OF_FRANK_CREDITS">#REF!</definedName>
    <definedName name="V_KEYWORD_ISSR_208010681_BANK_ODRAFT">#REF!</definedName>
    <definedName name="V_KEYWORD_ISSR_208010681_BORROWINGS">#REF!</definedName>
    <definedName name="V_KEYWORD_ISSR_208010681_CAP_LEASES">#REF!</definedName>
    <definedName name="V_KEYWORD_ISSR_208010681_CAPEX">#REF!</definedName>
    <definedName name="V_KEYWORD_ISSR_208010681_CAPEX_EXPANSION">#REF!</definedName>
    <definedName name="V_KEYWORD_ISSR_208010681_CAPEX_MAINTENANCE">#REF!</definedName>
    <definedName name="V_KEYWORD_ISSR_208010681_CASH_EQ">#REF!</definedName>
    <definedName name="V_KEYWORD_ISSR_208010681_CASH_INT_EXP">#REF!</definedName>
    <definedName name="V_KEYWORD_ISSR_208010681_CASH_TAX_EXP">#REF!</definedName>
    <definedName name="V_KEYWORD_ISSR_208010681_CF_FIN">#REF!</definedName>
    <definedName name="V_KEYWORD_ISSR_208010681_CF_FX">#REF!</definedName>
    <definedName name="V_KEYWORD_ISSR_208010681_CF_INC_MINORITY">#REF!</definedName>
    <definedName name="V_KEYWORD_ISSR_208010681_CF_INV">#REF!</definedName>
    <definedName name="V_KEYWORD_ISSR_208010681_CF_INV_MISC">#REF!</definedName>
    <definedName name="V_KEYWORD_ISSR_208010681_CF_OPS">#REF!</definedName>
    <definedName name="V_KEYWORD_ISSR_208010681_CF_OPS_MISC">#REF!</definedName>
    <definedName name="V_KEYWORD_ISSR_208010681_CHG_LT_DEBT">#REF!</definedName>
    <definedName name="V_KEYWORD_ISSR_208010681_CO_BOR_MARGIN">#REF!</definedName>
    <definedName name="V_KEYWORD_ISSR_208010681_COST_GD_SD">#REF!</definedName>
    <definedName name="V_KEYWORD_ISSR_208010681_COST_OF_DEBT_DCF">#REF!</definedName>
    <definedName name="V_KEYWORD_ISSR_208010681_CUR_ASS">#REF!</definedName>
    <definedName name="V_KEYWORD_ISSR_208010681_CUR_ASS_MISC">#REF!</definedName>
    <definedName name="V_KEYWORD_ISSR_208010681_CUR_LIABS_MISC">#REF!</definedName>
    <definedName name="V_KEYWORD_ISSR_208010681_CURRENCY_ISO">#REF!</definedName>
    <definedName name="V_KEYWORD_ISSR_208010681_CUSTOMER_RECEIPTS">#REF!</definedName>
    <definedName name="V_KEYWORD_ISSR_208010681_DEBT_TO_EQUITY_MKT_VALUES_DCF">#REF!</definedName>
    <definedName name="V_KEYWORD_ISSR_208010681_DEBTORS">#REF!</definedName>
    <definedName name="V_KEYWORD_ISSR_208010681_DEF_INC_TAX">#REF!</definedName>
    <definedName name="V_KEYWORD_ISSR_208010681_DEFINED_BENEFIT_OBLIGATION">#REF!</definedName>
    <definedName name="V_KEYWORD_ISSR_208010681_DEFINED_BENEFIT_SURPLUS">#REF!</definedName>
    <definedName name="V_KEYWORD_ISSR_208010681_DEPR_AMORT">#REF!</definedName>
    <definedName name="V_KEYWORD_ISSR_208010681_DEPREC">#REF!</definedName>
    <definedName name="V_KEYWORD_ISSR_208010681_DIV_PAID">#REF!</definedName>
    <definedName name="V_KEYWORD_ISSR_208010681_DIVDS_ASSOC_JV">#REF!</definedName>
    <definedName name="V_KEYWORD_ISSR_208010681_DIVDS_PD_MINORITIES">#REF!</definedName>
    <definedName name="V_KEYWORD_ISSR_208010681_DIVEST">#REF!</definedName>
    <definedName name="V_KEYWORD_ISSR_208010681_DIVIDENDS_RECEIVED">#REF!</definedName>
    <definedName name="V_KEYWORD_ISSR_208010681_EBIT">#REF!</definedName>
    <definedName name="V_KEYWORD_ISSR_208010681_EBIT_CONSOLIDATED">#REF!</definedName>
    <definedName name="V_KEYWORD_ISSR_208010681_EBIT_CONSOLIDATED_PRE_ASSOC">#REF!</definedName>
    <definedName name="V_KEYWORD_ISSR_208010681_EBITDA_CALC">#REF!</definedName>
    <definedName name="V_KEYWORD_ISSR_208010681_EBITDA_CONSOLIDATED">#REF!</definedName>
    <definedName name="V_KEYWORD_ISSR_208010681_EMPLOYEES">#REF!</definedName>
    <definedName name="V_KEYWORD_ISSR_208010681_EQ">#REF!</definedName>
    <definedName name="V_KEYWORD_ISSR_208010681_EXP_COPPER">#REF!</definedName>
    <definedName name="V_KEYWORD_ISSR_208010681_EXP_OTH_COMMODITY">#REF!</definedName>
    <definedName name="V_KEYWORD_ISSR_208010681_EXP_OTH_COST">#REF!</definedName>
    <definedName name="V_KEYWORD_ISSR_208010681_EXP_STEEL">#REF!</definedName>
    <definedName name="V_KEYWORD_ISSR_208010681_EXP_ZINC">#REF!</definedName>
    <definedName name="V_KEYWORD_ISSR_208010681_FIN_INSTR_HEDGE_CURR_LIABILITY">#REF!</definedName>
    <definedName name="V_KEYWORD_ISSR_208010681_FIN_INSTR_HEDGE_CURRENT">#REF!</definedName>
    <definedName name="V_KEYWORD_ISSR_208010681_FIN_INSTR_HEDGE_NON_CURR_LIAB">#REF!</definedName>
    <definedName name="V_KEYWORD_ISSR_208010681_FIN_INSTR_HEDGE_NON_CURRENT">#REF!</definedName>
    <definedName name="V_KEYWORD_ISSR_208010681_FIN_INSTRUMENT_HEDGE_PRE_TAX">#REF!</definedName>
    <definedName name="V_KEYWORD_ISSR_208010681_FIX_ASS_INV">#REF!</definedName>
    <definedName name="V_KEYWORD_ISSR_208010681_GCI_INFL">#REF!</definedName>
    <definedName name="V_KEYWORD_ISSR_208010681_GOODWILL_AMORT">#REF!</definedName>
    <definedName name="V_KEYWORD_ISSR_208010681_GOODWILL_NET_AMNT">#REF!</definedName>
    <definedName name="V_KEYWORD_ISSR_208010681_GR_FIX_ASS">#REF!</definedName>
    <definedName name="V_KEYWORD_ISSR_208010681_GR_INTANG">#REF!</definedName>
    <definedName name="V_KEYWORD_ISSR_208010681_GWILL_ASSET_IMPAIR_CHG_PRE_TAX">#REF!</definedName>
    <definedName name="V_KEYWORD_ISSR_208010681_INT_EXP_IND">#REF!</definedName>
    <definedName name="V_KEYWORD_ISSR_208010681_INT_INC_IND">#REF!</definedName>
    <definedName name="V_KEYWORD_ISSR_208010681_INT_OTHERS_RECEIVED">#REF!</definedName>
    <definedName name="V_KEYWORD_ISSR_208010681_INV_SECUR">#REF!</definedName>
    <definedName name="V_KEYWORD_ISSR_208010681_INVESTMENTS">#REF!</definedName>
    <definedName name="V_KEYWORD_ISSR_208010681_Issuer_Name">#REF!</definedName>
    <definedName name="V_KEYWORD_ISSR_208010681_LABOUR">#REF!</definedName>
    <definedName name="V_KEYWORD_ISSR_208010681_LAND_BUILDINGS">#REF!</definedName>
    <definedName name="V_KEYWORD_ISSR_208010681_LEASE_DEEM_DEPR">#REF!</definedName>
    <definedName name="V_KEYWORD_ISSR_208010681_LEASE_DEEM_INT">#REF!</definedName>
    <definedName name="V_KEYWORD_ISSR_208010681_LEASE_PAY">#REF!</definedName>
    <definedName name="V_KEYWORD_ISSR_208010681_LOAN_REPAID_OTHER_ENTS">#REF!</definedName>
    <definedName name="V_KEYWORD_ISSR_208010681_LOANS_OTHER_ENTITIES">#REF!</definedName>
    <definedName name="V_KEYWORD_ISSR_208010681_LT_DEBT">#REF!</definedName>
    <definedName name="V_KEYWORD_ISSR_208010681_MARKETING_ADVERTISNIG">#REF!</definedName>
    <definedName name="V_KEYWORD_ISSR_208010681_MINORITIES">#REF!</definedName>
    <definedName name="V_KEYWORD_ISSR_208010681_MV_ASSOCIATES">#REF!</definedName>
    <definedName name="V_KEYWORD_ISSR_208010681_MV_CONVERTIBLE_NOTES">#REF!</definedName>
    <definedName name="V_KEYWORD_ISSR_208010681_MV_NET_OTHER_STAKEHOLDERS">#REF!</definedName>
    <definedName name="V_KEYWORD_ISSR_208010681_NCASSET_INVENTORIES">#REF!</definedName>
    <definedName name="V_KEYWORD_ISSR_208010681_NCASSET_INVESTMENT">#REF!</definedName>
    <definedName name="V_KEYWORD_ISSR_208010681_NCASSET_MISC">#REF!</definedName>
    <definedName name="V_KEYWORD_ISSR_208010681_NCASSET_RECEIVABLES">#REF!</definedName>
    <definedName name="V_KEYWORD_ISSR_208010681_NCASSET_TRADE_DEBTORS">#REF!</definedName>
    <definedName name="V_KEYWORD_ISSR_208010681_NCLIAB_MISC">#REF!</definedName>
    <definedName name="V_KEYWORD_ISSR_208010681_NCLIAB_OTHER_CREDITORS">#REF!</definedName>
    <definedName name="V_KEYWORD_ISSR_208010681_NCLIAB_PROVISIONS">#REF!</definedName>
    <definedName name="V_KEYWORD_ISSR_208010681_NCLIAB_TRADE_CREDITORS">#REF!</definedName>
    <definedName name="V_KEYWORD_ISSR_208010681_NET_ASSETS">#REF!</definedName>
    <definedName name="V_KEYWORD_ISSR_208010681_NET_DEBT">#REF!</definedName>
    <definedName name="V_KEYWORD_ISSR_208010681_NET_DEBT_ADJ">#REF!</definedName>
    <definedName name="V_KEYWORD_ISSR_208010681_NET_FIX_ASS">#REF!</definedName>
    <definedName name="V_KEYWORD_ISSR_208010681_NET_INT_CH">#REF!</definedName>
    <definedName name="V_KEYWORD_ISSR_208010681_NET_INT_EXP">#REF!</definedName>
    <definedName name="V_KEYWORD_ISSR_208010681_NET_INTANG">#REF!</definedName>
    <definedName name="V_KEYWORD_ISSR_208010681_NET_TANGIBLE_ASSETS">#REF!</definedName>
    <definedName name="V_KEYWORD_ISSR_208010681_NONPPE_CAPEX">#REF!</definedName>
    <definedName name="V_KEYWORD_ISSR_208010681_OP_COST">#REF!</definedName>
    <definedName name="V_KEYWORD_ISSR_208010681_OPPL_BTAX_EX_ASSOC">#REF!</definedName>
    <definedName name="V_KEYWORD_ISSR_208010681_OPPL_BTAX_POST_AB">#REF!</definedName>
    <definedName name="V_KEYWORD_ISSR_208010681_ORD_SH_FUND">#REF!</definedName>
    <definedName name="V_KEYWORD_ISSR_208010681_ORD_SHARE_CAPITAL">#REF!</definedName>
    <definedName name="V_KEYWORD_ISSR_208010681_OTH_COST_INC">#REF!</definedName>
    <definedName name="V_KEYWORD_ISSR_208010681_OTH_CUR_ASS">#REF!</definedName>
    <definedName name="V_KEYWORD_ISSR_208010681_OTH_CUR_LIABS">#REF!</definedName>
    <definedName name="V_KEYWORD_ISSR_208010681_OTH_DACF_ADJ">#REF!</definedName>
    <definedName name="V_KEYWORD_ISSR_208010681_OTH_FIN_CF">#REF!</definedName>
    <definedName name="V_KEYWORD_ISSR_208010681_OTH_GCI_ADJ">#REF!</definedName>
    <definedName name="V_KEYWORD_ISSR_208010681_OTH_INV_CF">#REF!</definedName>
    <definedName name="V_KEYWORD_ISSR_208010681_OTH_LT_ASS">#REF!</definedName>
    <definedName name="V_KEYWORD_ISSR_208010681_OTH_LT_CRED_GQ">#REF!</definedName>
    <definedName name="V_KEYWORD_ISSR_208010681_OTH_NONCASH_ADJ">#REF!</definedName>
    <definedName name="V_KEYWORD_ISSR_208010681_OTH_OP_CF">#REF!</definedName>
    <definedName name="V_KEYWORD_ISSR_208010681_OTH_OP_INC_EXP">#REF!</definedName>
    <definedName name="V_KEYWORD_ISSR_208010681_OTHER_ASSET_IMPAIR_CHG_PRE_TAX">#REF!</definedName>
    <definedName name="V_KEYWORD_ISSR_208010681_OTHER_CREDITORS">#REF!</definedName>
    <definedName name="V_KEYWORD_ISSR_208010681_OTHER_IFRS_ADJUST_PRE_TAX">#REF!</definedName>
    <definedName name="V_KEYWORD_ISSR_208010681_OTHER_INTANGIBLES_DEPREC">#REF!</definedName>
    <definedName name="V_KEYWORD_ISSR_208010681_OTHER_INTANGIBLES_NON_DEPREC">#REF!</definedName>
    <definedName name="V_KEYWORD_ISSR_208010681_OTHER_RECEIVABLES">#REF!</definedName>
    <definedName name="V_KEYWORD_ISSR_208010681_OTHER_REVENUE">#REF!</definedName>
    <definedName name="V_KEYWORD_ISSR_208010681_PERIOD_MILESTONE">#REF!</definedName>
    <definedName name="V_KEYWORD_ISSR_208010681_PERSONNEL">#REF!</definedName>
    <definedName name="V_KEYWORD_ISSR_208010681_PL_BTAX_ON_AB">#REF!</definedName>
    <definedName name="V_KEYWORD_ISSR_208010681_PL_SALE_ASSETS">#REF!</definedName>
    <definedName name="V_KEYWORD_ISSR_208010681_PLANT_EQUIP">#REF!</definedName>
    <definedName name="V_KEYWORD_ISSR_208010681_PREF_SH">#REF!</definedName>
    <definedName name="V_KEYWORD_ISSR_208010681_PROCEEDS_BORROWINGS">#REF!</definedName>
    <definedName name="V_KEYWORD_ISSR_208010681_PROCEEDS_NCASSET">#REF!</definedName>
    <definedName name="V_KEYWORD_ISSR_208010681_PROCEEDS_PURCH_OPER_BUS">#REF!</definedName>
    <definedName name="V_KEYWORD_ISSR_208010681_PROCEEDS_SALE_EQUITY_INV">#REF!</definedName>
    <definedName name="V_KEYWORD_ISSR_208010681_PROCEEDS_SALE_OPER_BUS">#REF!</definedName>
    <definedName name="V_KEYWORD_ISSR_208010681_PROFIT_DEFBEN_PLAN_POST_TAX">#REF!</definedName>
    <definedName name="V_KEYWORD_ISSR_208010681_PROFIT_DEFBEN_PLAN_PRE_TAX">#REF!</definedName>
    <definedName name="V_KEYWORD_ISSR_208010681_PROFIT_ON_DISP">#REF!</definedName>
    <definedName name="V_KEYWORD_ISSR_208010681_PROVISIONS">#REF!</definedName>
    <definedName name="V_KEYWORD_ISSR_208010681_PT_PROF">#REF!</definedName>
    <definedName name="V_KEYWORD_ISSR_208010681_PURCH_EQUITY_INVESTS">#REF!</definedName>
    <definedName name="V_KEYWORD_ISSR_208010681_R_AND_D_CAP">#REF!</definedName>
    <definedName name="V_KEYWORD_ISSR_208010681_RD_EXP">#REF!</definedName>
    <definedName name="V_KEYWORD_ISSR_208010681_REPAY_BORROWINGS">#REF!</definedName>
    <definedName name="V_KEYWORD_ISSR_208010681_RESERVES">#REF!</definedName>
    <definedName name="V_KEYWORD_ISSR_208010681_RETAIN_PROFIT_LOSS">#REF!</definedName>
    <definedName name="V_KEYWORD_ISSR_208010681_SALE_PROP_PLANT_EQUIP">#REF!</definedName>
    <definedName name="V_KEYWORD_ISSR_208010681_SALES">#REF!</definedName>
    <definedName name="V_KEYWORD_ISSR_208010681_SALES_AUSTRA">#REF!</definedName>
    <definedName name="V_KEYWORD_ISSR_208010681_SALES_BRAZIL">#REF!</definedName>
    <definedName name="V_KEYWORD_ISSR_208010681_SALES_CEE">#REF!</definedName>
    <definedName name="V_KEYWORD_ISSR_208010681_SALES_CHINA">#REF!</definedName>
    <definedName name="V_KEYWORD_ISSR_208010681_SALES_CONS">#REF!</definedName>
    <definedName name="V_KEYWORD_ISSR_208010681_SALES_EU_EX_UK">#REF!</definedName>
    <definedName name="V_KEYWORD_ISSR_208010681_SALES_FINAN">#REF!</definedName>
    <definedName name="V_KEYWORD_ISSR_208010681_SALES_FX_AUD">#REF!</definedName>
    <definedName name="V_KEYWORD_ISSR_208010681_SALES_FX_BRL">#REF!</definedName>
    <definedName name="V_KEYWORD_ISSR_208010681_SALES_FX_CNY">#REF!</definedName>
    <definedName name="V_KEYWORD_ISSR_208010681_SALES_FX_EUR">#REF!</definedName>
    <definedName name="V_KEYWORD_ISSR_208010681_SALES_FX_GPB">#REF!</definedName>
    <definedName name="V_KEYWORD_ISSR_208010681_SALES_FX_INR">#REF!</definedName>
    <definedName name="V_KEYWORD_ISSR_208010681_SALES_FX_NZD">#REF!</definedName>
    <definedName name="V_KEYWORD_ISSR_208010681_SALES_FX_OTH">#REF!</definedName>
    <definedName name="V_KEYWORD_ISSR_208010681_SALES_FX_RUB">#REF!</definedName>
    <definedName name="V_KEYWORD_ISSR_208010681_SALES_FX_USD">#REF!</definedName>
    <definedName name="V_KEYWORD_ISSR_208010681_SALES_FX_YEN">#REF!</definedName>
    <definedName name="V_KEYWORD_ISSR_208010681_SALES_GOV">#REF!</definedName>
    <definedName name="V_KEYWORD_ISSR_208010681_SALES_IND">#REF!</definedName>
    <definedName name="V_KEYWORD_ISSR_208010681_SALES_INDIA">#REF!</definedName>
    <definedName name="V_KEYWORD_ISSR_208010681_SALES_JAPAN">#REF!</definedName>
    <definedName name="V_KEYWORD_ISSR_208010681_SALES_ME">#REF!</definedName>
    <definedName name="V_KEYWORD_ISSR_208010681_SALES_NZ">#REF!</definedName>
    <definedName name="V_KEYWORD_ISSR_208010681_SALES_OTH_AEJ">#REF!</definedName>
    <definedName name="V_KEYWORD_ISSR_208010681_SALES_OTH_AM">#REF!</definedName>
    <definedName name="V_KEYWORD_ISSR_208010681_SALES_OTH_EMEA">#REF!</definedName>
    <definedName name="V_KEYWORD_ISSR_208010681_SALES_OTHER">#REF!</definedName>
    <definedName name="V_KEYWORD_ISSR_208010681_SALES_RUSSIA">#REF!</definedName>
    <definedName name="V_KEYWORD_ISSR_208010681_SALES_TOT_AFRICA">#REF!</definedName>
    <definedName name="V_KEYWORD_ISSR_208010681_SALES_TOT_AM">#REF!</definedName>
    <definedName name="V_KEYWORD_ISSR_208010681_SALES_TOT_ASIA">#REF!</definedName>
    <definedName name="V_KEYWORD_ISSR_208010681_SALES_TOT_EMEA">#REF!</definedName>
    <definedName name="V_KEYWORD_ISSR_208010681_SALES_UK">#REF!</definedName>
    <definedName name="V_KEYWORD_ISSR_208010681_SALES_US">#REF!</definedName>
    <definedName name="V_KEYWORD_ISSR_208010681_SEL_GL_AD">#REF!</definedName>
    <definedName name="V_KEYWORD_ISSR_208010681_SEL_GL_AD_OTHER">#REF!</definedName>
    <definedName name="V_KEYWORD_ISSR_208010681_SH_REPUR">#REF!</definedName>
    <definedName name="V_KEYWORD_ISSR_208010681_SHARE_BASED_PAYMENTS">#REF!</definedName>
    <definedName name="V_KEYWORD_ISSR_208010681_SHORT_T_DEBT">#REF!</definedName>
    <definedName name="V_KEYWORD_ISSR_208010681_SHORT_TERM_LIABS">#REF!</definedName>
    <definedName name="V_KEYWORD_ISSR_208010681_STOCKS">#REF!</definedName>
    <definedName name="V_KEYWORD_ISSR_208010681_SUPPLIER_EMPLOYEE_PAYS">#REF!</definedName>
    <definedName name="V_KEYWORD_ISSR_208010681_TOT_ASSET">#REF!</definedName>
    <definedName name="V_KEYWORD_ISSR_208010681_TOT_CF">#REF!</definedName>
    <definedName name="V_KEYWORD_ISSR_208010681_TOT_LIAB">#REF!</definedName>
    <definedName name="V_KEYWORD_ISSR_208010681_TOT_LIAB_EQ">#REF!</definedName>
    <definedName name="V_KEYWORD_ISSR_208010681_TOT_LT_LIAB">#REF!</definedName>
    <definedName name="V_KEYWORD_ISSR_208010681_TOT_OPS_EXP">#REF!</definedName>
    <definedName name="V_KEYWORD_ISSR_208010681_TOT_OPS_EXP_DDA">#REF!</definedName>
    <definedName name="V_KEYWORD_ISSR_208010681_TOTAL_CAPITAL_EMPLOYED_ADJ">#REF!</definedName>
    <definedName name="V_KEYWORD_ISSR_208010681_TOTAL_DEPREC_AMORT">#REF!</definedName>
    <definedName name="V_KEYWORD_ISSR_208010681_TOTAL_IFRS_ADJUST_PRE_TAX">#REF!</definedName>
    <definedName name="V_KEYWORD_ISSR_208010681_TOTAL_NONCURR_ASSETS">#REF!</definedName>
    <definedName name="V_KEYWORD_ISSR_208010681_TOTAL_OPR_REVENUE">#REF!</definedName>
    <definedName name="V_KEYWORD_ISSR_208010681_TV_LICENCES_MASTERHEADS">#REF!</definedName>
    <definedName name="V_KEYWORD_ISSR_208010681_UNF_PENS">#REF!</definedName>
    <definedName name="V_KEYWORD_ISSR_208010681_UNF_PENS_LIAB_OTH">#REF!</definedName>
    <definedName name="V_KEYWORD_ISSR_208010681_UNF_PENS_OFF">#REF!</definedName>
    <definedName name="V_KEYWORD_ISSR_208010681_WORK_CAP">#REF!</definedName>
    <definedName name="V_LIVEDATA_EQTY_200013829">#REF!</definedName>
    <definedName name="V_LIVEDATA_ISSR_208010681">#REF!</definedName>
    <definedName name="V_PERIOD_2006">#REF!</definedName>
    <definedName name="V_PERIOD_2007">#REF!</definedName>
    <definedName name="V_PERIOD_2008">#REF!</definedName>
    <definedName name="V_PERIOD_2009">#REF!</definedName>
    <definedName name="V_PERIOD_2010">#REF!</definedName>
    <definedName name="V_PERIOD_2011">#REF!</definedName>
    <definedName name="V_PERIOD_2012">#REF!</definedName>
    <definedName name="V_PERIOD_2013">#REF!</definedName>
    <definedName name="V_PERIOD_2013_H1">#REF!</definedName>
    <definedName name="V_PERIOD_2013_H2">#REF!</definedName>
    <definedName name="V_PERIOD_2014">#REF!</definedName>
    <definedName name="V_PERIOD_2014_H1">#REF!</definedName>
    <definedName name="V_PERIOD_2015">#REF!</definedName>
    <definedName name="V_PERIOD_2016">#REF!</definedName>
    <definedName name="V_PERIOD_2017">#REF!</definedName>
    <definedName name="V_SECTION_EQTY_200013829_1314">#REF!</definedName>
    <definedName name="V_SECTION_EQTY_200013829_1316A">#REF!</definedName>
    <definedName name="V_SECTION_EQTY_200013829_1316B">#REF!</definedName>
    <definedName name="V_SECTION_EQTY_200013829_1316C">#REF!</definedName>
    <definedName name="V_SECTION_EQTY_200013829_1316D">#REF!</definedName>
    <definedName name="V_SECTION_EQTY_200013829_1316E">#REF!</definedName>
    <definedName name="V_SECTION_EQTY_200013829_131E">#REF!</definedName>
    <definedName name="V_SECTION_EQTY_200013829_131O">#REF!</definedName>
    <definedName name="V_SECTION_EQTY_200013829_13A">#REF!</definedName>
    <definedName name="V_SECTION_EQTY_200013829_13K">#REF!</definedName>
    <definedName name="V_SECTION_EQTY_200013829_13U">#REF!</definedName>
    <definedName name="V_SECTION_EQTY_200013829_13V">#REF!</definedName>
    <definedName name="V_SECTION_EQTY_200013829_Reference_Data">#REF!</definedName>
    <definedName name="V_SECTION_ISSR_208010681_1314">#REF!</definedName>
    <definedName name="V_SECTION_ISSR_208010681_13168">#REF!</definedName>
    <definedName name="V_SECTION_ISSR_208010681_1316B">#REF!</definedName>
    <definedName name="V_SECTION_ISSR_208010681_1316C">#REF!</definedName>
    <definedName name="V_SECTION_ISSR_208010681_1316D">#REF!</definedName>
    <definedName name="V_SECTION_ISSR_208010681_1316E">#REF!</definedName>
    <definedName name="V_SECTION_ISSR_208010681_1316T">#REF!</definedName>
    <definedName name="V_SECTION_ISSR_208010681_1316U">#REF!</definedName>
    <definedName name="V_SECTION_ISSR_208010681_1319">#REF!</definedName>
    <definedName name="V_SECTION_ISSR_208010681_131E">#REF!</definedName>
    <definedName name="V_SECTION_ISSR_208010681_131J">#REF!</definedName>
    <definedName name="V_SECTION_ISSR_208010681_131O">#REF!</definedName>
    <definedName name="V_SECTION_ISSR_208010681_13U">#REF!</definedName>
    <definedName name="V_SECTION_ISSR_208010681_13V">#REF!</definedName>
    <definedName name="V_SECTION_ISSR_208010681_Reference_Data">#REF!</definedName>
    <definedName name="WACC">#REF!</definedName>
    <definedName name="WACC_Less_1">#REF!</definedName>
    <definedName name="WACC_Plus_1">#REF!</definedName>
    <definedName name="working_capital_adjustment">MODEL!$93:$93</definedName>
    <definedName name="worksheet_signature">#REF!</definedName>
    <definedName name="wrn.AMPJAN96." hidden="1">{"Associates",#N/A,FALSE,"FULLESTI";"GPEBIT",#N/A,FALSE,"FULLESTI";"USEBIT",#N/A,FALSE,"FULLESTI";"UKEBIT",#N/A,FALSE,"FULLESTI";"AUSTEBIT",#N/A,FALSE,"FULLESTI"}</definedName>
    <definedName name="wrn.Bunnings." hidden="1">{"Summary",#N/A,FALSE,"Bunnings";"Merch_Summary",#N/A,FALSE,"Bunnings";"Forestry",#N/A,FALSE,"Bunnings"}</definedName>
    <definedName name="wrn.Client." hidden="1">{"Full_Year",#N/A,FALSE,"PE1_S";#N/A,#N/A,FALSE,"DIVIS_S"}</definedName>
    <definedName name="wrn.Client_Detailed." hidden="1">{"Full_Year",#N/A,FALSE,"PE1_S";"Full_Year",#N/A,FALSE,"Cashflow_EPS";"Full_Year",#N/A,FALSE,"EBIT_DIV"}</definedName>
    <definedName name="wrn.Full_Client." hidden="1">{"Full_Year",#N/A,FALSE,"PE1_S";"Automotive",#N/A,FALSE,"Auto_EBIT";#N/A,#N/A,FALSE,"Industrial_EBIT";#N/A,#N/A,FALSE,"Webforge_EBIT"}</definedName>
    <definedName name="wrn.Full_Model." hidden="1">{"Full_Year",#N/A,FALSE,"P&amp;L";#N/A,#N/A,FALSE,"C_flow_EPS";"B_Sheet",#N/A,FALSE,"B_Sheet";"Detail",#N/A,FALSE,"Fert. &amp; Chem.";#N/A,#N/A,FALSE,"Energy";"Merch_Summary",#N/A,FALSE,"Bunnings";"Warehouse",#N/A,FALSE,"Bunnings";"Forestry",#N/A,FALSE,"Bunnings";#N/A,#N/A,FALSE,"Rural"}</definedName>
    <definedName name="wrn.Print." hidden="1">{"Cashflow",#N/A,FALSE,"CASHFLOW";"DCF",#N/A,FALSE,"CASHFLOW"}</definedName>
    <definedName name="wrn.Report." hidden="1">{"Cashflow",#N/A,FALSE,"CASHFLOW";"DCF",#N/A,FALSE,"CASHFLOW"}</definedName>
    <definedName name="wrn.Test." hidden="1">{"Detail",#N/A,FALSE,"FULLESTI";#N/A,#N/A,FALSE,"USMEDCOY"}</definedName>
    <definedName name="wvu.B_Sheet."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al_98." hidden="1">{TRUE,TRUE,-1.25,-15.5,484.5,276.75,FALSE,TRUE,TRUE,TRUE,0,1,#N/A,1,36,13.234375,17,1,FALSE,TRUE,3,TRUE,1,FALSE,100,"Swvu.bal_98.","ACwvu.bal_98.",#N/A,FALSE,FALSE,0.748031496062992,0.748031496062992,0.984251968503937,0.984251968503937,1,"&amp;F","Page &amp;P",FALSE,FALSE,FALSE,FALSE,1,100,#N/A,#N/A,FALSE,FALSE,"Rwvu.bal_98.",#N/A,FALSE,FALSE,TRUE,9,#N/A,#N/A,FALSE,FALSE,TRUE,TRUE,TRUE}</definedName>
    <definedName name="wvu.Detail."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Full_Year." hidden="1">{TRUE,TRUE,-1.25,-15.5,604.5,366.75,FALSE,TRUE,TRUE,TRUE,0,1,#N/A,1,18,25.85,20,1,FALSE,TRUE,3,TRUE,1,FALSE,75,"Swvu.Full_Year.","ACwvu.Full_Year.",#N/A,FALSE,FALSE,0.393700787401575,0.393700787401575,0.393700787401575,0.393700787401575,1," ","&amp;C&amp;""Helvetica,Regular""J B Were &amp; Son - Research. Analyst: Matt Cook- Tel: (03) 9679 1445",TRUE,FALSE,FALSE,FALSE,1,85,#N/A,#N/A,"=C1:C22","=C1:C3,R1:R4","Rwvu.Full_Year.","Cwvu.Full_Year.",FALSE,FALSE,FALSE,9,#N/A,#N/A,FALSE,FALSE,TRUE,TRUE,TRUE}</definedName>
    <definedName name="wvu.Print_1999." localSheetId="13" hidden="1">{TRUE,TRUE,-2.75,-17,772.5,494.25,FALSE,TRUE,TRUE,TRUE,0,1,3,1,3,2,2,4,TRUE,TRUE,3,TRUE,1,TRUE,70,"Swvu.Print_1999.","ACwvu.Print_1999.",#N/A,FALSE,FALSE,0,0,0,0,1,"&amp;R&amp;""Times,Bold""&amp;14J B Were &amp;&amp; Son","&amp;LUpdated &amp;D&amp;C&amp;12Analyst: Lou Capparelli&amp;R&amp;12&amp;P",TRUE,FALSE,FALSE,FALSE,1,80,#N/A,#N/A,"=R3C3:R160C20","=C1:C2,R1:R2","Rwvu.Print_1999.",#N/A,TRUE,FALSE,TRUE,9,600,600,FALSE,FALSE,TRUE,TRUE,TRUE}</definedName>
    <definedName name="wvu.Print_1999." localSheetId="14" hidden="1">{TRUE,TRUE,-2.75,-17,772.5,494.25,FALSE,TRUE,TRUE,TRUE,0,1,3,1,3,2,2,4,TRUE,TRUE,3,TRUE,1,TRUE,70,"Swvu.Print_1999.","ACwvu.Print_1999.",#N/A,FALSE,FALSE,0,0,0,0,1,"&amp;R&amp;""Times,Bold""&amp;14J B Were &amp;&amp; Son","&amp;LUpdated &amp;D&amp;C&amp;12Analyst: Lou Capparelli&amp;R&amp;12&amp;P",TRUE,FALSE,FALSE,FALSE,1,80,#N/A,#N/A,"=R3C3:R160C20","=C1:C2,R1:R2","Rwvu.Print_1999.",#N/A,TRUE,FALSE,TRUE,9,600,600,FALSE,FALSE,TRUE,TRUE,TRUE}</definedName>
    <definedName name="wvu.Print_2001." localSheetId="13" hidden="1">{TRUE,TRUE,-2.75,-17,772.5,494.25,FALSE,TRUE,TRUE,TRUE,0,1,3,1,3,2,2,4,TRUE,TRUE,3,TRUE,1,TRUE,70,"Swvu.Print_2001.","ACwvu.Print_2001.",#N/A,FALSE,FALSE,0,0,0,0,1,"&amp;R&amp;""Times,Bold""&amp;14J B Were &amp;&amp; Son","&amp;LUpdated &amp;D&amp;C&amp;12Analyst: Lou Capparelli&amp;R&amp;12&amp;P",TRUE,FALSE,FALSE,FALSE,1,70,#N/A,#N/A,"=R3C3:R160C26","=C1:C2,R1:R2","Rwvu.Print_2001.",#N/A,TRUE,FALSE,TRUE,9,600,600,FALSE,FALSE,TRUE,TRUE,TRUE}</definedName>
    <definedName name="wvu.Print_2001." localSheetId="14" hidden="1">{TRUE,TRUE,-2.75,-17,772.5,494.25,FALSE,TRUE,TRUE,TRUE,0,1,3,1,3,2,2,4,TRUE,TRUE,3,TRUE,1,TRUE,70,"Swvu.Print_2001.","ACwvu.Print_2001.",#N/A,FALSE,FALSE,0,0,0,0,1,"&amp;R&amp;""Times,Bold""&amp;14J B Were &amp;&amp; Son","&amp;LUpdated &amp;D&amp;C&amp;12Analyst: Lou Capparelli&amp;R&amp;12&amp;P",TRUE,FALSE,FALSE,FALSE,1,70,#N/A,#N/A,"=R3C3:R160C26","=C1:C2,R1:R2","Rwvu.Print_2001.",#N/A,TRUE,FALSE,TRUE,9,600,600,FALSE,FALSE,TRUE,TRUE,TRUE}</definedName>
    <definedName name="wvu.Warehouse."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Z_03DAD996_7A4F_11D1_AB8C_00805F1D08F8_.wvu.Cols" hidden="1">#REF!</definedName>
    <definedName name="Z_03DAD997_7A4F_11D1_AB8C_00805F1D08F8_.wvu.Cols" hidden="1">#REF!,#REF!,#REF!,#REF!</definedName>
    <definedName name="Z_03DAD997_7A4F_11D1_AB8C_00805F1D08F8_.wvu.Rows" hidden="1">#REF!</definedName>
    <definedName name="Z_0C942D73_7104_11D1_AB6C_00805F1D2048_.wvu.Cols" hidden="1">#REF!</definedName>
    <definedName name="Z_0C942D74_7104_11D1_AB6C_00805F1D2048_.wvu.Cols" hidden="1">#REF!,#REF!,#REF!,#REF!</definedName>
    <definedName name="Z_0C942D74_7104_11D1_AB6C_00805F1D2048_.wvu.Rows" hidden="1">#REF!</definedName>
    <definedName name="Z_115772F5_74E0_11D1_AB6E_00805F1D2048_.wvu.Cols" hidden="1">#REF!</definedName>
    <definedName name="Z_115772F6_74E0_11D1_AB6E_00805F1D2048_.wvu.Cols" hidden="1">#REF!,#REF!,#REF!,#REF!</definedName>
    <definedName name="Z_115772F6_74E0_11D1_AB6E_00805F1D2048_.wvu.Rows" hidden="1">#REF!</definedName>
    <definedName name="Z_2087720D_7599_11D1_AB6F_00805F1D2048_.wvu.Cols" hidden="1">#REF!</definedName>
    <definedName name="Z_2087720E_7599_11D1_AB6F_00805F1D2048_.wvu.Cols" hidden="1">#REF!,#REF!,#REF!,#REF!</definedName>
    <definedName name="Z_2087720E_7599_11D1_AB6F_00805F1D2048_.wvu.Rows" hidden="1">#REF!</definedName>
    <definedName name="Z_2087722D_7599_11D1_AB6F_00805F1D2048_.wvu.Cols" hidden="1">#REF!</definedName>
    <definedName name="Z_2087722E_7599_11D1_AB6F_00805F1D2048_.wvu.Cols" hidden="1">#REF!,#REF!,#REF!,#REF!</definedName>
    <definedName name="Z_2087722E_7599_11D1_AB6F_00805F1D2048_.wvu.Rows" hidden="1">#REF!</definedName>
    <definedName name="Z_2087724D_7599_11D1_AB6F_00805F1D2048_.wvu.Cols" hidden="1">#REF!</definedName>
    <definedName name="Z_2087724E_7599_11D1_AB6F_00805F1D2048_.wvu.Cols" hidden="1">#REF!,#REF!,#REF!,#REF!</definedName>
    <definedName name="Z_2087724E_7599_11D1_AB6F_00805F1D2048_.wvu.Rows" hidden="1">#REF!</definedName>
    <definedName name="Z_22FD366F_1E78_11D1_AB32_00805F1DF0BB_.wvu.Cols" localSheetId="13" hidden="1">MODEL!#REF!,MODEL!#REF!,MODEL!#REF!,MODEL!#REF!,MODEL!#REF!</definedName>
    <definedName name="Z_22FD366F_1E78_11D1_AB32_00805F1DF0BB_.wvu.Cols" localSheetId="14" hidden="1">Segments!#REF!,Segments!#REF!,Segments!#REF!,Segments!#REF!,Segments!#REF!</definedName>
    <definedName name="Z_22FD3670_1E78_11D1_AB32_00805F1DF0BB_.wvu.Cols" localSheetId="13" hidden="1">MODEL!#REF!,MODEL!#REF!,MODEL!#REF!,MODEL!#REF!,MODEL!#REF!</definedName>
    <definedName name="Z_22FD3670_1E78_11D1_AB32_00805F1DF0BB_.wvu.Cols" localSheetId="14" hidden="1">Segments!#REF!,Segments!#REF!,Segments!#REF!,Segments!#REF!,Segments!#REF!</definedName>
    <definedName name="Z_24B33D15_1EBA_11D1_AB32_00805F1DF0BB_.wvu.Cols" localSheetId="13" hidden="1">MODEL!#REF!,MODEL!#REF!,MODEL!#REF!,MODEL!#REF!,MODEL!#REF!</definedName>
    <definedName name="Z_24B33D15_1EBA_11D1_AB32_00805F1DF0BB_.wvu.Cols" localSheetId="14" hidden="1">Segments!#REF!,Segments!#REF!,Segments!#REF!,Segments!#REF!,Segments!#REF!</definedName>
    <definedName name="Z_24B33D16_1EBA_11D1_AB32_00805F1DF0BB_.wvu.Cols" localSheetId="13" hidden="1">MODEL!#REF!,MODEL!#REF!,MODEL!#REF!,MODEL!#REF!,MODEL!#REF!</definedName>
    <definedName name="Z_24B33D16_1EBA_11D1_AB32_00805F1DF0BB_.wvu.Cols" localSheetId="14" hidden="1">Segments!#REF!,Segments!#REF!,Segments!#REF!,Segments!#REF!,Segments!#REF!</definedName>
    <definedName name="Z_390AA9A0_4F12_11D1_AB62_00805F1D08F8_.wvu.Cols" hidden="1">#REF!</definedName>
    <definedName name="Z_390AA9A1_4F12_11D1_AB62_00805F1D08F8_.wvu.Cols" hidden="1">#REF!,#REF!,#REF!,#REF!</definedName>
    <definedName name="Z_390AA9A1_4F12_11D1_AB62_00805F1D08F8_.wvu.Rows" hidden="1">#REF!</definedName>
    <definedName name="Z_3A0CF412_61F2_11D1_AB75_00805F1D08F8_.wvu.Cols" hidden="1">#REF!</definedName>
    <definedName name="Z_3A0CF413_61F2_11D1_AB75_00805F1D08F8_.wvu.Cols" hidden="1">#REF!,#REF!,#REF!,#REF!</definedName>
    <definedName name="Z_3A0CF413_61F2_11D1_AB75_00805F1D08F8_.wvu.Rows" hidden="1">#REF!</definedName>
    <definedName name="Z_40C39523_4116_11D1_AB55_00805F1D08F8_.wvu.Cols" hidden="1">#REF!</definedName>
    <definedName name="Z_40C39524_4116_11D1_AB55_00805F1D08F8_.wvu.Cols" hidden="1">#REF!,#REF!,#REF!,#REF!</definedName>
    <definedName name="Z_40C39524_4116_11D1_AB55_00805F1D08F8_.wvu.Rows" hidden="1">#REF!</definedName>
    <definedName name="Z_40C39573_4116_11D1_AB55_00805F1D08F8_.wvu.Cols" hidden="1">#REF!</definedName>
    <definedName name="Z_40C39574_4116_11D1_AB55_00805F1D08F8_.wvu.Cols" hidden="1">#REF!,#REF!,#REF!,#REF!</definedName>
    <definedName name="Z_40C39574_4116_11D1_AB55_00805F1D08F8_.wvu.Rows" hidden="1">#REF!</definedName>
    <definedName name="Z_4B689A83_6515_11D1_AB79_00805F1D08F8_.wvu.Cols" hidden="1">#REF!</definedName>
    <definedName name="Z_4B689A84_6515_11D1_AB79_00805F1D08F8_.wvu.Cols" hidden="1">#REF!,#REF!,#REF!,#REF!</definedName>
    <definedName name="Z_4B689A84_6515_11D1_AB79_00805F1D08F8_.wvu.Rows" hidden="1">#REF!</definedName>
    <definedName name="Z_4D4EF4DC_6A0A_11D1_AB7D_00805F1D08F8_.wvu.Cols" hidden="1">#REF!</definedName>
    <definedName name="Z_4D4EF4DD_6A0A_11D1_AB7D_00805F1D08F8_.wvu.Cols" hidden="1">#REF!,#REF!,#REF!,#REF!</definedName>
    <definedName name="Z_4D4EF4DD_6A0A_11D1_AB7D_00805F1D08F8_.wvu.Rows" hidden="1">#REF!</definedName>
    <definedName name="Z_5BD438D4_7596_11D1_AB88_00805F1D08F8_.wvu.Cols" hidden="1">#REF!</definedName>
    <definedName name="Z_5BD438D5_7596_11D1_AB88_00805F1D08F8_.wvu.Cols" hidden="1">#REF!,#REF!,#REF!,#REF!</definedName>
    <definedName name="Z_5BD438D5_7596_11D1_AB88_00805F1D08F8_.wvu.Rows" hidden="1">#REF!</definedName>
    <definedName name="Z_5BD43914_7596_11D1_AB88_00805F1D08F8_.wvu.Cols" hidden="1">#REF!</definedName>
    <definedName name="Z_5BD43915_7596_11D1_AB88_00805F1D08F8_.wvu.Cols" hidden="1">#REF!,#REF!,#REF!,#REF!</definedName>
    <definedName name="Z_5BD43915_7596_11D1_AB88_00805F1D08F8_.wvu.Rows" hidden="1">#REF!</definedName>
    <definedName name="Z_5D8928C3_27D9_11D1_AB33_00805F1D2048_.wvu.Cols" hidden="1">#REF!</definedName>
    <definedName name="Z_5D8928C4_27D9_11D1_AB33_00805F1D2048_.wvu.Cols" hidden="1">#REF!,#REF!,#REF!,#REF!</definedName>
    <definedName name="Z_5D8928C4_27D9_11D1_AB33_00805F1D2048_.wvu.Rows" hidden="1">#REF!</definedName>
    <definedName name="Z_63193F35_1A71_11D1_AB28_00805F1D2048_.wvu.Cols" hidden="1">#REF!</definedName>
    <definedName name="Z_63193F36_1A71_11D1_AB28_00805F1D2048_.wvu.Cols" hidden="1">#REF!,#REF!,#REF!,#REF!</definedName>
    <definedName name="Z_63193F36_1A71_11D1_AB28_00805F1D2048_.wvu.Rows" hidden="1">#REF!</definedName>
    <definedName name="Z_67539AE7_7018_11D1_AB83_00805F1D08F8_.wvu.Cols" hidden="1">#REF!</definedName>
    <definedName name="Z_67539AE8_7018_11D1_AB83_00805F1D08F8_.wvu.Cols" hidden="1">#REF!,#REF!,#REF!,#REF!</definedName>
    <definedName name="Z_67539AE8_7018_11D1_AB83_00805F1D08F8_.wvu.Rows" hidden="1">#REF!</definedName>
    <definedName name="Z_78668872_6450_11D1_AB62_00805F1D2048_.wvu.Cols" hidden="1">#REF!</definedName>
    <definedName name="Z_78668873_6450_11D1_AB62_00805F1D2048_.wvu.Cols" hidden="1">#REF!,#REF!,#REF!,#REF!</definedName>
    <definedName name="Z_78668873_6450_11D1_AB62_00805F1D2048_.wvu.Rows" hidden="1">#REF!</definedName>
    <definedName name="Z_78668A26_6450_11D1_AB62_00805F1D2048_.wvu.Cols" hidden="1">#REF!</definedName>
    <definedName name="Z_78668A27_6450_11D1_AB62_00805F1D2048_.wvu.Cols" hidden="1">#REF!,#REF!,#REF!,#REF!</definedName>
    <definedName name="Z_78668A27_6450_11D1_AB62_00805F1D2048_.wvu.Rows" hidden="1">#REF!</definedName>
    <definedName name="Z_81AF337E_7A53_11D1_AB73_00805F1D2048_.wvu.Cols" hidden="1">#REF!</definedName>
    <definedName name="Z_81AF337F_7A53_11D1_AB73_00805F1D2048_.wvu.Cols" hidden="1">#REF!,#REF!,#REF!,#REF!</definedName>
    <definedName name="Z_81AF337F_7A53_11D1_AB73_00805F1D2048_.wvu.Rows" hidden="1">#REF!</definedName>
    <definedName name="Z_9431393B_8BB4_11D1_AB82_00805F1D2048_.wvu.Cols" hidden="1">#REF!</definedName>
    <definedName name="Z_9431393C_8BB4_11D1_AB82_00805F1D2048_.wvu.Cols" hidden="1">#REF!,#REF!,#REF!,#REF!</definedName>
    <definedName name="Z_9431393C_8BB4_11D1_AB82_00805F1D2048_.wvu.Rows" hidden="1">#REF!</definedName>
    <definedName name="Z_A399A71D_4368_11D1_AB57_00805F1D08F8_.wvu.Cols" hidden="1">#REF!</definedName>
    <definedName name="Z_A399A71E_4368_11D1_AB57_00805F1D08F8_.wvu.Cols" hidden="1">#REF!,#REF!,#REF!,#REF!</definedName>
    <definedName name="Z_A399A71E_4368_11D1_AB57_00805F1D08F8_.wvu.Rows" hidden="1">#REF!</definedName>
    <definedName name="Z_BAD6B5D0_6209_11D1_AB61_00805F1D2048_.wvu.Cols" hidden="1">#REF!</definedName>
    <definedName name="Z_BAD6B5D1_6209_11D1_AB61_00805F1D2048_.wvu.Cols" hidden="1">#REF!,#REF!,#REF!,#REF!</definedName>
    <definedName name="Z_BAD6B5D1_6209_11D1_AB61_00805F1D2048_.wvu.Rows" hidden="1">#REF!</definedName>
    <definedName name="Z_C743300D_5626_11D1_AB56_00805F1D2048_.wvu.Cols" hidden="1">#REF!</definedName>
    <definedName name="Z_C743300E_5626_11D1_AB56_00805F1D2048_.wvu.Cols" hidden="1">#REF!,#REF!,#REF!,#REF!</definedName>
    <definedName name="Z_C743300E_5626_11D1_AB56_00805F1D2048_.wvu.Rows" hidden="1">#REF!</definedName>
    <definedName name="Z_C7433013_5626_11D1_AB56_00805F1D2048_.wvu.Cols" hidden="1">#REF!</definedName>
    <definedName name="Z_C7433014_5626_11D1_AB56_00805F1D2048_.wvu.Cols" hidden="1">#REF!,#REF!,#REF!,#REF!</definedName>
    <definedName name="Z_C7433014_5626_11D1_AB56_00805F1D2048_.wvu.Rows" hidden="1">#REF!</definedName>
    <definedName name="Z_D54F9874_4E48_11D1_AB4F_00805F1D2048_.wvu.Cols" hidden="1">#REF!</definedName>
    <definedName name="Z_D54F9875_4E48_11D1_AB4F_00805F1D2048_.wvu.Cols" hidden="1">#REF!,#REF!,#REF!,#REF!</definedName>
    <definedName name="Z_D54F9875_4E48_11D1_AB4F_00805F1D2048_.wvu.Rows" hidden="1">#REF!</definedName>
    <definedName name="Z_D54F996E_4E48_11D1_AB4F_00805F1D2048_.wvu.Cols" hidden="1">#REF!</definedName>
    <definedName name="Z_D54F996F_4E48_11D1_AB4F_00805F1D2048_.wvu.Cols" hidden="1">#REF!,#REF!,#REF!,#REF!</definedName>
    <definedName name="Z_D54F996F_4E48_11D1_AB4F_00805F1D2048_.wvu.Rows" hidden="1">#REF!</definedName>
    <definedName name="Z_D62B3FE5_56F6_11D1_AB57_00805F1D2048_.wvu.Cols" hidden="1">#REF!</definedName>
    <definedName name="Z_D62B3FE6_56F6_11D1_AB57_00805F1D2048_.wvu.Cols" hidden="1">#REF!,#REF!,#REF!,#REF!</definedName>
    <definedName name="Z_D62B3FE6_56F6_11D1_AB57_00805F1D2048_.wvu.Rows" hidden="1">#REF!</definedName>
    <definedName name="Z_DCBAD063_2D80_11D1_AB5C_00805F466D8F_.wvu.Cols" hidden="1">#REF!</definedName>
    <definedName name="Z_DCBAD064_2D80_11D1_AB5C_00805F466D8F_.wvu.Cols" hidden="1">#REF!,#REF!,#REF!,#REF!</definedName>
    <definedName name="Z_DCBAD064_2D80_11D1_AB5C_00805F466D8F_.wvu.Rows" hidden="1">#REF!</definedName>
    <definedName name="Z_EC399ADF_4413_11D1_AB58_00805F1D08F8_.wvu.Cols" hidden="1">#REF!</definedName>
    <definedName name="Z_EC399AE0_4413_11D1_AB58_00805F1D08F8_.wvu.Cols" hidden="1">#REF!,#REF!,#REF!,#REF!</definedName>
    <definedName name="Z_EC399AE0_4413_11D1_AB58_00805F1D08F8_.wvu.Rows" hidden="1">#REF!</definedName>
    <definedName name="Z_F8F432B7_2D4F_11D1_AB36_00805F1DF014_.wvu.Cols" hidden="1">#REF!</definedName>
    <definedName name="Z_F8F432B8_2D4F_11D1_AB36_00805F1DF014_.wvu.Cols" hidden="1">#REF!,#REF!,#REF!,#REF!</definedName>
    <definedName name="Z_F8F432B8_2D4F_11D1_AB36_00805F1DF014_.wvu.Rows" hidden="1">#REF!</definedName>
    <definedName name="Z_F97BFBDE_2894_11D1_AB3A_00805F1D08F8_.wvu.Cols" hidden="1">#REF!</definedName>
    <definedName name="Z_F97BFBDF_2894_11D1_AB3A_00805F1D08F8_.wvu.Cols" hidden="1">#REF!,#REF!,#REF!,#REF!</definedName>
    <definedName name="Z_F97BFBDF_2894_11D1_AB3A_00805F1D08F8_.wvu.Rows" hidden="1">#REF!</definedName>
    <definedName name="zB">#REF!</definedName>
    <definedName name="zDCF_P3">#REF!</definedName>
    <definedName name="zDDE">#REF!</definedName>
    <definedName name="zDE">#REF!</definedName>
    <definedName name="zDebt">#REF!</definedName>
    <definedName name="zEDE">#REF!</definedName>
    <definedName name="zEquityValue">#REF!</definedName>
    <definedName name="zForecast_Less_10">#REF!</definedName>
    <definedName name="zForecast_Plus_10">#REF!</definedName>
    <definedName name="zGrowth_Less_1">#REF!</definedName>
    <definedName name="zGrowth_Plus_1">#REF!</definedName>
    <definedName name="zI">#REF!</definedName>
    <definedName name="zIRRM">#REF!</definedName>
    <definedName name="zIssued_Shares">#REF!</definedName>
    <definedName name="zKd">#REF!</definedName>
    <definedName name="zKe">#REF!</definedName>
    <definedName name="zMktValue_investments">#REF!</definedName>
    <definedName name="zMRP">#REF!</definedName>
    <definedName name="zRf">#REF!</definedName>
    <definedName name="zTc">#REF!</definedName>
    <definedName name="zWACC">#REF!</definedName>
    <definedName name="zWACC_Less_1">#REF!</definedName>
    <definedName name="zWACC_Plus_1">#REF!</definedName>
  </definedNames>
  <calcPr calcId="191029" calcMode="autoNoTable"/>
  <customWorkbookViews>
    <customWorkbookView name="Print_2001 (MODEL)" guid="{24B33D16-1EBA-11D1-AB32-00805F1DF0BB}" maximized="1" windowWidth="1020" windowHeight="630" tabRatio="450" activeSheetId="4"/>
    <customWorkbookView name="Print_1999 (MODEL)" guid="{24B33D15-1EBA-11D1-AB32-00805F1DF0BB}" maximized="1" windowWidth="1020" windowHeight="630" tabRatio="450"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23" i="4" l="1"/>
  <c r="BH114" i="4"/>
  <c r="BG114" i="4"/>
  <c r="BE114" i="4"/>
  <c r="BD114" i="4"/>
  <c r="BB114" i="4"/>
  <c r="BA114" i="4"/>
  <c r="AY114" i="4"/>
  <c r="AX114" i="4"/>
  <c r="AV114" i="4"/>
  <c r="AU114" i="4"/>
  <c r="AS114" i="4"/>
  <c r="AR114" i="4"/>
  <c r="AP114" i="4"/>
  <c r="AO114" i="4"/>
  <c r="AM114" i="4"/>
  <c r="AL114" i="4"/>
  <c r="AC114" i="4"/>
  <c r="AC195" i="4"/>
  <c r="AC194" i="4"/>
  <c r="AC111" i="63726"/>
  <c r="AC84" i="63726"/>
  <c r="AC82" i="63726"/>
  <c r="AC81" i="63726"/>
  <c r="AC78" i="63726"/>
  <c r="AC63" i="63726"/>
  <c r="AC58" i="63726"/>
  <c r="AC64" i="63726" s="1"/>
  <c r="AC57" i="63726"/>
  <c r="AC50" i="63726"/>
  <c r="AC43" i="63726"/>
  <c r="AC161" i="4"/>
  <c r="AC136" i="4"/>
  <c r="AC103" i="4"/>
  <c r="AC108" i="4" s="1"/>
  <c r="AC96" i="4"/>
  <c r="AC83" i="4"/>
  <c r="AC48" i="4"/>
  <c r="AC37" i="4"/>
  <c r="AC30" i="4"/>
  <c r="AC40" i="4" s="1"/>
  <c r="AC28" i="4"/>
  <c r="AC25" i="4"/>
  <c r="AC22" i="4"/>
  <c r="AC19" i="4"/>
  <c r="AC16" i="4"/>
  <c r="AC9" i="4"/>
  <c r="AT194" i="4" l="1"/>
  <c r="AW194" i="4" s="1"/>
  <c r="AZ194" i="4" s="1"/>
  <c r="BC194" i="4" s="1"/>
  <c r="BF194" i="4" s="1"/>
  <c r="BI194" i="4" s="1"/>
  <c r="AN64" i="63726"/>
  <c r="AK65" i="63723"/>
  <c r="AH97" i="63726"/>
  <c r="AV194" i="4"/>
  <c r="AY194" i="4" s="1"/>
  <c r="BB194" i="4" s="1"/>
  <c r="BE194" i="4" s="1"/>
  <c r="BH194" i="4" s="1"/>
  <c r="AU194" i="4"/>
  <c r="AX194" i="4" s="1"/>
  <c r="BA194" i="4" s="1"/>
  <c r="BD194" i="4" s="1"/>
  <c r="BG194" i="4" s="1"/>
  <c r="BC196" i="4" l="1"/>
  <c r="AV95" i="63726"/>
  <c r="AY95" i="63726" s="1"/>
  <c r="BB95" i="63726" s="1"/>
  <c r="BE95" i="63726" s="1"/>
  <c r="BH95" i="63726" s="1"/>
  <c r="AU95" i="63726"/>
  <c r="AX95" i="63726" s="1"/>
  <c r="BA95" i="63726" s="1"/>
  <c r="BD95" i="63726" s="1"/>
  <c r="BG95" i="63726" s="1"/>
  <c r="AT95" i="63726"/>
  <c r="AW95" i="63726" s="1"/>
  <c r="AZ95" i="63726" s="1"/>
  <c r="BC95" i="63726" s="1"/>
  <c r="BF95" i="63726" s="1"/>
  <c r="BI95" i="63726" s="1"/>
  <c r="AL64" i="63726"/>
  <c r="AO64" i="63726" s="1"/>
  <c r="AR64" i="63726" s="1"/>
  <c r="AU64" i="63726" s="1"/>
  <c r="AX64" i="63726" s="1"/>
  <c r="BA64" i="63726" s="1"/>
  <c r="BD64" i="63726" s="1"/>
  <c r="BG64" i="63726" s="1"/>
  <c r="AQ64" i="63726"/>
  <c r="AT64" i="63726" s="1"/>
  <c r="AW64" i="63726" s="1"/>
  <c r="AZ64" i="63726" s="1"/>
  <c r="BC64" i="63726" s="1"/>
  <c r="BF64" i="63726" s="1"/>
  <c r="BI64" i="63726" s="1"/>
  <c r="AS20" i="4"/>
  <c r="AV20" i="4" s="1"/>
  <c r="AY20" i="4" s="1"/>
  <c r="BB20" i="4" s="1"/>
  <c r="BE20" i="4" s="1"/>
  <c r="BH20" i="4" s="1"/>
  <c r="AR20" i="4"/>
  <c r="AU20" i="4" s="1"/>
  <c r="AX20" i="4" s="1"/>
  <c r="BA20" i="4" s="1"/>
  <c r="BD20" i="4" s="1"/>
  <c r="BG20" i="4" s="1"/>
  <c r="AK20" i="4" l="1"/>
  <c r="AN20" i="4" s="1"/>
  <c r="AQ20" i="4" s="1"/>
  <c r="AT20" i="4" s="1"/>
  <c r="AW20" i="4" s="1"/>
  <c r="AZ20" i="4" s="1"/>
  <c r="BC20" i="4" s="1"/>
  <c r="BF20" i="4" s="1"/>
  <c r="BI20" i="4" s="1"/>
  <c r="BH112" i="4" l="1"/>
  <c r="BH115" i="4" s="1"/>
  <c r="BG112" i="4"/>
  <c r="BG115" i="4" s="1"/>
  <c r="BE112" i="4"/>
  <c r="BE115" i="4" s="1"/>
  <c r="BD112" i="4"/>
  <c r="BD115" i="4" s="1"/>
  <c r="BB112" i="4"/>
  <c r="BB115" i="4" s="1"/>
  <c r="BA112" i="4"/>
  <c r="BA115" i="4" s="1"/>
  <c r="AY112" i="4"/>
  <c r="AY115" i="4" s="1"/>
  <c r="AX112" i="4"/>
  <c r="AX115" i="4" s="1"/>
  <c r="AV112" i="4"/>
  <c r="AV115" i="4" s="1"/>
  <c r="AU112" i="4"/>
  <c r="AU115" i="4" s="1"/>
  <c r="AS112" i="4"/>
  <c r="AS115" i="4" s="1"/>
  <c r="AR112" i="4"/>
  <c r="AR115" i="4" s="1"/>
  <c r="AP112" i="4"/>
  <c r="AP115" i="4" s="1"/>
  <c r="AO112" i="4"/>
  <c r="AO115" i="4" s="1"/>
  <c r="AM112" i="4"/>
  <c r="AM115" i="4" s="1"/>
  <c r="AL112" i="4"/>
  <c r="AL115" i="4" s="1"/>
  <c r="J52" i="63726" l="1"/>
  <c r="Z82" i="63726"/>
  <c r="C6" i="63744"/>
  <c r="BH63" i="63726"/>
  <c r="BG63" i="63726"/>
  <c r="BE63" i="63726"/>
  <c r="BD63" i="63726"/>
  <c r="BB63" i="63726"/>
  <c r="BA63" i="63726"/>
  <c r="AY63" i="63726"/>
  <c r="AX63" i="63726"/>
  <c r="AV63" i="63726"/>
  <c r="AU63" i="63726"/>
  <c r="AS63" i="63726"/>
  <c r="AR63" i="63726"/>
  <c r="AP63" i="63726"/>
  <c r="AO63" i="63726"/>
  <c r="AJ62" i="63723"/>
  <c r="AM62" i="63723" s="1"/>
  <c r="AP62" i="63723" s="1"/>
  <c r="AS62" i="63723" s="1"/>
  <c r="AV62" i="63723" s="1"/>
  <c r="AY62" i="63723" s="1"/>
  <c r="BB62" i="63723" s="1"/>
  <c r="BE62" i="63723" s="1"/>
  <c r="BH62" i="63723" s="1"/>
  <c r="BH42" i="4"/>
  <c r="BG42" i="4"/>
  <c r="BE42" i="4"/>
  <c r="BD42" i="4"/>
  <c r="BB42" i="4"/>
  <c r="BA42" i="4"/>
  <c r="AY42" i="4"/>
  <c r="AX42" i="4"/>
  <c r="AV42" i="4"/>
  <c r="AU42" i="4"/>
  <c r="AS42" i="4"/>
  <c r="AR42" i="4"/>
  <c r="AP42" i="4"/>
  <c r="AO42" i="4"/>
  <c r="AM42" i="4"/>
  <c r="AL42" i="4"/>
  <c r="B42" i="4"/>
  <c r="BH38" i="4"/>
  <c r="BG38" i="4"/>
  <c r="BE38" i="4"/>
  <c r="BD38" i="4"/>
  <c r="BB38" i="4"/>
  <c r="BA38" i="4"/>
  <c r="AY38" i="4"/>
  <c r="AX38" i="4"/>
  <c r="AV38" i="4"/>
  <c r="AU38" i="4"/>
  <c r="AS38" i="4"/>
  <c r="AR38" i="4"/>
  <c r="AP38" i="4"/>
  <c r="AO38" i="4"/>
  <c r="AM38" i="4"/>
  <c r="AL38" i="4"/>
  <c r="AB38" i="4"/>
  <c r="Y38" i="4"/>
  <c r="B38" i="4"/>
  <c r="BH41" i="4"/>
  <c r="BG41" i="4"/>
  <c r="BE41" i="4"/>
  <c r="BD41" i="4"/>
  <c r="BB41" i="4"/>
  <c r="BA41" i="4"/>
  <c r="AY41" i="4"/>
  <c r="AX41" i="4"/>
  <c r="AV41" i="4"/>
  <c r="AU41" i="4"/>
  <c r="AS41" i="4"/>
  <c r="AR41" i="4"/>
  <c r="AP41" i="4"/>
  <c r="AO41" i="4"/>
  <c r="F41" i="4"/>
  <c r="E41" i="4"/>
  <c r="BH37" i="4"/>
  <c r="BG37" i="4"/>
  <c r="BE37" i="4"/>
  <c r="BD37" i="4"/>
  <c r="BB37" i="4"/>
  <c r="BA37" i="4"/>
  <c r="AY37" i="4"/>
  <c r="AX37" i="4"/>
  <c r="AV37" i="4"/>
  <c r="AU37" i="4"/>
  <c r="AS37" i="4"/>
  <c r="AR37" i="4"/>
  <c r="AP37" i="4"/>
  <c r="AO37" i="4"/>
  <c r="AB37" i="4"/>
  <c r="Z37" i="4"/>
  <c r="W37" i="4"/>
  <c r="T37" i="4"/>
  <c r="S37" i="4"/>
  <c r="Q37" i="4"/>
  <c r="P37" i="4"/>
  <c r="N37" i="4"/>
  <c r="M37" i="4"/>
  <c r="J37" i="4"/>
  <c r="G37" i="4"/>
  <c r="E37" i="4"/>
  <c r="AK29" i="4" l="1"/>
  <c r="AN29" i="4" s="1"/>
  <c r="AQ29" i="4" s="1"/>
  <c r="AJ63" i="63723"/>
  <c r="AG63" i="63723"/>
  <c r="AD63" i="63723"/>
  <c r="AA63" i="63723"/>
  <c r="X63" i="63723"/>
  <c r="U63" i="63723"/>
  <c r="AB228" i="4"/>
  <c r="AB227" i="4"/>
  <c r="AB223" i="4"/>
  <c r="AB195" i="4"/>
  <c r="AB194" i="4"/>
  <c r="AB193" i="4"/>
  <c r="AB189" i="4"/>
  <c r="AB191" i="4" s="1"/>
  <c r="AB188" i="4"/>
  <c r="AB187" i="4"/>
  <c r="AB186" i="4"/>
  <c r="AP63" i="63723" l="1"/>
  <c r="AM63" i="63723"/>
  <c r="AB196" i="4"/>
  <c r="AA196" i="4"/>
  <c r="AA176" i="4"/>
  <c r="AA175" i="4"/>
  <c r="AD175" i="4" s="1"/>
  <c r="AA174" i="4"/>
  <c r="AA168" i="4"/>
  <c r="AA167" i="4"/>
  <c r="AA160" i="4"/>
  <c r="AA158" i="4"/>
  <c r="AA157" i="4"/>
  <c r="AA149" i="4"/>
  <c r="AA147" i="4"/>
  <c r="AA135" i="4"/>
  <c r="AA134" i="4"/>
  <c r="AA133" i="4"/>
  <c r="AA105" i="4"/>
  <c r="AA91" i="4"/>
  <c r="AA71" i="4"/>
  <c r="AA72" i="4" s="1"/>
  <c r="AA52" i="4"/>
  <c r="AA36" i="4"/>
  <c r="AA24" i="4"/>
  <c r="AA21" i="4"/>
  <c r="AA18" i="4"/>
  <c r="AA15" i="4"/>
  <c r="AB34" i="63723"/>
  <c r="AB161" i="4"/>
  <c r="AA161" i="4" s="1"/>
  <c r="AB38" i="63723"/>
  <c r="AB136" i="4"/>
  <c r="AA136" i="4" s="1"/>
  <c r="AA9" i="63724"/>
  <c r="AA156" i="4" s="1"/>
  <c r="AA4" i="63724"/>
  <c r="AA3" i="63724"/>
  <c r="AA1" i="63724"/>
  <c r="AB15" i="63724"/>
  <c r="AB100" i="4"/>
  <c r="AB83" i="4"/>
  <c r="AB70" i="4"/>
  <c r="AB213" i="4" s="1"/>
  <c r="Y70" i="4"/>
  <c r="AB29" i="4"/>
  <c r="AB26" i="4"/>
  <c r="AB23" i="4"/>
  <c r="AB20" i="4"/>
  <c r="AB17" i="4"/>
  <c r="AB11" i="4"/>
  <c r="AA59" i="63723"/>
  <c r="AA58" i="63723"/>
  <c r="AA8" i="63723" s="1"/>
  <c r="AA37" i="63723"/>
  <c r="AA30" i="63723"/>
  <c r="AA11" i="63723"/>
  <c r="AA4" i="63723"/>
  <c r="AA1" i="63723"/>
  <c r="AB67" i="63723"/>
  <c r="AE67" i="63723" s="1"/>
  <c r="AH67" i="63723" s="1"/>
  <c r="AK67" i="63723" s="1"/>
  <c r="AN67" i="63723" s="1"/>
  <c r="AQ67" i="63723" s="1"/>
  <c r="AT67" i="63723" s="1"/>
  <c r="AW67" i="63723" s="1"/>
  <c r="AZ67" i="63723" s="1"/>
  <c r="BC67" i="63723" s="1"/>
  <c r="BF67" i="63723" s="1"/>
  <c r="BI67" i="63723" s="1"/>
  <c r="AB66" i="63723"/>
  <c r="AE66" i="63723" s="1"/>
  <c r="AB65" i="63723"/>
  <c r="AB62" i="63723"/>
  <c r="AE62" i="63723" s="1"/>
  <c r="AH62" i="63723" s="1"/>
  <c r="AK62" i="63723" s="1"/>
  <c r="AN62" i="63723" s="1"/>
  <c r="AQ62" i="63723" s="1"/>
  <c r="AT62" i="63723" s="1"/>
  <c r="AW62" i="63723" s="1"/>
  <c r="AZ62" i="63723" s="1"/>
  <c r="BC62" i="63723" s="1"/>
  <c r="BF62" i="63723" s="1"/>
  <c r="BI62" i="63723" s="1"/>
  <c r="AB61" i="63723"/>
  <c r="AB29" i="63723"/>
  <c r="AB18" i="63723"/>
  <c r="AA80" i="63726"/>
  <c r="AA77" i="63726"/>
  <c r="AA62" i="63726"/>
  <c r="AA56" i="63726"/>
  <c r="AA49" i="63726"/>
  <c r="AA42" i="63726"/>
  <c r="AA2" i="63726"/>
  <c r="AB82" i="63726"/>
  <c r="AB78" i="63726"/>
  <c r="AB50" i="63726"/>
  <c r="Z114" i="4"/>
  <c r="AA113" i="4" s="1"/>
  <c r="Y194" i="4"/>
  <c r="AE63" i="63723" l="1"/>
  <c r="AH66" i="63723"/>
  <c r="AS63" i="63723"/>
  <c r="AB63" i="63723"/>
  <c r="AA137" i="4"/>
  <c r="AA250" i="4"/>
  <c r="AA58" i="63726"/>
  <c r="AA102" i="63726" s="1"/>
  <c r="AA5" i="4" s="1"/>
  <c r="AA38" i="4" s="1"/>
  <c r="AA82" i="63726"/>
  <c r="AA106" i="63726"/>
  <c r="B66" i="63743" a="1"/>
  <c r="B66" i="63743" s="1"/>
  <c r="B65" i="63743" a="1"/>
  <c r="B65" i="63743" s="1"/>
  <c r="B62" i="63743" a="1"/>
  <c r="B62" i="63743" s="1"/>
  <c r="B60" i="63743" a="1"/>
  <c r="B60" i="63743" s="1"/>
  <c r="B59" i="63743" a="1"/>
  <c r="B59" i="63743" s="1"/>
  <c r="B58" i="63743" a="1"/>
  <c r="B58" i="63743" s="1"/>
  <c r="B57" i="63743" a="1"/>
  <c r="B57" i="63743" s="1"/>
  <c r="B56" i="63743" a="1"/>
  <c r="B56" i="63743" s="1"/>
  <c r="B53" i="63743" a="1"/>
  <c r="B53" i="63743" s="1"/>
  <c r="B52" i="63743" a="1"/>
  <c r="B52" i="63743" s="1"/>
  <c r="B51" i="63743" a="1"/>
  <c r="B51" i="63743" s="1"/>
  <c r="B50" i="63743" a="1"/>
  <c r="B50" i="63743" s="1"/>
  <c r="B49" i="63743" a="1"/>
  <c r="B49" i="63743" s="1"/>
  <c r="B48" i="63743" a="1"/>
  <c r="B48" i="63743" s="1"/>
  <c r="B45" i="63743" a="1"/>
  <c r="B45" i="63743" s="1"/>
  <c r="B40" i="63743" a="1"/>
  <c r="B40" i="63743" s="1"/>
  <c r="B32" i="63743" a="1"/>
  <c r="B32" i="63743" s="1"/>
  <c r="B44" i="63743" a="1"/>
  <c r="B44" i="63743" s="1"/>
  <c r="B43" i="63743" a="1"/>
  <c r="B43" i="63743" s="1"/>
  <c r="B42" i="63743" a="1"/>
  <c r="B42" i="63743" s="1"/>
  <c r="B41" i="63743" a="1"/>
  <c r="B41" i="63743" s="1"/>
  <c r="B36" i="63743" a="1"/>
  <c r="B36" i="63743" s="1"/>
  <c r="B35" i="63743" a="1"/>
  <c r="B35" i="63743" s="1"/>
  <c r="B34" i="63743" a="1"/>
  <c r="B34" i="63743" s="1"/>
  <c r="B33" i="63743" a="1"/>
  <c r="B33" i="63743" s="1"/>
  <c r="B37" i="63743" a="1"/>
  <c r="B37" i="63743" s="1"/>
  <c r="C7" i="63744"/>
  <c r="AV63" i="63723" l="1"/>
  <c r="AA223" i="4"/>
  <c r="AA186" i="4"/>
  <c r="AA26" i="4"/>
  <c r="AA187" i="4"/>
  <c r="AA20" i="4"/>
  <c r="AA23" i="4"/>
  <c r="AA188" i="4"/>
  <c r="AA17" i="4"/>
  <c r="AA64" i="63726"/>
  <c r="AA108" i="63726"/>
  <c r="BH31" i="4"/>
  <c r="BG31" i="4"/>
  <c r="BE31" i="4"/>
  <c r="BD31" i="4"/>
  <c r="BB31" i="4"/>
  <c r="BA31" i="4"/>
  <c r="AY31" i="4"/>
  <c r="AX31" i="4"/>
  <c r="AV31" i="4"/>
  <c r="AU31" i="4"/>
  <c r="AS31" i="4"/>
  <c r="AR31" i="4"/>
  <c r="AP31" i="4"/>
  <c r="AO31" i="4"/>
  <c r="AY63" i="63723" l="1"/>
  <c r="AF52" i="63726"/>
  <c r="AG52" i="63726" s="1"/>
  <c r="BB63" i="63723" l="1"/>
  <c r="AK52" i="63726"/>
  <c r="AN52" i="63726" s="1"/>
  <c r="AQ52" i="63726" s="1"/>
  <c r="AT52" i="63726" s="1"/>
  <c r="AW52" i="63726" s="1"/>
  <c r="AZ52" i="63726" s="1"/>
  <c r="BC52" i="63726" s="1"/>
  <c r="BF52" i="63726" s="1"/>
  <c r="BI52" i="63726" s="1"/>
  <c r="BH63" i="63723" l="1"/>
  <c r="BE63" i="63723"/>
  <c r="AI52" i="63726"/>
  <c r="AJ52" i="63726" s="1"/>
  <c r="BH1" i="63724" l="1"/>
  <c r="BG1" i="63724"/>
  <c r="BE1" i="63724"/>
  <c r="BD1" i="63724"/>
  <c r="BB1" i="63724"/>
  <c r="BA1" i="63724"/>
  <c r="AY1" i="63724"/>
  <c r="AX1" i="63724"/>
  <c r="AV1" i="63724"/>
  <c r="AU1" i="63724"/>
  <c r="AS1" i="63724"/>
  <c r="AR1" i="63724"/>
  <c r="AP1" i="63724"/>
  <c r="AO1" i="63724"/>
  <c r="AM1" i="63724"/>
  <c r="AL1" i="63724"/>
  <c r="AJ1" i="63724"/>
  <c r="AI1" i="63724"/>
  <c r="BH1" i="63723"/>
  <c r="BG1" i="63723"/>
  <c r="BE1" i="63723"/>
  <c r="BD1" i="63723"/>
  <c r="BB1" i="63723"/>
  <c r="BA1" i="63723"/>
  <c r="AY1" i="63723"/>
  <c r="AX1" i="63723"/>
  <c r="AV1" i="63723"/>
  <c r="AU1" i="63723"/>
  <c r="AS1" i="63723"/>
  <c r="AR1" i="63723"/>
  <c r="AP1" i="63723"/>
  <c r="AO1" i="63723"/>
  <c r="AM1" i="63723"/>
  <c r="AL1" i="63723"/>
  <c r="BH2" i="63726"/>
  <c r="BG2" i="63726"/>
  <c r="BE2" i="63726"/>
  <c r="BD2" i="63726"/>
  <c r="BB2" i="63726"/>
  <c r="BA2" i="63726"/>
  <c r="AY2" i="63726"/>
  <c r="AX2" i="63726"/>
  <c r="AV2" i="63726"/>
  <c r="AU2" i="63726"/>
  <c r="AS2" i="63726"/>
  <c r="AR2" i="63726"/>
  <c r="AP2" i="63726"/>
  <c r="AO2" i="63726"/>
  <c r="AM2" i="63726"/>
  <c r="AL2" i="63726"/>
  <c r="AJ1" i="63723"/>
  <c r="AI1" i="63723"/>
  <c r="AJ196" i="4"/>
  <c r="AI194" i="4"/>
  <c r="AI193" i="4"/>
  <c r="AJ165" i="4"/>
  <c r="AI165" i="4"/>
  <c r="AJ156" i="4"/>
  <c r="AI156" i="4"/>
  <c r="AI118" i="4"/>
  <c r="AJ117" i="4"/>
  <c r="AI117" i="4"/>
  <c r="AI103" i="4"/>
  <c r="AI100" i="4"/>
  <c r="AI98" i="4"/>
  <c r="AJ82" i="4"/>
  <c r="AI99" i="63726"/>
  <c r="AI89" i="63726"/>
  <c r="AI48" i="63726"/>
  <c r="AJ2" i="63726"/>
  <c r="AI2" i="63726"/>
  <c r="AI196" i="4" l="1"/>
  <c r="AI97" i="63726"/>
  <c r="AJ89" i="63726"/>
  <c r="Q44" i="63743" a="1"/>
  <c r="Q44" i="63743" s="1"/>
  <c r="P44" i="63743" a="1"/>
  <c r="P44" i="63743" s="1"/>
  <c r="O44" i="63743" a="1"/>
  <c r="O44" i="63743" s="1"/>
  <c r="R42" i="63743" a="1"/>
  <c r="R42" i="63743" s="1"/>
  <c r="Q42" i="63743" a="1"/>
  <c r="Q42" i="63743" s="1"/>
  <c r="P42" i="63743" a="1"/>
  <c r="P42" i="63743" s="1"/>
  <c r="O42" i="63743" a="1"/>
  <c r="O42" i="63743" s="1"/>
  <c r="N33" i="63743" a="1"/>
  <c r="N33" i="63743" s="1"/>
  <c r="N34" i="63743" a="1"/>
  <c r="N34" i="63743" s="1"/>
  <c r="N35" i="63743" a="1"/>
  <c r="N35" i="63743" s="1"/>
  <c r="N36" i="63743" a="1"/>
  <c r="N36" i="63743" s="1"/>
  <c r="N13" i="63743" l="1"/>
  <c r="R7" i="63743"/>
  <c r="L19" i="63743" s="1"/>
  <c r="M8" i="63743"/>
  <c r="M7" i="63743"/>
  <c r="A67" i="63743" a="1"/>
  <c r="A67" i="63743" s="1"/>
  <c r="A66" i="63743" a="1"/>
  <c r="A66" i="63743" s="1"/>
  <c r="A65" i="63743" a="1"/>
  <c r="A65" i="63743" s="1"/>
  <c r="A63" i="63743" a="1"/>
  <c r="A63" i="63743" s="1"/>
  <c r="A62" i="63743" a="1"/>
  <c r="A62" i="63743" s="1"/>
  <c r="A61" i="63743" a="1"/>
  <c r="A61" i="63743" s="1"/>
  <c r="A60" i="63743" a="1"/>
  <c r="A60" i="63743" s="1"/>
  <c r="A58" i="63743" a="1"/>
  <c r="A58" i="63743" s="1"/>
  <c r="A57" i="63743" a="1"/>
  <c r="A57" i="63743" s="1"/>
  <c r="A56" i="63743" a="1"/>
  <c r="A56" i="63743" s="1"/>
  <c r="A55" i="63743" a="1"/>
  <c r="A55" i="63743" s="1"/>
  <c r="A54" i="63743" a="1"/>
  <c r="A54" i="63743" s="1"/>
  <c r="A53" i="63743" a="1"/>
  <c r="A53" i="63743" s="1"/>
  <c r="A51" i="63743" a="1"/>
  <c r="A51" i="63743" s="1"/>
  <c r="A50" i="63743" a="1"/>
  <c r="A50" i="63743" s="1"/>
  <c r="A49" i="63743" a="1"/>
  <c r="A49" i="63743" s="1"/>
  <c r="A48" i="63743" a="1"/>
  <c r="A48" i="63743" s="1"/>
  <c r="A47" i="63743" a="1"/>
  <c r="A47" i="63743" s="1"/>
  <c r="A46" i="63743" a="1"/>
  <c r="A46" i="63743" s="1"/>
  <c r="A44" i="63743" a="1"/>
  <c r="A44" i="63743" s="1"/>
  <c r="A43" i="63743" a="1"/>
  <c r="A43" i="63743" s="1"/>
  <c r="A42" i="63743" a="1"/>
  <c r="A42" i="63743" s="1"/>
  <c r="A31" i="63743" a="1"/>
  <c r="A31" i="63743" s="1"/>
  <c r="A37" i="63743" a="1"/>
  <c r="A37" i="63743" s="1"/>
  <c r="A36" i="63743" a="1"/>
  <c r="A36" i="63743" s="1"/>
  <c r="A34" i="63743" a="1"/>
  <c r="A34" i="63743" s="1"/>
  <c r="A33" i="63743" a="1"/>
  <c r="A33" i="63743" s="1"/>
  <c r="A32" i="63743" a="1"/>
  <c r="A32" i="63743" s="1"/>
  <c r="A29" i="63743" a="1"/>
  <c r="A29" i="63743" s="1"/>
  <c r="A28" i="63743" a="1"/>
  <c r="A28" i="63743" s="1"/>
  <c r="A27" i="63743" a="1"/>
  <c r="A27" i="63743" s="1"/>
  <c r="F27" i="63743" s="1" a="1"/>
  <c r="F27" i="63743" s="1"/>
  <c r="A26" i="63743" a="1"/>
  <c r="A26" i="63743" s="1"/>
  <c r="A25" i="63743" a="1"/>
  <c r="A25" i="63743" s="1"/>
  <c r="A24" i="63743" a="1"/>
  <c r="A24" i="63743" s="1"/>
  <c r="A23" i="63743" a="1"/>
  <c r="A23" i="63743" s="1"/>
  <c r="A20" i="63743" a="1"/>
  <c r="A20" i="63743" s="1"/>
  <c r="A19" i="63743" a="1"/>
  <c r="A19" i="63743" s="1"/>
  <c r="A17" i="63743" a="1"/>
  <c r="A17" i="63743" s="1"/>
  <c r="A16" i="63743" a="1"/>
  <c r="A16" i="63743" s="1"/>
  <c r="A14" i="63743" a="1"/>
  <c r="A14" i="63743" s="1"/>
  <c r="A13" i="63743" a="1"/>
  <c r="A13" i="63743" s="1"/>
  <c r="A11" i="63743" a="1"/>
  <c r="A11" i="63743" s="1"/>
  <c r="A10" i="63743" a="1"/>
  <c r="A10" i="63743" s="1"/>
  <c r="A9" i="63743" a="1"/>
  <c r="A9" i="63743" s="1"/>
  <c r="A8" i="63743" a="1"/>
  <c r="A8" i="63743" s="1"/>
  <c r="A7" i="63743" a="1"/>
  <c r="A7" i="63743" s="1"/>
  <c r="A6" i="63743" a="1"/>
  <c r="A6" i="63743" s="1"/>
  <c r="F63" i="63743" l="1" a="1"/>
  <c r="F63" i="63743" s="1"/>
  <c r="F26" i="63743" a="1"/>
  <c r="F26" i="63743" s="1"/>
  <c r="F51" i="63743" a="1"/>
  <c r="F51" i="63743" s="1"/>
  <c r="F24" i="63743" a="1"/>
  <c r="F24" i="63743" s="1"/>
  <c r="F57" i="63743" a="1"/>
  <c r="F57" i="63743" s="1"/>
  <c r="F56" i="63743" a="1"/>
  <c r="F56" i="63743" s="1"/>
  <c r="F58" i="63743" a="1"/>
  <c r="F58" i="63743" s="1"/>
  <c r="F44" i="63743" a="1"/>
  <c r="F44" i="63743" s="1"/>
  <c r="F33" i="63743" a="1"/>
  <c r="F33" i="63743" s="1"/>
  <c r="F43" i="63743" a="1"/>
  <c r="F43" i="63743" s="1"/>
  <c r="F50" i="63743" a="1"/>
  <c r="F50" i="63743" s="1"/>
  <c r="F42" i="63743" a="1"/>
  <c r="F42" i="63743" s="1"/>
  <c r="F6" i="63743" a="1"/>
  <c r="F6" i="63743" s="1"/>
  <c r="F16" i="63743" a="1"/>
  <c r="F16" i="63743" s="1"/>
  <c r="F7" i="63743" a="1"/>
  <c r="F7" i="63743" s="1"/>
  <c r="F10" i="63743" a="1"/>
  <c r="F10" i="63743" s="1"/>
  <c r="I13" i="63727"/>
  <c r="D11" i="63744" s="1"/>
  <c r="AG196" i="4" l="1"/>
  <c r="AF193" i="4"/>
  <c r="AF156" i="4"/>
  <c r="AF103" i="4"/>
  <c r="AF100" i="4"/>
  <c r="AF98" i="4"/>
  <c r="AG82" i="4"/>
  <c r="AF99" i="63726"/>
  <c r="AF89" i="63726"/>
  <c r="AF48" i="63726"/>
  <c r="AG2" i="63726"/>
  <c r="AF2" i="63726"/>
  <c r="AG1" i="63723"/>
  <c r="AF1" i="63723"/>
  <c r="AG9" i="63724"/>
  <c r="AG156" i="4" s="1"/>
  <c r="AG6" i="63724"/>
  <c r="AG4" i="63724"/>
  <c r="AG3" i="63724"/>
  <c r="AG1" i="63724"/>
  <c r="AF1" i="63724"/>
  <c r="AP103" i="63731"/>
  <c r="AP85" i="63731"/>
  <c r="AP73" i="63731"/>
  <c r="AP72" i="63731"/>
  <c r="AP64" i="63731"/>
  <c r="AP57" i="63731"/>
  <c r="AP52" i="63731"/>
  <c r="BI228" i="4"/>
  <c r="BI156" i="4"/>
  <c r="BI103" i="4"/>
  <c r="BI100" i="4"/>
  <c r="BI48" i="63726"/>
  <c r="BI2" i="63726"/>
  <c r="BI1" i="63723"/>
  <c r="BI1" i="63724"/>
  <c r="R44" i="63743" l="1" a="1"/>
  <c r="R44" i="63743" s="1"/>
  <c r="AF196" i="4"/>
  <c r="AF97" i="63726"/>
  <c r="AG89" i="63726"/>
  <c r="Z78" i="63726" l="1"/>
  <c r="Z213" i="4"/>
  <c r="Z195" i="4"/>
  <c r="Z194" i="4"/>
  <c r="Z189" i="4"/>
  <c r="Z14" i="63724"/>
  <c r="Z15" i="63724" s="1"/>
  <c r="Z13" i="63724"/>
  <c r="AA13" i="63724" s="1"/>
  <c r="AA118" i="4" s="1"/>
  <c r="Z9" i="63724"/>
  <c r="Z7" i="63724"/>
  <c r="AA2" i="63724" s="1"/>
  <c r="Z54" i="63723"/>
  <c r="AA54" i="63723" s="1"/>
  <c r="Z51" i="63723"/>
  <c r="AA48" i="63723" s="1"/>
  <c r="Z48" i="63723"/>
  <c r="Z45" i="63723"/>
  <c r="AA42" i="63723" s="1"/>
  <c r="Z42" i="63723"/>
  <c r="Z30" i="63723"/>
  <c r="Z13" i="63723"/>
  <c r="AA7" i="63723" s="1"/>
  <c r="AA13" i="63723" s="1"/>
  <c r="AA5" i="63723" s="1"/>
  <c r="AA3" i="63723" s="1"/>
  <c r="Z161" i="4"/>
  <c r="Z149" i="4"/>
  <c r="Z136" i="4"/>
  <c r="Z137" i="4" s="1"/>
  <c r="Z103" i="4"/>
  <c r="Z108" i="4" s="1"/>
  <c r="Z96" i="4"/>
  <c r="Z83" i="4"/>
  <c r="Z48" i="4"/>
  <c r="Z30" i="4"/>
  <c r="AC31" i="4" s="1"/>
  <c r="Z25" i="4"/>
  <c r="Z22" i="4"/>
  <c r="Z19" i="4"/>
  <c r="Z16" i="4"/>
  <c r="Z106" i="63726"/>
  <c r="Z50" i="63726"/>
  <c r="BI196" i="4" l="1"/>
  <c r="Z10" i="63724"/>
  <c r="Z40" i="4"/>
  <c r="AC41" i="4" s="1"/>
  <c r="Z55" i="63723"/>
  <c r="AK97" i="63726" l="1"/>
  <c r="AN99" i="63726"/>
  <c r="AQ99" i="63726" s="1"/>
  <c r="AG99" i="63726" s="1"/>
  <c r="AG97" i="63726" s="1"/>
  <c r="AK98" i="63726" l="1"/>
  <c r="AH98" i="63726"/>
  <c r="AT99" i="63726"/>
  <c r="AJ99" i="63726" s="1"/>
  <c r="AJ97" i="63726" s="1"/>
  <c r="AN97" i="63726"/>
  <c r="AN98" i="63726" s="1"/>
  <c r="AW99" i="63726" l="1"/>
  <c r="AZ99" i="63726" l="1"/>
  <c r="BC99" i="63726" l="1"/>
  <c r="BF99" i="63726" l="1"/>
  <c r="BI99" i="63726" s="1"/>
  <c r="Q67" i="63726" l="1"/>
  <c r="P67" i="63726"/>
  <c r="Y106" i="63726" l="1"/>
  <c r="W106" i="63726"/>
  <c r="V106" i="63726"/>
  <c r="T106" i="63726"/>
  <c r="S106" i="63726"/>
  <c r="Q106" i="63726"/>
  <c r="P106" i="63726"/>
  <c r="AQ89" i="63726"/>
  <c r="AQ97" i="63726" s="1"/>
  <c r="AQ98" i="63726" s="1"/>
  <c r="S81" i="63726"/>
  <c r="P82" i="63726"/>
  <c r="S63" i="63726"/>
  <c r="Q82" i="63726"/>
  <c r="T81" i="63726"/>
  <c r="R80" i="63726"/>
  <c r="T63" i="63726"/>
  <c r="R62" i="63726"/>
  <c r="W82" i="63726"/>
  <c r="V82" i="63726"/>
  <c r="T82" i="63726"/>
  <c r="S82" i="63726"/>
  <c r="Y82" i="63726"/>
  <c r="X80" i="63726"/>
  <c r="AA81" i="63726" s="1"/>
  <c r="U80" i="63726"/>
  <c r="Y81" i="63726"/>
  <c r="W81" i="63726"/>
  <c r="V81" i="63726"/>
  <c r="W63" i="63726"/>
  <c r="U62" i="63726"/>
  <c r="X62" i="63726"/>
  <c r="AA63" i="63726" s="1"/>
  <c r="V63" i="63726"/>
  <c r="Y63" i="63726"/>
  <c r="N40" i="63743" s="1" a="1"/>
  <c r="N40" i="63743" s="1"/>
  <c r="B82" i="63726"/>
  <c r="B81" i="63726"/>
  <c r="C80" i="63726"/>
  <c r="C82" i="63726" s="1"/>
  <c r="B65" i="63726"/>
  <c r="B64" i="63726"/>
  <c r="B63" i="63726"/>
  <c r="C62" i="63726"/>
  <c r="C65" i="63726" s="1"/>
  <c r="Y227" i="4"/>
  <c r="Y223" i="4"/>
  <c r="Y195" i="4"/>
  <c r="Y193" i="4"/>
  <c r="Y189" i="4"/>
  <c r="AB190" i="4" s="1"/>
  <c r="Y188" i="4"/>
  <c r="Y187" i="4"/>
  <c r="Y186" i="4"/>
  <c r="Y166" i="4"/>
  <c r="F62" i="63743" s="1" a="1"/>
  <c r="F62" i="63743" s="1"/>
  <c r="Y161" i="4"/>
  <c r="Y83" i="4"/>
  <c r="Y136" i="4"/>
  <c r="Y29" i="4"/>
  <c r="Y28" i="4"/>
  <c r="Y26" i="4"/>
  <c r="Y25" i="4"/>
  <c r="Y23" i="4"/>
  <c r="Y22" i="4"/>
  <c r="Y20" i="4"/>
  <c r="Y19" i="4"/>
  <c r="Y17" i="4"/>
  <c r="Y16" i="4"/>
  <c r="Y11" i="4"/>
  <c r="Y9" i="4"/>
  <c r="N57" i="63743" s="1" a="1"/>
  <c r="N57" i="63743" s="1"/>
  <c r="Y67" i="63723"/>
  <c r="Y66" i="63723"/>
  <c r="Y65" i="63723"/>
  <c r="Y62" i="63723"/>
  <c r="Y61" i="63723"/>
  <c r="AH61" i="63723" s="1"/>
  <c r="AK61" i="63723" s="1"/>
  <c r="AN61" i="63723" s="1"/>
  <c r="AQ61" i="63723" s="1"/>
  <c r="AT61" i="63723" s="1"/>
  <c r="AW61" i="63723" s="1"/>
  <c r="AZ61" i="63723" s="1"/>
  <c r="BC61" i="63723" s="1"/>
  <c r="BF61" i="63723" s="1"/>
  <c r="BI61" i="63723" s="1"/>
  <c r="Y38" i="63723"/>
  <c r="Y29" i="63723"/>
  <c r="V29" i="63723"/>
  <c r="Y18" i="63723"/>
  <c r="Y111" i="63726"/>
  <c r="N53" i="63743" s="1" a="1"/>
  <c r="N53" i="63743" s="1"/>
  <c r="Y78" i="63726"/>
  <c r="N44" i="63743" s="1" a="1"/>
  <c r="N44" i="63743" s="1"/>
  <c r="Y50" i="63726"/>
  <c r="N42" i="63743" s="1" a="1"/>
  <c r="N42" i="63743" s="1"/>
  <c r="Y63" i="63723" l="1"/>
  <c r="Y13" i="4"/>
  <c r="N65" i="63743" s="1" a="1"/>
  <c r="N65" i="63743" s="1"/>
  <c r="F8" i="63743" a="1"/>
  <c r="F8" i="63743" s="1"/>
  <c r="AI95" i="63726"/>
  <c r="AI93" i="63726" s="1"/>
  <c r="AF93" i="63726"/>
  <c r="Y191" i="4"/>
  <c r="Z190" i="4"/>
  <c r="R106" i="63726"/>
  <c r="U106" i="63726"/>
  <c r="X106" i="63726"/>
  <c r="AA107" i="63726" s="1"/>
  <c r="X81" i="63726"/>
  <c r="V107" i="63726"/>
  <c r="W107" i="63726"/>
  <c r="S107" i="63726"/>
  <c r="Y107" i="63726"/>
  <c r="AH93" i="63726"/>
  <c r="T107" i="63726"/>
  <c r="Y196" i="4"/>
  <c r="U81" i="63726"/>
  <c r="X63" i="63726"/>
  <c r="U63" i="63726"/>
  <c r="C64" i="63726"/>
  <c r="AD82" i="4"/>
  <c r="Y213" i="4"/>
  <c r="AK23" i="4" l="1"/>
  <c r="AK93" i="63726"/>
  <c r="AK94" i="63726" s="1"/>
  <c r="AN93" i="63726"/>
  <c r="X107" i="63726"/>
  <c r="U107" i="63726"/>
  <c r="AH94" i="63726"/>
  <c r="AN23" i="4" l="1"/>
  <c r="AQ23" i="4" s="1"/>
  <c r="AG95" i="63726"/>
  <c r="AG93" i="63726" s="1"/>
  <c r="AN94" i="63726"/>
  <c r="T2" i="63726"/>
  <c r="AQ93" i="63726" l="1"/>
  <c r="AQ94" i="63726" s="1"/>
  <c r="AJ95" i="63726" l="1"/>
  <c r="AJ93" i="63726" s="1"/>
  <c r="AH82" i="63726"/>
  <c r="AK82" i="63726" s="1"/>
  <c r="AN82" i="63726" s="1"/>
  <c r="AQ82" i="63726" s="1"/>
  <c r="AT82" i="63726" s="1"/>
  <c r="AW82" i="63726" s="1"/>
  <c r="AZ82" i="63726" s="1"/>
  <c r="BC82" i="63726" s="1"/>
  <c r="BF82" i="63726" s="1"/>
  <c r="BI82" i="63726" s="1"/>
  <c r="AF82" i="63726" l="1"/>
  <c r="AK37" i="63726"/>
  <c r="AF37" i="63726"/>
  <c r="AI82" i="63726" l="1"/>
  <c r="AL82" i="63726" s="1"/>
  <c r="AO82" i="63726" s="1"/>
  <c r="AR82" i="63726" s="1"/>
  <c r="AU82" i="63726" s="1"/>
  <c r="AX82" i="63726" s="1"/>
  <c r="BA82" i="63726" s="1"/>
  <c r="BD82" i="63726" s="1"/>
  <c r="BG82" i="63726" s="1"/>
  <c r="AN37" i="63726"/>
  <c r="AQ37" i="63726" s="1"/>
  <c r="AT37" i="63726" s="1"/>
  <c r="AW37" i="63726" s="1"/>
  <c r="AZ37" i="63726" s="1"/>
  <c r="BC37" i="63726" s="1"/>
  <c r="BF37" i="63726" s="1"/>
  <c r="BI37" i="63726" s="1"/>
  <c r="BI38" i="63726" s="1"/>
  <c r="AI37" i="63726"/>
  <c r="AI38" i="63726" s="1"/>
  <c r="AD196" i="4"/>
  <c r="AC100" i="4"/>
  <c r="AC98" i="4"/>
  <c r="AC89" i="63726"/>
  <c r="AD2" i="63726"/>
  <c r="AC2" i="63726"/>
  <c r="AD1" i="63723"/>
  <c r="AC1" i="63723"/>
  <c r="AD9" i="63724"/>
  <c r="AD156" i="4" s="1"/>
  <c r="AD6" i="63724"/>
  <c r="AD4" i="63724"/>
  <c r="AD3" i="63724"/>
  <c r="AD1" i="63724"/>
  <c r="AC1" i="63724"/>
  <c r="AD89" i="63726" l="1"/>
  <c r="AO103" i="63731" l="1"/>
  <c r="AO85" i="63731"/>
  <c r="AO73" i="63731"/>
  <c r="AO72" i="63731"/>
  <c r="AO64" i="63731"/>
  <c r="AO57" i="63731"/>
  <c r="AO52" i="63731"/>
  <c r="BF228" i="4"/>
  <c r="BF156" i="4"/>
  <c r="BF103" i="4"/>
  <c r="BF100" i="4"/>
  <c r="BF1" i="63724"/>
  <c r="BF1" i="63723"/>
  <c r="BF2" i="63726"/>
  <c r="BC1" i="63724"/>
  <c r="AZ1" i="63724"/>
  <c r="AW1" i="63724"/>
  <c r="AT1" i="63724"/>
  <c r="AQ1" i="63724"/>
  <c r="AN1" i="63724"/>
  <c r="AK1" i="63724"/>
  <c r="AH1" i="63724"/>
  <c r="AE1" i="63724"/>
  <c r="AB1" i="63724"/>
  <c r="Z1" i="63724"/>
  <c r="Y1" i="63724"/>
  <c r="X1" i="63724"/>
  <c r="W1" i="63724"/>
  <c r="V1" i="63724"/>
  <c r="U1" i="63724"/>
  <c r="T1" i="63724"/>
  <c r="S1" i="63724"/>
  <c r="R1" i="63724"/>
  <c r="Q1" i="63724"/>
  <c r="P1" i="63724"/>
  <c r="O1" i="63724"/>
  <c r="N1" i="63724"/>
  <c r="M1" i="63724"/>
  <c r="L1" i="63724"/>
  <c r="K1" i="63724"/>
  <c r="J1" i="63724"/>
  <c r="I1" i="63724"/>
  <c r="H1" i="63724"/>
  <c r="G1" i="63724"/>
  <c r="F1" i="63724"/>
  <c r="E1" i="63724"/>
  <c r="D1" i="63724"/>
  <c r="BC1" i="63723"/>
  <c r="AZ1" i="63723"/>
  <c r="AW1" i="63723"/>
  <c r="AT1" i="63723"/>
  <c r="AQ1" i="63723"/>
  <c r="AN1" i="63723"/>
  <c r="AK1" i="63723"/>
  <c r="AH1" i="63723"/>
  <c r="AE1" i="63723"/>
  <c r="AB1" i="63723"/>
  <c r="Z1" i="63723"/>
  <c r="Y1" i="63723"/>
  <c r="X1" i="63723"/>
  <c r="W1" i="63723"/>
  <c r="V1" i="63723"/>
  <c r="U1" i="63723"/>
  <c r="T1" i="63723"/>
  <c r="S1" i="63723"/>
  <c r="R1" i="63723"/>
  <c r="Q1" i="63723"/>
  <c r="P1" i="63723"/>
  <c r="O1" i="63723"/>
  <c r="N1" i="63723"/>
  <c r="M1" i="63723"/>
  <c r="L1" i="63723"/>
  <c r="K1" i="63723"/>
  <c r="J1" i="63723"/>
  <c r="I1" i="63723"/>
  <c r="H1" i="63723"/>
  <c r="G1" i="63723"/>
  <c r="F1" i="63723"/>
  <c r="E1" i="63723"/>
  <c r="D1" i="63723"/>
  <c r="BC2" i="63726"/>
  <c r="AZ2" i="63726"/>
  <c r="AW2" i="63726"/>
  <c r="AT2" i="63726"/>
  <c r="AQ2" i="63726"/>
  <c r="AN2" i="63726"/>
  <c r="AK2" i="63726"/>
  <c r="AH2" i="63726"/>
  <c r="AE2" i="63726"/>
  <c r="AB2" i="63726"/>
  <c r="Z2" i="63726"/>
  <c r="Y2" i="63726"/>
  <c r="X2" i="63726"/>
  <c r="W2" i="63726"/>
  <c r="V2" i="63726"/>
  <c r="U2" i="63726"/>
  <c r="S2" i="63726"/>
  <c r="R2" i="63726"/>
  <c r="Q2" i="63726"/>
  <c r="P2" i="63726"/>
  <c r="O2" i="63726"/>
  <c r="N2" i="63726"/>
  <c r="M2" i="63726"/>
  <c r="L2" i="63726"/>
  <c r="K2" i="63726"/>
  <c r="J2" i="63726"/>
  <c r="I2" i="63726"/>
  <c r="H2" i="63726"/>
  <c r="G2" i="63726"/>
  <c r="F2" i="63726"/>
  <c r="E2" i="63726"/>
  <c r="D2" i="63726"/>
  <c r="W3" i="63724" l="1"/>
  <c r="W30" i="4"/>
  <c r="W40" i="4" l="1"/>
  <c r="Z31" i="4"/>
  <c r="W225" i="4"/>
  <c r="W219" i="4"/>
  <c r="W195" i="4"/>
  <c r="W194" i="4"/>
  <c r="W189" i="4"/>
  <c r="W14" i="63724"/>
  <c r="W15" i="63724" s="1"/>
  <c r="W9" i="63724"/>
  <c r="W7" i="63724"/>
  <c r="W54" i="63723"/>
  <c r="W51" i="63723"/>
  <c r="Z41" i="4" l="1"/>
  <c r="W45" i="63723"/>
  <c r="W13" i="63723"/>
  <c r="T8" i="63723"/>
  <c r="W161" i="4"/>
  <c r="W136" i="4"/>
  <c r="W118" i="4"/>
  <c r="W13" i="63724" s="1"/>
  <c r="W103" i="4"/>
  <c r="W96" i="4"/>
  <c r="W83" i="4"/>
  <c r="W213" i="4"/>
  <c r="W48" i="4"/>
  <c r="W28" i="4"/>
  <c r="W25" i="4"/>
  <c r="W22" i="4"/>
  <c r="W19" i="4"/>
  <c r="W16" i="4"/>
  <c r="V19" i="4"/>
  <c r="W78" i="63726"/>
  <c r="W50" i="63726"/>
  <c r="W45" i="63726" s="1"/>
  <c r="I83" i="63736"/>
  <c r="G80" i="63736"/>
  <c r="G81" i="63736" s="1"/>
  <c r="G83" i="63736" s="1"/>
  <c r="G69" i="63736"/>
  <c r="G65" i="63736"/>
  <c r="J46" i="63736"/>
  <c r="L74" i="63736" l="1"/>
  <c r="M63" i="63736"/>
  <c r="L69" i="63736"/>
  <c r="L65" i="63736"/>
  <c r="L62" i="63736"/>
  <c r="G68" i="63736"/>
  <c r="G54" i="63736"/>
  <c r="G62" i="63736"/>
  <c r="F78" i="63736"/>
  <c r="F65" i="63736"/>
  <c r="F54" i="63736"/>
  <c r="F49" i="63736"/>
  <c r="F47" i="63736"/>
  <c r="F46" i="63736"/>
  <c r="F45" i="63736"/>
  <c r="H45" i="63736" s="1"/>
  <c r="G76" i="63736" l="1"/>
  <c r="G74" i="63736"/>
  <c r="M74" i="63736" s="1"/>
  <c r="G75" i="63736"/>
  <c r="F48" i="63736"/>
  <c r="F50" i="63736" s="1"/>
  <c r="F62" i="63736" s="1"/>
  <c r="M50" i="63736"/>
  <c r="BF196" i="4" l="1"/>
  <c r="AT89" i="63726"/>
  <c r="AT97" i="63726" s="1"/>
  <c r="AT98" i="63726" s="1"/>
  <c r="AE48" i="63726"/>
  <c r="A3" i="63726"/>
  <c r="AT93" i="63726" l="1"/>
  <c r="AT94" i="63726" s="1"/>
  <c r="AW89" i="63726"/>
  <c r="AW97" i="63726" s="1"/>
  <c r="AW98" i="63726" s="1"/>
  <c r="BF48" i="63726"/>
  <c r="AH63" i="63723"/>
  <c r="AW93" i="63726" l="1"/>
  <c r="AW94" i="63726" s="1"/>
  <c r="AZ89" i="63726"/>
  <c r="AZ97" i="63726" s="1"/>
  <c r="AZ98" i="63726" s="1"/>
  <c r="U22" i="63723"/>
  <c r="BF38" i="63726"/>
  <c r="AZ93" i="63726" l="1"/>
  <c r="AZ94" i="63726" s="1"/>
  <c r="BC89" i="63726"/>
  <c r="BC97" i="63726" s="1"/>
  <c r="BC98" i="63726" s="1"/>
  <c r="V228" i="4"/>
  <c r="V227" i="4"/>
  <c r="V223" i="4"/>
  <c r="V195" i="4"/>
  <c r="V194" i="4"/>
  <c r="V193" i="4"/>
  <c r="V189" i="4"/>
  <c r="Y190" i="4" s="1"/>
  <c r="V188" i="4"/>
  <c r="V187" i="4"/>
  <c r="V186" i="4"/>
  <c r="V161" i="4"/>
  <c r="V136" i="4"/>
  <c r="V103" i="4"/>
  <c r="S83" i="4"/>
  <c r="V83" i="4"/>
  <c r="V70" i="4"/>
  <c r="V71" i="4"/>
  <c r="V26" i="4"/>
  <c r="V23" i="4"/>
  <c r="V20" i="4"/>
  <c r="V17" i="4"/>
  <c r="V11" i="4"/>
  <c r="V67" i="63723"/>
  <c r="V66" i="63723"/>
  <c r="V65" i="63723"/>
  <c r="V62" i="63723"/>
  <c r="V61" i="63723"/>
  <c r="V50" i="63723"/>
  <c r="V38" i="63723"/>
  <c r="V89" i="4" s="1"/>
  <c r="V35" i="63723"/>
  <c r="V78" i="63726"/>
  <c r="V50" i="63726"/>
  <c r="I124" i="63736"/>
  <c r="I126" i="63736" s="1"/>
  <c r="I123" i="63736"/>
  <c r="I120" i="63736"/>
  <c r="I119" i="63736"/>
  <c r="I118" i="63736"/>
  <c r="I113" i="63736"/>
  <c r="I109" i="63736"/>
  <c r="I92" i="63736"/>
  <c r="I94" i="63736" s="1"/>
  <c r="I103" i="63736" s="1"/>
  <c r="N117" i="63736"/>
  <c r="N114" i="63736"/>
  <c r="N105" i="63736"/>
  <c r="N104" i="63736"/>
  <c r="N100" i="63736"/>
  <c r="N95" i="63736"/>
  <c r="J117" i="63736"/>
  <c r="J114" i="63736"/>
  <c r="J105" i="63736"/>
  <c r="J104" i="63736"/>
  <c r="J100" i="63736"/>
  <c r="J95" i="63736"/>
  <c r="U98" i="63736"/>
  <c r="L98" i="63736"/>
  <c r="G109" i="63736"/>
  <c r="G98" i="63736"/>
  <c r="H98" i="63736" s="1"/>
  <c r="G93" i="63736"/>
  <c r="H93" i="63736" s="1"/>
  <c r="G91" i="63736"/>
  <c r="H91" i="63736" s="1"/>
  <c r="G90" i="63736"/>
  <c r="H90" i="63736" s="1"/>
  <c r="G89" i="63736"/>
  <c r="H89" i="63736" s="1"/>
  <c r="V63" i="63723" l="1"/>
  <c r="Y12" i="4"/>
  <c r="N58" i="63743" s="1" a="1"/>
  <c r="N58" i="63743" s="1"/>
  <c r="BC93" i="63726"/>
  <c r="BC94" i="63726" s="1"/>
  <c r="BF89" i="63726"/>
  <c r="V213" i="4"/>
  <c r="H109" i="63736"/>
  <c r="X175" i="4"/>
  <c r="V191" i="4"/>
  <c r="W190" i="4"/>
  <c r="J98" i="63736"/>
  <c r="V196" i="4"/>
  <c r="P108" i="63736"/>
  <c r="P115" i="63736"/>
  <c r="P94" i="63736"/>
  <c r="P111" i="63736"/>
  <c r="P124" i="63736"/>
  <c r="P109" i="63736"/>
  <c r="P122" i="63736"/>
  <c r="N98" i="63736"/>
  <c r="G92" i="63736"/>
  <c r="H92" i="63736" s="1"/>
  <c r="AG175" i="4" l="1"/>
  <c r="BF97" i="63726"/>
  <c r="BF98" i="63726" s="1"/>
  <c r="BI89" i="63726"/>
  <c r="BI93" i="63726" s="1"/>
  <c r="BF93" i="63726"/>
  <c r="BF94" i="63726" s="1"/>
  <c r="AE175" i="4"/>
  <c r="P120" i="63736"/>
  <c r="P106" i="63736"/>
  <c r="P99" i="63736"/>
  <c r="P110" i="63736"/>
  <c r="G94" i="63736"/>
  <c r="M98" i="63736"/>
  <c r="O98" i="63736" s="1"/>
  <c r="F122" i="63736"/>
  <c r="F109" i="63736"/>
  <c r="F98" i="63736"/>
  <c r="K98" i="63736" s="1"/>
  <c r="F93" i="63736"/>
  <c r="K93" i="63736" s="1"/>
  <c r="F91" i="63736"/>
  <c r="K91" i="63736" s="1"/>
  <c r="F90" i="63736"/>
  <c r="K90" i="63736" s="1"/>
  <c r="F89" i="63736"/>
  <c r="K89" i="63736" s="1"/>
  <c r="K121" i="63736"/>
  <c r="O121" i="63736" s="1"/>
  <c r="O117" i="63736"/>
  <c r="K117" i="63736"/>
  <c r="Q116" i="63736"/>
  <c r="B116" i="63736"/>
  <c r="O114" i="63736"/>
  <c r="K114" i="63736"/>
  <c r="Q113" i="63736"/>
  <c r="Q112" i="63736"/>
  <c r="Q102" i="63736"/>
  <c r="Q101" i="63736"/>
  <c r="Q100" i="63736"/>
  <c r="O100" i="63736"/>
  <c r="K100" i="63736"/>
  <c r="Q98" i="63736"/>
  <c r="Q97" i="63736"/>
  <c r="Q96" i="63736"/>
  <c r="Q95" i="63736"/>
  <c r="O95" i="63736"/>
  <c r="K95" i="63736"/>
  <c r="Q93" i="63736"/>
  <c r="Q92" i="63736"/>
  <c r="Q91" i="63736"/>
  <c r="Q90" i="63736"/>
  <c r="Q89" i="63736"/>
  <c r="R7" i="63736"/>
  <c r="AJ175" i="4" l="1"/>
  <c r="AH175" i="4"/>
  <c r="AF175" i="4"/>
  <c r="BI97" i="63726"/>
  <c r="BI98" i="63726" s="1"/>
  <c r="BI94" i="63726"/>
  <c r="P119" i="63736"/>
  <c r="P103" i="63736"/>
  <c r="G106" i="63736"/>
  <c r="H106" i="63736" s="1"/>
  <c r="H94" i="63736"/>
  <c r="F92" i="63736"/>
  <c r="F94" i="63736" s="1"/>
  <c r="K94" i="63736" s="1"/>
  <c r="AK175" i="4" l="1"/>
  <c r="AN175" i="4" s="1"/>
  <c r="AQ175" i="4" s="1"/>
  <c r="AT175" i="4" s="1"/>
  <c r="AW175" i="4" s="1"/>
  <c r="AZ175" i="4" s="1"/>
  <c r="BC175" i="4" s="1"/>
  <c r="BF175" i="4" s="1"/>
  <c r="BI175" i="4" s="1"/>
  <c r="AI175" i="4"/>
  <c r="K92" i="63736"/>
  <c r="F106" i="63736"/>
  <c r="K106" i="63736" s="1"/>
  <c r="K109" i="63736"/>
  <c r="Y64" i="63731" l="1"/>
  <c r="AM103" i="63731" l="1"/>
  <c r="AN103" i="63731"/>
  <c r="AN85" i="63731"/>
  <c r="AN64" i="63731"/>
  <c r="AN73" i="63731"/>
  <c r="AN72" i="63731"/>
  <c r="AM85" i="63731"/>
  <c r="AM64" i="63731"/>
  <c r="AM73" i="63731"/>
  <c r="AM72" i="63731"/>
  <c r="AM52" i="63731"/>
  <c r="AN52" i="63731"/>
  <c r="AM57" i="63731"/>
  <c r="AN57" i="63731"/>
  <c r="Z100" i="4"/>
  <c r="AA100" i="4" s="1"/>
  <c r="Z98" i="4"/>
  <c r="BC228" i="4"/>
  <c r="BC156" i="4"/>
  <c r="BC103" i="4"/>
  <c r="BC100" i="4"/>
  <c r="AZ228" i="4"/>
  <c r="AZ196" i="4"/>
  <c r="AZ156" i="4"/>
  <c r="AZ103" i="4"/>
  <c r="AZ100" i="4"/>
  <c r="Z101" i="4" l="1"/>
  <c r="Z112" i="4" l="1"/>
  <c r="Q109" i="63736"/>
  <c r="Q108" i="63736"/>
  <c r="Q115" i="63736"/>
  <c r="Q110" i="63736"/>
  <c r="Q111" i="63736" l="1"/>
  <c r="Q120" i="63736"/>
  <c r="Q119" i="63736"/>
  <c r="Q103" i="63736"/>
  <c r="Q99" i="63736"/>
  <c r="Q106" i="63736"/>
  <c r="Q94" i="63736"/>
  <c r="T57" i="63726"/>
  <c r="N50" i="63726"/>
  <c r="M91" i="63736" l="1"/>
  <c r="O91" i="63736" s="1"/>
  <c r="Y103" i="4"/>
  <c r="F32" i="63743" s="1" a="1"/>
  <c r="F32" i="63743" s="1"/>
  <c r="T195" i="4"/>
  <c r="T194" i="4"/>
  <c r="U157" i="4" l="1"/>
  <c r="Y156" i="4"/>
  <c r="AB156" i="4"/>
  <c r="G55" i="63743" s="1" a="1"/>
  <c r="G55" i="63743" s="1"/>
  <c r="AE156" i="4"/>
  <c r="AH156" i="4"/>
  <c r="I55" i="63743" s="1" a="1"/>
  <c r="I55" i="63743" s="1"/>
  <c r="AK156" i="4"/>
  <c r="AN156" i="4"/>
  <c r="AQ156" i="4"/>
  <c r="AT156" i="4"/>
  <c r="AW156" i="4"/>
  <c r="T9" i="63724"/>
  <c r="V156" i="4" s="1"/>
  <c r="T5" i="63724"/>
  <c r="U5" i="63724" s="1"/>
  <c r="T54" i="63723"/>
  <c r="T51" i="63723"/>
  <c r="T45" i="63723"/>
  <c r="T13" i="63723"/>
  <c r="T149" i="4"/>
  <c r="T168" i="4"/>
  <c r="T161" i="4"/>
  <c r="T136" i="4"/>
  <c r="T118" i="4"/>
  <c r="T120" i="4" s="1"/>
  <c r="T103" i="4"/>
  <c r="T108" i="4" s="1"/>
  <c r="T88" i="4"/>
  <c r="T83" i="4"/>
  <c r="T72" i="4"/>
  <c r="T48" i="4"/>
  <c r="T44" i="4"/>
  <c r="T30" i="4"/>
  <c r="T25" i="4"/>
  <c r="T22" i="4"/>
  <c r="T19" i="4"/>
  <c r="T16" i="4"/>
  <c r="T78" i="63726"/>
  <c r="T50" i="63726"/>
  <c r="T45" i="63726" s="1"/>
  <c r="U74" i="63736"/>
  <c r="V70" i="63736" s="1"/>
  <c r="H55" i="63743" l="1" a="1"/>
  <c r="H55" i="63743" s="1"/>
  <c r="F55" i="63743" a="1"/>
  <c r="F55" i="63743" s="1"/>
  <c r="J55" i="63743" a="1"/>
  <c r="J55" i="63743" s="1"/>
  <c r="T40" i="4"/>
  <c r="G116" i="63736"/>
  <c r="H116" i="63736" s="1"/>
  <c r="F72" i="63736"/>
  <c r="G99" i="63736"/>
  <c r="G110" i="63736" s="1"/>
  <c r="H110" i="63736" s="1"/>
  <c r="F55" i="63736"/>
  <c r="V73" i="63736"/>
  <c r="V71" i="63736"/>
  <c r="T50" i="4"/>
  <c r="T87" i="4" s="1"/>
  <c r="V72" i="63736"/>
  <c r="U103" i="4"/>
  <c r="W41" i="4" l="1"/>
  <c r="H99" i="63736"/>
  <c r="H103" i="63736" s="1"/>
  <c r="G103" i="63736"/>
  <c r="F66" i="63736"/>
  <c r="F59" i="63736"/>
  <c r="H119" i="63736"/>
  <c r="T53" i="4"/>
  <c r="M65" i="63736"/>
  <c r="M45" i="63736"/>
  <c r="M46" i="63736"/>
  <c r="M47" i="63736"/>
  <c r="M48" i="63736"/>
  <c r="M49" i="63736"/>
  <c r="L59" i="63736"/>
  <c r="M72" i="63736"/>
  <c r="M71" i="63736"/>
  <c r="M69" i="63736"/>
  <c r="M68" i="63736"/>
  <c r="M67" i="63736"/>
  <c r="M56" i="63736"/>
  <c r="M54" i="63736"/>
  <c r="M64" i="63736"/>
  <c r="M51" i="63736"/>
  <c r="J70" i="63736"/>
  <c r="J73" i="63736"/>
  <c r="J56" i="63736"/>
  <c r="J51" i="63736"/>
  <c r="H70" i="63736"/>
  <c r="H73" i="63736"/>
  <c r="H56" i="63736"/>
  <c r="H51" i="63736"/>
  <c r="H77" i="63736"/>
  <c r="M66" i="63736" l="1"/>
  <c r="M62" i="63736"/>
  <c r="L76" i="63736"/>
  <c r="M76" i="63736" s="1"/>
  <c r="L75" i="63736"/>
  <c r="M75" i="63736" s="1"/>
  <c r="J72" i="63736"/>
  <c r="J54" i="63736"/>
  <c r="J65" i="63736"/>
  <c r="J49" i="63736"/>
  <c r="J47" i="63736"/>
  <c r="H54" i="63736"/>
  <c r="H65" i="63736"/>
  <c r="H49" i="63736"/>
  <c r="H47" i="63736"/>
  <c r="H46" i="63736"/>
  <c r="F7" i="63736"/>
  <c r="F34" i="63736"/>
  <c r="F33" i="63736"/>
  <c r="F19" i="63736"/>
  <c r="F18" i="63736"/>
  <c r="F17" i="63736"/>
  <c r="F15" i="63736"/>
  <c r="F11" i="63736"/>
  <c r="F9" i="63736"/>
  <c r="F8" i="63736"/>
  <c r="J77" i="63736"/>
  <c r="B72" i="63736"/>
  <c r="H48" i="63736" l="1"/>
  <c r="H50" i="63736" l="1"/>
  <c r="H62" i="63736"/>
  <c r="Z48" i="63726" l="1"/>
  <c r="AK63" i="63723" l="1"/>
  <c r="AN65" i="63723" l="1"/>
  <c r="AQ65" i="63723" s="1"/>
  <c r="AT65" i="63723" s="1"/>
  <c r="AW65" i="63723" s="1"/>
  <c r="AZ65" i="63723" s="1"/>
  <c r="BC65" i="63723" s="1"/>
  <c r="BF65" i="63723" s="1"/>
  <c r="BI65" i="63723" s="1"/>
  <c r="P189" i="4" l="1"/>
  <c r="S8" i="63723"/>
  <c r="S45" i="63723" l="1"/>
  <c r="S52" i="63723"/>
  <c r="S51" i="63723"/>
  <c r="S50" i="63723"/>
  <c r="S54" i="63723"/>
  <c r="S34" i="63723"/>
  <c r="S14" i="63724"/>
  <c r="S15" i="63724" s="1"/>
  <c r="S119" i="4"/>
  <c r="S118" i="4"/>
  <c r="S29" i="63723"/>
  <c r="S31" i="63723" s="1"/>
  <c r="P13" i="63723"/>
  <c r="S5" i="63723" l="1"/>
  <c r="Q228" i="4" l="1"/>
  <c r="Q227" i="4"/>
  <c r="S195" i="4"/>
  <c r="S194" i="4"/>
  <c r="S168" i="4"/>
  <c r="S161" i="4"/>
  <c r="S144" i="4"/>
  <c r="S103" i="4"/>
  <c r="S88" i="4"/>
  <c r="S71" i="4"/>
  <c r="S48" i="4"/>
  <c r="S44" i="4"/>
  <c r="S30" i="4"/>
  <c r="S40" i="4" s="1"/>
  <c r="S25" i="4"/>
  <c r="S16" i="4"/>
  <c r="S19" i="4"/>
  <c r="S78" i="63726"/>
  <c r="S58" i="63726"/>
  <c r="S57" i="63726"/>
  <c r="S50" i="63726"/>
  <c r="S45" i="63726" s="1"/>
  <c r="R194" i="4"/>
  <c r="R193" i="4"/>
  <c r="R195" i="4"/>
  <c r="S136" i="4"/>
  <c r="H35" i="63736"/>
  <c r="H36" i="63736" s="1"/>
  <c r="W32" i="63736"/>
  <c r="V32" i="63736"/>
  <c r="W29" i="63736"/>
  <c r="V29" i="63736"/>
  <c r="W26" i="63736"/>
  <c r="W25" i="63736"/>
  <c r="V25" i="63736"/>
  <c r="W23" i="63736"/>
  <c r="W21" i="63736"/>
  <c r="V21" i="63736"/>
  <c r="W19" i="63736"/>
  <c r="W16" i="63736"/>
  <c r="V16" i="63736"/>
  <c r="W13" i="63736"/>
  <c r="V13" i="63736"/>
  <c r="R32" i="63736"/>
  <c r="N1" i="63736"/>
  <c r="H18" i="63736"/>
  <c r="W18" i="63736" s="1"/>
  <c r="H17" i="63736"/>
  <c r="W17" i="63736" s="1"/>
  <c r="H34" i="63736"/>
  <c r="H15" i="63736"/>
  <c r="R15" i="63736" s="1"/>
  <c r="Q32" i="63736"/>
  <c r="Q31" i="63736"/>
  <c r="R30" i="63736"/>
  <c r="R29" i="63736"/>
  <c r="Q29" i="63736"/>
  <c r="R26" i="63736"/>
  <c r="R25" i="63736"/>
  <c r="Q25" i="63736"/>
  <c r="R24" i="63736"/>
  <c r="R23" i="63736"/>
  <c r="R22" i="63736"/>
  <c r="R21" i="63736"/>
  <c r="Q21" i="63736"/>
  <c r="R20" i="63736"/>
  <c r="R19" i="63736"/>
  <c r="R16" i="63736"/>
  <c r="Q16" i="63736"/>
  <c r="R14" i="63736"/>
  <c r="R13" i="63736"/>
  <c r="Q13" i="63736"/>
  <c r="R12" i="63736"/>
  <c r="R11" i="63736"/>
  <c r="R10" i="63736"/>
  <c r="R9" i="63736"/>
  <c r="R8" i="63736"/>
  <c r="S64" i="63726" l="1"/>
  <c r="F99" i="63736"/>
  <c r="F110" i="63736" s="1"/>
  <c r="K110" i="63736" s="1"/>
  <c r="R18" i="63736"/>
  <c r="R17" i="63736"/>
  <c r="G36" i="63736"/>
  <c r="G35" i="63736"/>
  <c r="H28" i="63736"/>
  <c r="H27" i="63736"/>
  <c r="K99" i="63736" l="1"/>
  <c r="F103" i="63736"/>
  <c r="K103" i="63736" s="1"/>
  <c r="R27" i="63736"/>
  <c r="R28" i="63736"/>
  <c r="AL103" i="63731" l="1"/>
  <c r="AL85" i="63731"/>
  <c r="AL64" i="63731"/>
  <c r="AL73" i="63731"/>
  <c r="AL72" i="63731"/>
  <c r="AL57" i="63731"/>
  <c r="AL52" i="63731"/>
  <c r="AW228" i="4"/>
  <c r="AW196" i="4"/>
  <c r="AW103" i="4"/>
  <c r="AW100" i="4"/>
  <c r="X196" i="4"/>
  <c r="W100" i="4"/>
  <c r="W98" i="4"/>
  <c r="X9" i="63724"/>
  <c r="X156" i="4" s="1"/>
  <c r="X4" i="63724"/>
  <c r="X3" i="63724"/>
  <c r="B31" i="63736" l="1"/>
  <c r="W11" i="63736" l="1"/>
  <c r="V11" i="63736"/>
  <c r="W10" i="63736"/>
  <c r="V10" i="63736"/>
  <c r="W9" i="63736"/>
  <c r="V9" i="63736"/>
  <c r="W8" i="63736"/>
  <c r="V8" i="63736"/>
  <c r="W7" i="63736"/>
  <c r="V7" i="63736"/>
  <c r="U33" i="63736"/>
  <c r="U15" i="63736"/>
  <c r="U34" i="63736"/>
  <c r="U24" i="63736"/>
  <c r="U20" i="63736"/>
  <c r="U31" i="63736"/>
  <c r="U36" i="63736"/>
  <c r="U30" i="63736"/>
  <c r="U14" i="63736"/>
  <c r="U22" i="63736"/>
  <c r="U12" i="63736"/>
  <c r="W14" i="63736" l="1"/>
  <c r="W20" i="63736"/>
  <c r="W22" i="63736"/>
  <c r="W12" i="63736"/>
  <c r="W24" i="63736"/>
  <c r="W30" i="63736"/>
  <c r="W15" i="63736"/>
  <c r="T36" i="63736"/>
  <c r="U28" i="63736"/>
  <c r="W28" i="63736" s="1"/>
  <c r="U27" i="63736"/>
  <c r="W27" i="63736" s="1"/>
  <c r="G19" i="63736"/>
  <c r="E19" i="63736"/>
  <c r="P19" i="63736" s="1"/>
  <c r="D19" i="63736"/>
  <c r="N19" i="63736" s="1"/>
  <c r="C19" i="63736"/>
  <c r="P32" i="63736"/>
  <c r="N32" i="63736"/>
  <c r="P29" i="63736"/>
  <c r="N29" i="63736"/>
  <c r="P21" i="63736"/>
  <c r="N21" i="63736"/>
  <c r="P16" i="63736"/>
  <c r="N16" i="63736"/>
  <c r="P13" i="63736"/>
  <c r="N13" i="63736"/>
  <c r="N114" i="4"/>
  <c r="C35" i="63736" s="1"/>
  <c r="J32" i="63736"/>
  <c r="I32" i="63736"/>
  <c r="J29" i="63736"/>
  <c r="I29" i="63736"/>
  <c r="J21" i="63736"/>
  <c r="I21" i="63736"/>
  <c r="J16" i="63736"/>
  <c r="I16" i="63736"/>
  <c r="J13" i="63736"/>
  <c r="I13" i="63736"/>
  <c r="C33" i="63736"/>
  <c r="C34" i="63736"/>
  <c r="E34" i="63736"/>
  <c r="P34" i="63736" s="1"/>
  <c r="G18" i="63736"/>
  <c r="G17" i="63736"/>
  <c r="G11" i="63736"/>
  <c r="Q11" i="63736" s="1"/>
  <c r="G9" i="63736"/>
  <c r="Q9" i="63736" s="1"/>
  <c r="G8" i="63736"/>
  <c r="G7" i="63736"/>
  <c r="Q7" i="63736" s="1"/>
  <c r="C18" i="63736"/>
  <c r="C17" i="63736"/>
  <c r="C15" i="63736"/>
  <c r="C11" i="63736"/>
  <c r="C9" i="63736"/>
  <c r="C8" i="63736"/>
  <c r="C7" i="63736"/>
  <c r="E18" i="63736"/>
  <c r="P18" i="63736" s="1"/>
  <c r="E17" i="63736"/>
  <c r="P17" i="63736" s="1"/>
  <c r="E15" i="63736"/>
  <c r="P15" i="63736" s="1"/>
  <c r="E11" i="63736"/>
  <c r="P11" i="63736" s="1"/>
  <c r="E9" i="63736"/>
  <c r="P9" i="63736" s="1"/>
  <c r="E8" i="63736"/>
  <c r="P8" i="63736" s="1"/>
  <c r="E7" i="63736"/>
  <c r="P7" i="63736" s="1"/>
  <c r="Q18" i="63736" l="1"/>
  <c r="V18" i="63736"/>
  <c r="Q8" i="63736"/>
  <c r="Q19" i="63736"/>
  <c r="V19" i="63736"/>
  <c r="Q17" i="63736"/>
  <c r="V17" i="63736"/>
  <c r="T33" i="63736"/>
  <c r="G33" i="63736"/>
  <c r="T15" i="63736"/>
  <c r="G15" i="63736"/>
  <c r="T34" i="63736"/>
  <c r="G34" i="63736"/>
  <c r="F10" i="63736"/>
  <c r="G10" i="63736" s="1"/>
  <c r="Q10" i="63736" s="1"/>
  <c r="J19" i="63736"/>
  <c r="I19" i="63736"/>
  <c r="C10" i="63736"/>
  <c r="C12" i="63736" s="1"/>
  <c r="N229" i="4"/>
  <c r="E10" i="63736"/>
  <c r="C36" i="63736"/>
  <c r="F12" i="63736" l="1"/>
  <c r="T12" i="63736" s="1"/>
  <c r="Q15" i="63736"/>
  <c r="V15" i="63736"/>
  <c r="P10" i="63736"/>
  <c r="E12" i="63736"/>
  <c r="P12" i="63736" s="1"/>
  <c r="F196" i="4"/>
  <c r="I196" i="4"/>
  <c r="L196" i="4"/>
  <c r="O196" i="4"/>
  <c r="R196" i="4"/>
  <c r="U196" i="4"/>
  <c r="AE196" i="4"/>
  <c r="AH196" i="4"/>
  <c r="AK196" i="4"/>
  <c r="AN196" i="4"/>
  <c r="AQ196" i="4"/>
  <c r="AT196" i="4"/>
  <c r="Q189" i="4"/>
  <c r="T220" i="4"/>
  <c r="Q218" i="4"/>
  <c r="Q219" i="4" s="1"/>
  <c r="Q195" i="4"/>
  <c r="Q114" i="4"/>
  <c r="P114" i="4"/>
  <c r="E35" i="63736" s="1"/>
  <c r="M114" i="4"/>
  <c r="N113" i="4" s="1"/>
  <c r="P113" i="4" s="1"/>
  <c r="K114" i="4"/>
  <c r="J114" i="4"/>
  <c r="H114" i="4"/>
  <c r="G114" i="4"/>
  <c r="E114" i="4"/>
  <c r="D114" i="4"/>
  <c r="B114" i="4"/>
  <c r="G12" i="63736" l="1"/>
  <c r="G26" i="63736" s="1"/>
  <c r="F36" i="63736"/>
  <c r="F35" i="63736"/>
  <c r="Q229" i="4"/>
  <c r="E36" i="63736"/>
  <c r="P36" i="63736" s="1"/>
  <c r="T218" i="4"/>
  <c r="T74" i="4" s="1"/>
  <c r="Q12" i="63736" l="1"/>
  <c r="V12" i="63736"/>
  <c r="V26" i="63736"/>
  <c r="Q26" i="63736"/>
  <c r="P35" i="63736"/>
  <c r="N87" i="63726" l="1"/>
  <c r="G56" i="63726" l="1"/>
  <c r="G49" i="63726"/>
  <c r="D49" i="63726" s="1"/>
  <c r="J56" i="63726"/>
  <c r="J49" i="63726"/>
  <c r="A69" i="63731"/>
  <c r="AW48" i="63726" l="1"/>
  <c r="AZ48" i="63726"/>
  <c r="BC48" i="63726"/>
  <c r="AN63" i="63723" l="1"/>
  <c r="AQ63" i="63723" l="1"/>
  <c r="D9" i="63731"/>
  <c r="E24" i="63727"/>
  <c r="N15" i="63743" s="1"/>
  <c r="D24" i="63727"/>
  <c r="C24" i="63727"/>
  <c r="Z108" i="63731"/>
  <c r="AA108" i="63731" s="1"/>
  <c r="AB108" i="63731" s="1"/>
  <c r="AC108" i="63731" s="1"/>
  <c r="AD108" i="63731" s="1"/>
  <c r="AE108" i="63731" s="1"/>
  <c r="AF108" i="63731" s="1"/>
  <c r="AG108" i="63731" s="1"/>
  <c r="AH108" i="63731" s="1"/>
  <c r="AI108" i="63731" s="1"/>
  <c r="AJ108" i="63731" s="1"/>
  <c r="AK108" i="63731" s="1"/>
  <c r="A106" i="63731"/>
  <c r="A105" i="63731"/>
  <c r="A83" i="63731"/>
  <c r="A80" i="63731"/>
  <c r="A65" i="63731"/>
  <c r="A84" i="63731"/>
  <c r="A82" i="63731"/>
  <c r="A62" i="63731"/>
  <c r="A61" i="63731"/>
  <c r="A60" i="63731"/>
  <c r="A59" i="63731"/>
  <c r="AK52" i="63731"/>
  <c r="AJ52" i="63731"/>
  <c r="AI52" i="63731"/>
  <c r="AH52" i="63731"/>
  <c r="AG52" i="63731"/>
  <c r="AF52" i="63731"/>
  <c r="AE52" i="63731"/>
  <c r="AD52" i="63731"/>
  <c r="AC52" i="63731"/>
  <c r="AB52" i="63731"/>
  <c r="AB63" i="63731" s="1" a="1"/>
  <c r="AB63" i="63731" s="1"/>
  <c r="AA52" i="63731"/>
  <c r="Z52" i="63731"/>
  <c r="Y52" i="63731"/>
  <c r="Y63" i="63731" s="1" a="1"/>
  <c r="Y63" i="63731" s="1"/>
  <c r="X108" i="63731"/>
  <c r="W108" i="63731"/>
  <c r="V108" i="63731"/>
  <c r="U108" i="63731"/>
  <c r="T108" i="63731"/>
  <c r="S108" i="63731"/>
  <c r="R108" i="63731"/>
  <c r="Q108" i="63731"/>
  <c r="P108" i="63731"/>
  <c r="O108" i="63731"/>
  <c r="N108" i="63731"/>
  <c r="M108" i="63731"/>
  <c r="L108" i="63731"/>
  <c r="K108" i="63731"/>
  <c r="AK103" i="63731"/>
  <c r="AJ103" i="63731"/>
  <c r="AI103" i="63731"/>
  <c r="AH103" i="63731"/>
  <c r="AG103" i="63731"/>
  <c r="AF103" i="63731"/>
  <c r="AE103" i="63731"/>
  <c r="AD103" i="63731"/>
  <c r="AC103" i="63731"/>
  <c r="AB103" i="63731"/>
  <c r="AA103" i="63731"/>
  <c r="Z103" i="63731"/>
  <c r="Y103" i="63731"/>
  <c r="X103" i="63731"/>
  <c r="W103" i="63731"/>
  <c r="AF97" i="63731"/>
  <c r="C96" i="63731"/>
  <c r="Y90" i="63731"/>
  <c r="AK85" i="63731"/>
  <c r="AJ85" i="63731"/>
  <c r="AI85" i="63731"/>
  <c r="AH85" i="63731"/>
  <c r="AG85" i="63731"/>
  <c r="AF85" i="63731"/>
  <c r="AE85" i="63731"/>
  <c r="AD85" i="63731"/>
  <c r="AC85" i="63731"/>
  <c r="AB85" i="63731"/>
  <c r="AA85" i="63731"/>
  <c r="Z85" i="63731"/>
  <c r="Y85" i="63731"/>
  <c r="V85" i="63731"/>
  <c r="U85" i="63731"/>
  <c r="T85" i="63731"/>
  <c r="S85" i="63731"/>
  <c r="R85" i="63731"/>
  <c r="Q85" i="63731"/>
  <c r="V86" i="63731"/>
  <c r="U86" i="63731"/>
  <c r="T86" i="63731"/>
  <c r="S86" i="63731"/>
  <c r="R86" i="63731"/>
  <c r="Q86" i="63731"/>
  <c r="P86" i="63731"/>
  <c r="O86" i="63731"/>
  <c r="N86" i="63731"/>
  <c r="M86" i="63731"/>
  <c r="L86" i="63731"/>
  <c r="K86" i="63731"/>
  <c r="J86" i="63731"/>
  <c r="I86" i="63731"/>
  <c r="H86" i="63731"/>
  <c r="G86" i="63731"/>
  <c r="Y77" i="63731"/>
  <c r="AK64" i="63731"/>
  <c r="AJ64" i="63731"/>
  <c r="AI64" i="63731"/>
  <c r="AH64" i="63731"/>
  <c r="AG64" i="63731"/>
  <c r="AF64" i="63731"/>
  <c r="AE64" i="63731"/>
  <c r="AD64" i="63731"/>
  <c r="AC64" i="63731"/>
  <c r="AB64" i="63731"/>
  <c r="AA64" i="63731"/>
  <c r="Z64" i="63731"/>
  <c r="V64" i="63731"/>
  <c r="U64" i="63731"/>
  <c r="T64" i="63731"/>
  <c r="S64" i="63731"/>
  <c r="R64" i="63731"/>
  <c r="Q64" i="63731"/>
  <c r="P64" i="63731"/>
  <c r="O64" i="63731"/>
  <c r="N64" i="63731"/>
  <c r="M64" i="63731"/>
  <c r="L64" i="63731"/>
  <c r="K64" i="63731"/>
  <c r="J64" i="63731"/>
  <c r="I64" i="63731"/>
  <c r="H64" i="63731"/>
  <c r="G64" i="63731"/>
  <c r="AK73" i="63731"/>
  <c r="AJ73" i="63731"/>
  <c r="AI73" i="63731"/>
  <c r="AH73" i="63731"/>
  <c r="AG73" i="63731"/>
  <c r="AF73" i="63731"/>
  <c r="AE73" i="63731"/>
  <c r="AD73" i="63731"/>
  <c r="AC73" i="63731"/>
  <c r="AB73" i="63731"/>
  <c r="AA73" i="63731"/>
  <c r="Z73" i="63731"/>
  <c r="Y73" i="63731"/>
  <c r="V73" i="63731"/>
  <c r="U73" i="63731"/>
  <c r="T73" i="63731"/>
  <c r="S73" i="63731"/>
  <c r="R73" i="63731"/>
  <c r="Q73" i="63731"/>
  <c r="AK72" i="63731"/>
  <c r="AJ72" i="63731"/>
  <c r="AI72" i="63731"/>
  <c r="AH72" i="63731"/>
  <c r="AG72" i="63731"/>
  <c r="AF72" i="63731"/>
  <c r="AE72" i="63731"/>
  <c r="AD72" i="63731"/>
  <c r="AC72" i="63731"/>
  <c r="AB72" i="63731"/>
  <c r="AA72" i="63731"/>
  <c r="Z72" i="63731"/>
  <c r="Y72" i="63731"/>
  <c r="V72" i="63731"/>
  <c r="U72" i="63731"/>
  <c r="T72" i="63731"/>
  <c r="S72" i="63731"/>
  <c r="R72" i="63731"/>
  <c r="Q72" i="63731"/>
  <c r="V71" i="63731"/>
  <c r="U71" i="63731"/>
  <c r="T71" i="63731"/>
  <c r="S71" i="63731"/>
  <c r="R71" i="63731"/>
  <c r="Q71" i="63731"/>
  <c r="P71" i="63731"/>
  <c r="O71" i="63731"/>
  <c r="N71" i="63731"/>
  <c r="M71" i="63731"/>
  <c r="L71" i="63731"/>
  <c r="K71" i="63731"/>
  <c r="J71" i="63731"/>
  <c r="I71" i="63731"/>
  <c r="H71" i="63731"/>
  <c r="G71" i="63731"/>
  <c r="AK57" i="63731"/>
  <c r="AJ57" i="63731"/>
  <c r="AI57" i="63731"/>
  <c r="AH57" i="63731"/>
  <c r="AG57" i="63731"/>
  <c r="AF57" i="63731"/>
  <c r="AE57" i="63731"/>
  <c r="AD57" i="63731"/>
  <c r="AC57" i="63731"/>
  <c r="AB57" i="63731"/>
  <c r="AA57" i="63731"/>
  <c r="Z57" i="63731"/>
  <c r="Y57" i="63731"/>
  <c r="X57" i="63731"/>
  <c r="W57" i="63731"/>
  <c r="U57" i="63731"/>
  <c r="V57" i="63731" s="1"/>
  <c r="C53" i="63731"/>
  <c r="H52" i="63731"/>
  <c r="I52" i="63731" s="1"/>
  <c r="J52" i="63731" s="1"/>
  <c r="K52" i="63731" s="1"/>
  <c r="L52" i="63731" s="1"/>
  <c r="M52" i="63731" s="1"/>
  <c r="N52" i="63731" s="1"/>
  <c r="O52" i="63731" s="1"/>
  <c r="P52" i="63731" s="1"/>
  <c r="Q52" i="63731" s="1"/>
  <c r="R52" i="63731" s="1"/>
  <c r="S52" i="63731" s="1"/>
  <c r="T52" i="63731" s="1"/>
  <c r="U52" i="63731" s="1"/>
  <c r="V52" i="63731" s="1"/>
  <c r="W52" i="63731" s="1"/>
  <c r="X52" i="63731" s="1"/>
  <c r="D23" i="63731"/>
  <c r="D22" i="63731"/>
  <c r="AP109" i="63731" s="1"/>
  <c r="AQ109" i="63731" s="1"/>
  <c r="AT63" i="63723" l="1"/>
  <c r="AO80" i="63731"/>
  <c r="AP80" i="63731"/>
  <c r="AO61" i="63731"/>
  <c r="AO71" i="63731" s="1"/>
  <c r="AP61" i="63731"/>
  <c r="AP71" i="63731" s="1"/>
  <c r="AO83" i="63731"/>
  <c r="AP83" i="63731"/>
  <c r="D12" i="63731"/>
  <c r="F24" i="63727"/>
  <c r="AO109" i="63731"/>
  <c r="Y80" i="63731"/>
  <c r="AB60" i="63731"/>
  <c r="AG83" i="63731"/>
  <c r="Y62" i="63731"/>
  <c r="AL80" i="63731"/>
  <c r="AN80" i="63731"/>
  <c r="AM80" i="63731"/>
  <c r="AL61" i="63731"/>
  <c r="AL71" i="63731" s="1"/>
  <c r="AN61" i="63731"/>
  <c r="AN71" i="63731" s="1"/>
  <c r="AM61" i="63731"/>
  <c r="AM71" i="63731" s="1"/>
  <c r="AL83" i="63731"/>
  <c r="AM83" i="63731"/>
  <c r="AN83" i="63731"/>
  <c r="AM109" i="63731"/>
  <c r="AN109" i="63731"/>
  <c r="AQ108" i="63731"/>
  <c r="AL108" i="63731"/>
  <c r="AM108" i="63731" s="1"/>
  <c r="AN108" i="63731" s="1"/>
  <c r="AO108" i="63731" s="1"/>
  <c r="AP108" i="63731" s="1"/>
  <c r="AL109" i="63731"/>
  <c r="AK109" i="63731"/>
  <c r="AG109" i="63731"/>
  <c r="AJ109" i="63731"/>
  <c r="AI109" i="63731"/>
  <c r="AH109" i="63731"/>
  <c r="AC80" i="63731"/>
  <c r="Y83" i="63731"/>
  <c r="AA62" i="63731"/>
  <c r="AK80" i="63731"/>
  <c r="AA84" i="63731"/>
  <c r="Z84" i="63731"/>
  <c r="AH83" i="63731"/>
  <c r="AF83" i="63731"/>
  <c r="AB83" i="63731"/>
  <c r="AJ83" i="63731"/>
  <c r="AJ80" i="63731"/>
  <c r="AG80" i="63731"/>
  <c r="AC83" i="63731"/>
  <c r="AK83" i="63731"/>
  <c r="K107" i="63731"/>
  <c r="AH61" i="63731"/>
  <c r="AH71" i="63731" s="1"/>
  <c r="AA65" i="63731"/>
  <c r="AA82" i="63731"/>
  <c r="Z80" i="63731"/>
  <c r="AD80" i="63731"/>
  <c r="AH80" i="63731"/>
  <c r="Z82" i="63731"/>
  <c r="M107" i="63731"/>
  <c r="Q107" i="63731"/>
  <c r="U107" i="63731"/>
  <c r="P107" i="63731"/>
  <c r="AK61" i="63731"/>
  <c r="AK71" i="63731" s="1"/>
  <c r="AA80" i="63731"/>
  <c r="AE80" i="63731"/>
  <c r="AI80" i="63731"/>
  <c r="Z83" i="63731"/>
  <c r="AD83" i="63731"/>
  <c r="Y84" i="63731"/>
  <c r="Z61" i="63731"/>
  <c r="Z71" i="63731" s="1"/>
  <c r="Y65" i="63731"/>
  <c r="Y82" i="63731"/>
  <c r="AB80" i="63731"/>
  <c r="AF80" i="63731"/>
  <c r="AA83" i="63731"/>
  <c r="AE83" i="63731"/>
  <c r="AI83" i="63731"/>
  <c r="AA106" i="63731"/>
  <c r="N107" i="63731"/>
  <c r="R107" i="63731"/>
  <c r="V107" i="63731"/>
  <c r="S107" i="63731"/>
  <c r="AA61" i="63731"/>
  <c r="AA71" i="63731" s="1"/>
  <c r="AE61" i="63731"/>
  <c r="AE71" i="63731" s="1"/>
  <c r="AI61" i="63731"/>
  <c r="AI71" i="63731" s="1"/>
  <c r="AB61" i="63731"/>
  <c r="AB71" i="63731" s="1"/>
  <c r="AF61" i="63731"/>
  <c r="AF71" i="63731" s="1"/>
  <c r="AJ61" i="63731"/>
  <c r="AJ71" i="63731" s="1"/>
  <c r="Y61" i="63731"/>
  <c r="Y71" i="63731" s="1"/>
  <c r="AC61" i="63731"/>
  <c r="AC71" i="63731" s="1"/>
  <c r="AG61" i="63731"/>
  <c r="AG71" i="63731" s="1"/>
  <c r="Z62" i="63731"/>
  <c r="O107" i="63731"/>
  <c r="L107" i="63731"/>
  <c r="T107" i="63731"/>
  <c r="AW63" i="63723" l="1"/>
  <c r="AI32" i="63731"/>
  <c r="AI33" i="63731" s="1"/>
  <c r="AP32" i="63731"/>
  <c r="AP33" i="63731" s="1"/>
  <c r="AQ33" i="63731" s="1"/>
  <c r="AH32" i="63731"/>
  <c r="AH33" i="63731" s="1"/>
  <c r="AO32" i="63731"/>
  <c r="AO33" i="63731" s="1"/>
  <c r="AC32" i="63731"/>
  <c r="AJ32" i="63731"/>
  <c r="AJ33" i="63731" s="1"/>
  <c r="AF32" i="63731"/>
  <c r="AE32" i="63731"/>
  <c r="AK32" i="63731"/>
  <c r="AK33" i="63731" s="1"/>
  <c r="AB32" i="63731"/>
  <c r="AD32" i="63731"/>
  <c r="AG32" i="63731"/>
  <c r="AG33" i="63731" s="1"/>
  <c r="Y86" i="63731"/>
  <c r="AM32" i="63731"/>
  <c r="AM33" i="63731" s="1"/>
  <c r="AN32" i="63731"/>
  <c r="AN33" i="63731" s="1"/>
  <c r="H24" i="63727"/>
  <c r="N16" i="63743" s="1"/>
  <c r="AL32" i="63731"/>
  <c r="AL33" i="63731" s="1"/>
  <c r="AA86" i="63731"/>
  <c r="Z86" i="63731"/>
  <c r="U110" i="63731"/>
  <c r="V110" i="63731"/>
  <c r="AZ63" i="63723" l="1"/>
  <c r="I8" i="63727"/>
  <c r="D8" i="63744" s="1"/>
  <c r="I107" i="4"/>
  <c r="BC63" i="63723" l="1"/>
  <c r="BI63" i="63723" l="1"/>
  <c r="BF63" i="63723"/>
  <c r="AB48" i="63726" l="1"/>
  <c r="AH48" i="63726"/>
  <c r="AK48" i="63726"/>
  <c r="AN48" i="63726"/>
  <c r="AQ48" i="63726"/>
  <c r="AT48" i="63726"/>
  <c r="Y48" i="63726"/>
  <c r="AW38" i="63726" l="1"/>
  <c r="J9" i="63736"/>
  <c r="AZ38" i="63726" l="1"/>
  <c r="BC38" i="63726"/>
  <c r="X49" i="63726"/>
  <c r="AA50" i="63726" l="1"/>
  <c r="AA48" i="63726" s="1"/>
  <c r="O34" i="63743" a="1"/>
  <c r="O34" i="63743" s="1"/>
  <c r="AE49" i="63726"/>
  <c r="Q194" i="4"/>
  <c r="AF49" i="63726" l="1"/>
  <c r="AI49" i="63726" s="1"/>
  <c r="P34" i="63743" a="1"/>
  <c r="P34" i="63743" s="1"/>
  <c r="AD49" i="63726"/>
  <c r="AH49" i="63726"/>
  <c r="R89" i="4"/>
  <c r="Q190" i="4"/>
  <c r="N189" i="4"/>
  <c r="M189" i="4"/>
  <c r="K189" i="4"/>
  <c r="J189" i="4"/>
  <c r="H189" i="4"/>
  <c r="G189" i="4"/>
  <c r="E189" i="4"/>
  <c r="D189" i="4"/>
  <c r="B189" i="4"/>
  <c r="M62" i="4"/>
  <c r="M24" i="4"/>
  <c r="M18" i="4"/>
  <c r="M85" i="63726"/>
  <c r="P239" i="4"/>
  <c r="M239" i="4"/>
  <c r="K239" i="4"/>
  <c r="J239" i="4"/>
  <c r="G239" i="4"/>
  <c r="E239" i="4"/>
  <c r="D239" i="4"/>
  <c r="B239" i="4"/>
  <c r="M245" i="4"/>
  <c r="Q245" i="4"/>
  <c r="N245" i="4"/>
  <c r="K245" i="4"/>
  <c r="P195" i="4"/>
  <c r="N195" i="4"/>
  <c r="K195" i="4"/>
  <c r="P194" i="4"/>
  <c r="N194" i="4"/>
  <c r="K194" i="4"/>
  <c r="J194" i="4"/>
  <c r="Q34" i="63743" l="1" a="1"/>
  <c r="Q34" i="63743" s="1"/>
  <c r="AG49" i="63726"/>
  <c r="AG50" i="63726" s="1"/>
  <c r="AD50" i="63726"/>
  <c r="AK49" i="63726"/>
  <c r="C239" i="4"/>
  <c r="AJ49" i="63726" l="1"/>
  <c r="AJ50" i="63726" s="1"/>
  <c r="AN49" i="63726"/>
  <c r="Q110" i="63726"/>
  <c r="Q44" i="4" s="1"/>
  <c r="P110" i="63726"/>
  <c r="P44" i="4" s="1"/>
  <c r="N110" i="63726"/>
  <c r="N44" i="4" s="1"/>
  <c r="K110" i="63726"/>
  <c r="K44" i="4" s="1"/>
  <c r="J110" i="63726"/>
  <c r="J44" i="4" s="1"/>
  <c r="H110" i="63726"/>
  <c r="H44" i="4" s="1"/>
  <c r="G110" i="63726"/>
  <c r="G44" i="4" s="1"/>
  <c r="E110" i="63726"/>
  <c r="E44" i="4" s="1"/>
  <c r="D110" i="63726"/>
  <c r="D44" i="4" s="1"/>
  <c r="B110" i="63726"/>
  <c r="Q86" i="63726"/>
  <c r="T86" i="63726" s="1"/>
  <c r="W86" i="63726" s="1"/>
  <c r="P86" i="63726"/>
  <c r="N86" i="63726"/>
  <c r="K86" i="63726"/>
  <c r="J86" i="63726"/>
  <c r="H86" i="63726"/>
  <c r="G86" i="63726"/>
  <c r="E86" i="63726"/>
  <c r="D86" i="63726"/>
  <c r="B86" i="63726"/>
  <c r="Q85" i="63726"/>
  <c r="N85" i="63726"/>
  <c r="K85" i="63726"/>
  <c r="J85" i="63726"/>
  <c r="H85" i="63726"/>
  <c r="G85" i="63726"/>
  <c r="E85" i="63726"/>
  <c r="D85" i="63726"/>
  <c r="B85" i="63726"/>
  <c r="O84" i="63726"/>
  <c r="I84" i="63726"/>
  <c r="F84" i="63726"/>
  <c r="C84" i="63726"/>
  <c r="N74" i="63726"/>
  <c r="H74" i="63726"/>
  <c r="E74" i="63726"/>
  <c r="B74" i="63726"/>
  <c r="Q72" i="63726"/>
  <c r="P72" i="63726"/>
  <c r="N72" i="63726"/>
  <c r="K72" i="63726"/>
  <c r="J72" i="63726"/>
  <c r="H72" i="63726"/>
  <c r="G72" i="63726"/>
  <c r="E72" i="63726"/>
  <c r="D72" i="63726"/>
  <c r="B72" i="63726"/>
  <c r="O71" i="63726"/>
  <c r="K74" i="63726"/>
  <c r="I71" i="63726"/>
  <c r="I74" i="63726" s="1"/>
  <c r="F71" i="63726"/>
  <c r="C71" i="63726"/>
  <c r="B79" i="63726"/>
  <c r="Q78" i="63726"/>
  <c r="P78" i="63726"/>
  <c r="N78" i="63726"/>
  <c r="M78" i="63726"/>
  <c r="K78" i="63726"/>
  <c r="J78" i="63726"/>
  <c r="H78" i="63726"/>
  <c r="G78" i="63726"/>
  <c r="E78" i="63726"/>
  <c r="D78" i="63726"/>
  <c r="B78" i="63726"/>
  <c r="O77" i="63726"/>
  <c r="D11" i="63736" s="1"/>
  <c r="N11" i="63736" s="1"/>
  <c r="L77" i="63726"/>
  <c r="I77" i="63726"/>
  <c r="F77" i="63726"/>
  <c r="C77" i="63726"/>
  <c r="C78" i="63726" s="1"/>
  <c r="Q58" i="63726"/>
  <c r="P58" i="63726"/>
  <c r="N58" i="63726"/>
  <c r="Q57" i="63726"/>
  <c r="P57" i="63726"/>
  <c r="N57" i="63726"/>
  <c r="O56" i="63726"/>
  <c r="L56" i="63726"/>
  <c r="M54" i="63726"/>
  <c r="P54" i="63726" s="1"/>
  <c r="S54" i="63726" s="1"/>
  <c r="K54" i="63726"/>
  <c r="N54" i="63726" s="1"/>
  <c r="Q54" i="63726" s="1"/>
  <c r="T54" i="63726" s="1"/>
  <c r="L52" i="63726"/>
  <c r="Q50" i="63726"/>
  <c r="Q45" i="63726" s="1"/>
  <c r="P50" i="63726"/>
  <c r="O49" i="63726"/>
  <c r="L49" i="63726"/>
  <c r="Q43" i="63726"/>
  <c r="P43" i="63726"/>
  <c r="N43" i="63726"/>
  <c r="M43" i="63726"/>
  <c r="K43" i="63726"/>
  <c r="J43" i="63726"/>
  <c r="H43" i="63726"/>
  <c r="G43" i="63726"/>
  <c r="E43" i="63726"/>
  <c r="O42" i="63726"/>
  <c r="I42" i="63726"/>
  <c r="F42" i="63726"/>
  <c r="C42" i="63726"/>
  <c r="M39" i="63726"/>
  <c r="P39" i="63726" s="1"/>
  <c r="J39" i="63726"/>
  <c r="D39" i="63726"/>
  <c r="B39" i="63726"/>
  <c r="M38" i="63726"/>
  <c r="E32" i="63726"/>
  <c r="E102" i="63726" s="1"/>
  <c r="D32" i="63726"/>
  <c r="D102" i="63726" s="1"/>
  <c r="B32" i="63726"/>
  <c r="B33" i="63726" s="1"/>
  <c r="B59" i="63726" s="1"/>
  <c r="E31" i="63726"/>
  <c r="D31" i="63726"/>
  <c r="B31" i="63726"/>
  <c r="M30" i="63726"/>
  <c r="K30" i="63726"/>
  <c r="J30" i="63726"/>
  <c r="H30" i="63726"/>
  <c r="H32" i="63726" s="1"/>
  <c r="G30" i="63726"/>
  <c r="G31" i="63726" s="1"/>
  <c r="C30" i="63726"/>
  <c r="C31" i="63726" s="1"/>
  <c r="M29" i="63726"/>
  <c r="K29" i="63726"/>
  <c r="J29" i="63726"/>
  <c r="H29" i="63726"/>
  <c r="I28" i="63726"/>
  <c r="F28" i="63726"/>
  <c r="M26" i="63726"/>
  <c r="P26" i="63726" s="1"/>
  <c r="J26" i="63726"/>
  <c r="N25" i="63726"/>
  <c r="M25" i="63726"/>
  <c r="K25" i="63726"/>
  <c r="J25" i="63726"/>
  <c r="H25" i="63726"/>
  <c r="L24" i="63726"/>
  <c r="I24" i="63726"/>
  <c r="F24" i="63726"/>
  <c r="P19" i="63726"/>
  <c r="M19" i="63726"/>
  <c r="M20" i="63726" s="1"/>
  <c r="M22" i="63726" s="1"/>
  <c r="K19" i="63726"/>
  <c r="K20" i="63726" s="1"/>
  <c r="J19" i="63726"/>
  <c r="H19" i="63726"/>
  <c r="G19" i="63726"/>
  <c r="G20" i="63726" s="1"/>
  <c r="G22" i="63726" s="1"/>
  <c r="D19" i="63726"/>
  <c r="D20" i="63726" s="1"/>
  <c r="D22" i="63726" s="1"/>
  <c r="B19" i="63726"/>
  <c r="B20" i="63726" s="1"/>
  <c r="B22" i="63726" s="1"/>
  <c r="N18" i="63726"/>
  <c r="N19" i="63726" s="1"/>
  <c r="E18" i="63726"/>
  <c r="L17" i="63726"/>
  <c r="H17" i="63726"/>
  <c r="L16" i="63726"/>
  <c r="N14" i="63726"/>
  <c r="M14" i="63726"/>
  <c r="K14" i="63726"/>
  <c r="H14" i="63726"/>
  <c r="E14" i="63726"/>
  <c r="D14" i="63726"/>
  <c r="B14" i="63726"/>
  <c r="I13" i="63726"/>
  <c r="G13" i="63726"/>
  <c r="F13" i="63726" s="1"/>
  <c r="C13" i="63726"/>
  <c r="C14" i="63726" s="1"/>
  <c r="J10" i="63726"/>
  <c r="D10" i="63726"/>
  <c r="G10" i="63726" s="1"/>
  <c r="B10" i="63726"/>
  <c r="M9" i="63726"/>
  <c r="K7" i="63726"/>
  <c r="H7" i="63726"/>
  <c r="E7" i="63726"/>
  <c r="B7" i="63726"/>
  <c r="M6" i="63726"/>
  <c r="K6" i="63726"/>
  <c r="J6" i="63726"/>
  <c r="H6" i="63726"/>
  <c r="G6" i="63726"/>
  <c r="E6" i="63726"/>
  <c r="D6" i="63726"/>
  <c r="B6" i="63726"/>
  <c r="P5" i="63726"/>
  <c r="L5" i="63726"/>
  <c r="L7" i="63726" s="1"/>
  <c r="I5" i="63726"/>
  <c r="F5" i="63726"/>
  <c r="C5" i="63726"/>
  <c r="C6" i="63726" s="1"/>
  <c r="O48" i="63726" l="1"/>
  <c r="P64" i="63726"/>
  <c r="Q64" i="63726"/>
  <c r="D5" i="4"/>
  <c r="Z81" i="63726"/>
  <c r="G46" i="4"/>
  <c r="Q46" i="4"/>
  <c r="T46" i="4"/>
  <c r="J46" i="4"/>
  <c r="K46" i="4"/>
  <c r="S46" i="4"/>
  <c r="H46" i="4"/>
  <c r="N46" i="4"/>
  <c r="S86" i="63726"/>
  <c r="V86" i="63726" s="1"/>
  <c r="T84" i="63726"/>
  <c r="E19" i="63726"/>
  <c r="E20" i="63726" s="1"/>
  <c r="E22" i="63726" s="1"/>
  <c r="E23" i="63726" s="1"/>
  <c r="AQ49" i="63726"/>
  <c r="T52" i="63726"/>
  <c r="W54" i="63726"/>
  <c r="Z54" i="63726" s="1"/>
  <c r="AC54" i="63726" s="1"/>
  <c r="AF54" i="63726" s="1"/>
  <c r="AI54" i="63726" s="1"/>
  <c r="S52" i="63726"/>
  <c r="V54" i="63726"/>
  <c r="P28" i="63726"/>
  <c r="R54" i="63726"/>
  <c r="S59" i="63726"/>
  <c r="S104" i="63726"/>
  <c r="T104" i="63726"/>
  <c r="H102" i="63726"/>
  <c r="H58" i="63726"/>
  <c r="F20" i="63736"/>
  <c r="G20" i="63736" s="1"/>
  <c r="C20" i="63736"/>
  <c r="P37" i="63726"/>
  <c r="P38" i="63726" s="1"/>
  <c r="S39" i="63726"/>
  <c r="V39" i="63726" s="1"/>
  <c r="V37" i="63726" s="1"/>
  <c r="D7" i="63736"/>
  <c r="D17" i="63736"/>
  <c r="N17" i="63736" s="1"/>
  <c r="D8" i="63736"/>
  <c r="J11" i="63736"/>
  <c r="D18" i="63736"/>
  <c r="N18" i="63736" s="1"/>
  <c r="O87" i="63726"/>
  <c r="E20" i="63736"/>
  <c r="P20" i="63736" s="1"/>
  <c r="D9" i="63736"/>
  <c r="N9" i="63736" s="1"/>
  <c r="D201" i="4"/>
  <c r="N45" i="63726"/>
  <c r="Q102" i="63726"/>
  <c r="E201" i="4"/>
  <c r="K201" i="4"/>
  <c r="P45" i="63726"/>
  <c r="O78" i="63726"/>
  <c r="G201" i="4"/>
  <c r="N201" i="4"/>
  <c r="L25" i="63726"/>
  <c r="N102" i="63726"/>
  <c r="H201" i="4"/>
  <c r="P201" i="4"/>
  <c r="J31" i="63726"/>
  <c r="H31" i="63726" s="1"/>
  <c r="P102" i="63726"/>
  <c r="J201" i="4"/>
  <c r="Q201" i="4"/>
  <c r="E5" i="4"/>
  <c r="B111" i="63726"/>
  <c r="B44" i="4"/>
  <c r="B201" i="4" s="1"/>
  <c r="B58" i="63726"/>
  <c r="B73" i="63726" s="1"/>
  <c r="F86" i="63726"/>
  <c r="L54" i="63726"/>
  <c r="C39" i="63726"/>
  <c r="C41" i="63726" s="1"/>
  <c r="M40" i="63726"/>
  <c r="I43" i="63726"/>
  <c r="F14" i="63726"/>
  <c r="P52" i="63726"/>
  <c r="C7" i="63726"/>
  <c r="C86" i="63726"/>
  <c r="G32" i="63726"/>
  <c r="G73" i="63726" s="1"/>
  <c r="O50" i="63726"/>
  <c r="B102" i="63726"/>
  <c r="B5" i="4" s="1"/>
  <c r="B223" i="4" s="1"/>
  <c r="I6" i="63726"/>
  <c r="G14" i="63726"/>
  <c r="F30" i="63726"/>
  <c r="F31" i="63726" s="1"/>
  <c r="K31" i="63726"/>
  <c r="C32" i="63726"/>
  <c r="C33" i="63726" s="1"/>
  <c r="B41" i="63726"/>
  <c r="F43" i="63726"/>
  <c r="I78" i="63726"/>
  <c r="C110" i="63726"/>
  <c r="C44" i="4" s="1"/>
  <c r="C201" i="4" s="1"/>
  <c r="M72" i="63726"/>
  <c r="J14" i="63726"/>
  <c r="C22" i="63726"/>
  <c r="C20" i="63726" s="1"/>
  <c r="O86" i="63726"/>
  <c r="G39" i="63726"/>
  <c r="J40" i="63726" s="1"/>
  <c r="B12" i="63726"/>
  <c r="M31" i="63726"/>
  <c r="K32" i="63726"/>
  <c r="K102" i="63726" s="1"/>
  <c r="C79" i="63726"/>
  <c r="G8" i="63726"/>
  <c r="J11" i="63726"/>
  <c r="J20" i="63726"/>
  <c r="H16" i="63726"/>
  <c r="H20" i="63726" s="1"/>
  <c r="K21" i="63726" s="1"/>
  <c r="F6" i="63726"/>
  <c r="P9" i="63726"/>
  <c r="E10" i="63726"/>
  <c r="F10" i="63726" s="1"/>
  <c r="M10" i="63726"/>
  <c r="P20" i="63726"/>
  <c r="P21" i="63726" s="1"/>
  <c r="P22" i="63726"/>
  <c r="G23" i="63726"/>
  <c r="J32" i="63726"/>
  <c r="H34" i="63726" s="1"/>
  <c r="I30" i="63726"/>
  <c r="I32" i="63726" s="1"/>
  <c r="I73" i="63726" s="1"/>
  <c r="R77" i="63726"/>
  <c r="F85" i="63726"/>
  <c r="H111" i="63726"/>
  <c r="K111" i="63726"/>
  <c r="G21" i="63726"/>
  <c r="I29" i="63726"/>
  <c r="N52" i="63726"/>
  <c r="D103" i="63726"/>
  <c r="I86" i="63726"/>
  <c r="D112" i="63726"/>
  <c r="D111" i="63726"/>
  <c r="L6" i="63726"/>
  <c r="C10" i="63726"/>
  <c r="I25" i="63726"/>
  <c r="O57" i="63726"/>
  <c r="O58" i="63726"/>
  <c r="N73" i="63726"/>
  <c r="L78" i="63726"/>
  <c r="O110" i="63726"/>
  <c r="O44" i="4" s="1"/>
  <c r="O74" i="63726"/>
  <c r="M86" i="63726"/>
  <c r="L84" i="63726"/>
  <c r="P85" i="63726"/>
  <c r="F7" i="63726"/>
  <c r="I7" i="63726"/>
  <c r="I14" i="63726"/>
  <c r="M27" i="63726"/>
  <c r="O54" i="63726"/>
  <c r="F72" i="63726"/>
  <c r="F74" i="63726"/>
  <c r="G111" i="63726"/>
  <c r="D33" i="63726"/>
  <c r="D59" i="63726" s="1"/>
  <c r="H33" i="63726"/>
  <c r="F78" i="63726"/>
  <c r="I72" i="63726"/>
  <c r="D73" i="63726"/>
  <c r="H73" i="63726"/>
  <c r="P73" i="63726"/>
  <c r="I110" i="63726"/>
  <c r="I44" i="4" s="1"/>
  <c r="M110" i="63726"/>
  <c r="M32" i="63726"/>
  <c r="E33" i="63726"/>
  <c r="B34" i="63726"/>
  <c r="E39" i="63726"/>
  <c r="D58" i="63726"/>
  <c r="L71" i="63726"/>
  <c r="E73" i="63726"/>
  <c r="Q73" i="63726"/>
  <c r="I85" i="63726"/>
  <c r="F110" i="63726"/>
  <c r="F44" i="4" s="1"/>
  <c r="E111" i="63726"/>
  <c r="Q111" i="63726"/>
  <c r="E58" i="63726"/>
  <c r="Q59" i="63726"/>
  <c r="C74" i="63726"/>
  <c r="J111" i="63726"/>
  <c r="N111" i="63726"/>
  <c r="E112" i="63726"/>
  <c r="S84" i="63726" l="1"/>
  <c r="F97" i="63736" s="1"/>
  <c r="E38" i="4"/>
  <c r="E42" i="4"/>
  <c r="D67" i="63723"/>
  <c r="D38" i="4"/>
  <c r="D187" i="4"/>
  <c r="D29" i="4"/>
  <c r="D11" i="4"/>
  <c r="D13" i="4" s="1"/>
  <c r="D66" i="63723"/>
  <c r="D188" i="4"/>
  <c r="D62" i="63723"/>
  <c r="D17" i="4"/>
  <c r="D126" i="4"/>
  <c r="D61" i="63723"/>
  <c r="D65" i="63723"/>
  <c r="D20" i="4"/>
  <c r="D193" i="4"/>
  <c r="D23" i="4"/>
  <c r="D223" i="4"/>
  <c r="D26" i="4"/>
  <c r="D186" i="4"/>
  <c r="D45" i="4"/>
  <c r="R34" i="63743" a="1"/>
  <c r="R34" i="63743" s="1"/>
  <c r="AF77" i="63726"/>
  <c r="AI77" i="63726" s="1"/>
  <c r="H5" i="4"/>
  <c r="H67" i="63723" s="1"/>
  <c r="Q112" i="63726"/>
  <c r="N112" i="63726"/>
  <c r="P5" i="4"/>
  <c r="I46" i="4"/>
  <c r="Y86" i="63726"/>
  <c r="W84" i="63726"/>
  <c r="T71" i="63726"/>
  <c r="T67" i="63726" s="1"/>
  <c r="T68" i="63726" s="1"/>
  <c r="F53" i="63736"/>
  <c r="F58" i="63736" s="1"/>
  <c r="G97" i="63736"/>
  <c r="U93" i="63736"/>
  <c r="J93" i="63736" s="1"/>
  <c r="R82" i="63726"/>
  <c r="V84" i="63726"/>
  <c r="AT49" i="63726"/>
  <c r="V52" i="63726"/>
  <c r="Y54" i="63726"/>
  <c r="Y52" i="63726" s="1"/>
  <c r="P29" i="63726"/>
  <c r="W52" i="63726"/>
  <c r="H103" i="63726"/>
  <c r="H112" i="63726"/>
  <c r="Q103" i="63726"/>
  <c r="E186" i="4"/>
  <c r="M93" i="63736"/>
  <c r="S71" i="63726"/>
  <c r="S67" i="63726" s="1"/>
  <c r="S68" i="63726" s="1"/>
  <c r="E61" i="63723"/>
  <c r="C37" i="63726"/>
  <c r="U54" i="63726"/>
  <c r="C34" i="63726"/>
  <c r="H66" i="63736"/>
  <c r="D20" i="63736"/>
  <c r="N20" i="63736" s="1"/>
  <c r="C73" i="63726"/>
  <c r="E67" i="63723"/>
  <c r="N8" i="63736"/>
  <c r="I8" i="63736"/>
  <c r="T20" i="63736"/>
  <c r="T27" i="63736" s="1"/>
  <c r="Q20" i="63736"/>
  <c r="G27" i="63736"/>
  <c r="P112" i="63726"/>
  <c r="E23" i="4"/>
  <c r="J18" i="63736"/>
  <c r="C58" i="63726"/>
  <c r="D56" i="63726"/>
  <c r="I11" i="63736"/>
  <c r="N7" i="63736"/>
  <c r="D10" i="63736"/>
  <c r="E45" i="4"/>
  <c r="E223" i="4"/>
  <c r="E26" i="4"/>
  <c r="E11" i="4"/>
  <c r="E13" i="4" s="1"/>
  <c r="E188" i="4"/>
  <c r="E17" i="4"/>
  <c r="E29" i="4"/>
  <c r="E126" i="4"/>
  <c r="E62" i="63723"/>
  <c r="E20" i="4"/>
  <c r="E187" i="4"/>
  <c r="E193" i="4"/>
  <c r="I201" i="4"/>
  <c r="O201" i="4"/>
  <c r="O73" i="63726"/>
  <c r="Q5" i="4"/>
  <c r="Q38" i="4" s="1"/>
  <c r="T85" i="63726"/>
  <c r="F201" i="4"/>
  <c r="N5" i="4"/>
  <c r="N38" i="4" s="1"/>
  <c r="K33" i="63726"/>
  <c r="F22" i="63726"/>
  <c r="F23" i="63726" s="1"/>
  <c r="E59" i="63726"/>
  <c r="K58" i="63726"/>
  <c r="C102" i="63726"/>
  <c r="C112" i="63726" s="1"/>
  <c r="E6" i="4"/>
  <c r="B62" i="63723"/>
  <c r="B20" i="4"/>
  <c r="E34" i="63726"/>
  <c r="B11" i="4"/>
  <c r="B13" i="4" s="1"/>
  <c r="B23" i="4"/>
  <c r="B126" i="4"/>
  <c r="B188" i="4"/>
  <c r="B61" i="63723"/>
  <c r="G58" i="63726"/>
  <c r="F58" i="63726" s="1"/>
  <c r="E103" i="63726"/>
  <c r="B103" i="63726"/>
  <c r="N103" i="63726"/>
  <c r="K5" i="4"/>
  <c r="K38" i="4" s="1"/>
  <c r="G33" i="63726"/>
  <c r="B186" i="4"/>
  <c r="B26" i="4"/>
  <c r="B187" i="4"/>
  <c r="G102" i="63726"/>
  <c r="B112" i="63726"/>
  <c r="B17" i="4"/>
  <c r="B29" i="4"/>
  <c r="P111" i="63726"/>
  <c r="M44" i="4"/>
  <c r="G37" i="63726"/>
  <c r="G38" i="63726" s="1"/>
  <c r="I31" i="63726"/>
  <c r="F32" i="63726"/>
  <c r="H39" i="63726"/>
  <c r="E37" i="63726"/>
  <c r="E38" i="63726" s="1"/>
  <c r="E41" i="63726"/>
  <c r="I111" i="63726"/>
  <c r="O52" i="63726"/>
  <c r="O55" i="63726"/>
  <c r="C12" i="63726"/>
  <c r="C8" i="63726"/>
  <c r="Q52" i="63726"/>
  <c r="F39" i="63726"/>
  <c r="J73" i="63726"/>
  <c r="J33" i="63726"/>
  <c r="J102" i="63726"/>
  <c r="J58" i="63726"/>
  <c r="H22" i="63726"/>
  <c r="H21" i="63726"/>
  <c r="L74" i="63726"/>
  <c r="L110" i="63726"/>
  <c r="L44" i="4" s="1"/>
  <c r="L46" i="4" s="1"/>
  <c r="L72" i="63726"/>
  <c r="H59" i="63726"/>
  <c r="L86" i="63726"/>
  <c r="L85" i="63726"/>
  <c r="O85" i="63726"/>
  <c r="R78" i="63726"/>
  <c r="P10" i="63726"/>
  <c r="J22" i="63726"/>
  <c r="J21" i="63726"/>
  <c r="M21" i="63726"/>
  <c r="F11" i="63726"/>
  <c r="F12" i="63726"/>
  <c r="F8" i="63726"/>
  <c r="M58" i="63726"/>
  <c r="M33" i="63726"/>
  <c r="R55" i="63726"/>
  <c r="K103" i="63726"/>
  <c r="K112" i="63726"/>
  <c r="U77" i="63726"/>
  <c r="U82" i="63726" s="1"/>
  <c r="P24" i="63726"/>
  <c r="G26" i="63726"/>
  <c r="J9" i="63726"/>
  <c r="G9" i="63726"/>
  <c r="F111" i="63726"/>
  <c r="M111" i="63726"/>
  <c r="O72" i="63726"/>
  <c r="O102" i="63726"/>
  <c r="I102" i="63726"/>
  <c r="I34" i="63726"/>
  <c r="H10" i="63726"/>
  <c r="E12" i="63726"/>
  <c r="E8" i="63726"/>
  <c r="K34" i="63726"/>
  <c r="S85" i="63726" l="1"/>
  <c r="R84" i="63726"/>
  <c r="U97" i="63736" s="1"/>
  <c r="Q87" i="63726"/>
  <c r="N59" i="63726"/>
  <c r="I58" i="63726"/>
  <c r="I59" i="63726" s="1"/>
  <c r="P45" i="4"/>
  <c r="E27" i="63736" s="1"/>
  <c r="J27" i="63736" s="1"/>
  <c r="P38" i="4"/>
  <c r="D63" i="63723"/>
  <c r="E63" i="63723"/>
  <c r="AB86" i="63726"/>
  <c r="AI80" i="63726"/>
  <c r="P188" i="4"/>
  <c r="H223" i="4"/>
  <c r="H17" i="4"/>
  <c r="H186" i="4"/>
  <c r="P26" i="4"/>
  <c r="AF80" i="63726"/>
  <c r="AF81" i="63726" s="1"/>
  <c r="P20" i="4"/>
  <c r="P187" i="4"/>
  <c r="H62" i="63723"/>
  <c r="H126" i="4"/>
  <c r="H11" i="4"/>
  <c r="H13" i="4" s="1"/>
  <c r="H188" i="4"/>
  <c r="H61" i="63723"/>
  <c r="H29" i="4"/>
  <c r="H26" i="4"/>
  <c r="H6" i="4"/>
  <c r="H45" i="4"/>
  <c r="H193" i="4"/>
  <c r="P61" i="63723"/>
  <c r="H23" i="4"/>
  <c r="H20" i="4"/>
  <c r="P11" i="4"/>
  <c r="P62" i="63723"/>
  <c r="P186" i="4"/>
  <c r="P126" i="4"/>
  <c r="P223" i="4"/>
  <c r="P193" i="4"/>
  <c r="P196" i="4" s="1"/>
  <c r="H187" i="4"/>
  <c r="P17" i="4"/>
  <c r="P65" i="63723"/>
  <c r="P66" i="63723"/>
  <c r="G53" i="63736"/>
  <c r="M53" i="63736" s="1"/>
  <c r="W85" i="63726"/>
  <c r="W71" i="63726"/>
  <c r="M46" i="4"/>
  <c r="P46" i="4"/>
  <c r="O46" i="4"/>
  <c r="V71" i="63726"/>
  <c r="V72" i="63726" s="1"/>
  <c r="V85" i="63726"/>
  <c r="G102" i="63736"/>
  <c r="H97" i="63736"/>
  <c r="H102" i="63736" s="1"/>
  <c r="F52" i="63736"/>
  <c r="F57" i="63736" s="1"/>
  <c r="G96" i="63736"/>
  <c r="AW49" i="63726"/>
  <c r="AZ49" i="63726" s="1"/>
  <c r="L93" i="63736"/>
  <c r="N93" i="63736" s="1"/>
  <c r="U102" i="63736"/>
  <c r="Y39" i="63726"/>
  <c r="AB39" i="63726" s="1"/>
  <c r="AB37" i="63726" s="1"/>
  <c r="U55" i="63726"/>
  <c r="G59" i="63726"/>
  <c r="N104" i="63726"/>
  <c r="M97" i="63736"/>
  <c r="O97" i="63736" s="1"/>
  <c r="K97" i="63736"/>
  <c r="F102" i="63736"/>
  <c r="K102" i="63736" s="1"/>
  <c r="S73" i="63726"/>
  <c r="F96" i="63736"/>
  <c r="O93" i="63736"/>
  <c r="N45" i="4"/>
  <c r="C27" i="63736" s="1"/>
  <c r="K45" i="4"/>
  <c r="F59" i="63726"/>
  <c r="V20" i="63736"/>
  <c r="Q223" i="4"/>
  <c r="Q45" i="4"/>
  <c r="V27" i="63736"/>
  <c r="X77" i="63726"/>
  <c r="AA78" i="63726" s="1"/>
  <c r="Q27" i="63736"/>
  <c r="X54" i="63726"/>
  <c r="W57" i="63726"/>
  <c r="K59" i="63726"/>
  <c r="K73" i="63726"/>
  <c r="I18" i="63736"/>
  <c r="R87" i="63726"/>
  <c r="C103" i="63726"/>
  <c r="C5" i="4"/>
  <c r="T87" i="63726"/>
  <c r="J8" i="63736"/>
  <c r="I7" i="63736"/>
  <c r="N10" i="63736"/>
  <c r="D12" i="63736"/>
  <c r="N12" i="63736" s="1"/>
  <c r="Q6" i="4"/>
  <c r="Q186" i="4"/>
  <c r="Q187" i="4"/>
  <c r="Q17" i="4"/>
  <c r="Q126" i="4"/>
  <c r="Q26" i="4"/>
  <c r="Q62" i="63723"/>
  <c r="Q61" i="63723"/>
  <c r="Q23" i="4"/>
  <c r="Q193" i="4"/>
  <c r="Q196" i="4" s="1"/>
  <c r="Q188" i="4"/>
  <c r="Q11" i="4"/>
  <c r="Q20" i="4"/>
  <c r="L201" i="4"/>
  <c r="J5" i="4"/>
  <c r="J38" i="4" s="1"/>
  <c r="G5" i="4"/>
  <c r="G38" i="4" s="1"/>
  <c r="N126" i="4"/>
  <c r="N193" i="4"/>
  <c r="N196" i="4" s="1"/>
  <c r="N62" i="63723"/>
  <c r="N188" i="4"/>
  <c r="N26" i="4"/>
  <c r="N186" i="4"/>
  <c r="N61" i="63723"/>
  <c r="N20" i="4"/>
  <c r="N11" i="4"/>
  <c r="N187" i="4"/>
  <c r="N223" i="4"/>
  <c r="N17" i="4"/>
  <c r="K6" i="4"/>
  <c r="N6" i="4"/>
  <c r="R56" i="63726"/>
  <c r="J38" i="63726"/>
  <c r="G112" i="63726"/>
  <c r="G103" i="63726"/>
  <c r="O112" i="63726"/>
  <c r="O5" i="4"/>
  <c r="I112" i="63726"/>
  <c r="I5" i="4"/>
  <c r="K61" i="63723"/>
  <c r="K26" i="4"/>
  <c r="K193" i="4"/>
  <c r="K196" i="4" s="1"/>
  <c r="K20" i="4"/>
  <c r="K223" i="4"/>
  <c r="K186" i="4"/>
  <c r="K11" i="4"/>
  <c r="K13" i="4" s="1"/>
  <c r="K188" i="4"/>
  <c r="K126" i="4"/>
  <c r="K17" i="4"/>
  <c r="K62" i="63723"/>
  <c r="K187" i="4"/>
  <c r="M201" i="4"/>
  <c r="M33" i="4"/>
  <c r="F102" i="63726"/>
  <c r="F73" i="63726"/>
  <c r="F33" i="63726"/>
  <c r="F34" i="63726"/>
  <c r="I33" i="63726"/>
  <c r="E26" i="63726"/>
  <c r="E9" i="63726"/>
  <c r="O24" i="63726"/>
  <c r="O25" i="63726" s="1"/>
  <c r="P30" i="63726"/>
  <c r="P25" i="63726"/>
  <c r="Y84" i="63726"/>
  <c r="F9" i="63726"/>
  <c r="F26" i="63726"/>
  <c r="R85" i="63726"/>
  <c r="AB54" i="63726"/>
  <c r="U78" i="63726"/>
  <c r="J23" i="63726"/>
  <c r="I22" i="63726"/>
  <c r="M23" i="63726"/>
  <c r="J104" i="63726"/>
  <c r="M104" i="63726"/>
  <c r="H23" i="63726"/>
  <c r="K22" i="63726"/>
  <c r="R49" i="63726"/>
  <c r="U84" i="63726"/>
  <c r="L111" i="63726"/>
  <c r="J59" i="63726"/>
  <c r="F37" i="63726"/>
  <c r="F38" i="63726" s="1"/>
  <c r="F41" i="63726"/>
  <c r="F40" i="63726"/>
  <c r="H12" i="63726"/>
  <c r="H8" i="63726"/>
  <c r="K10" i="63726"/>
  <c r="I10" i="63726"/>
  <c r="G104" i="63726"/>
  <c r="J27" i="63726"/>
  <c r="M102" i="63726"/>
  <c r="M59" i="63726"/>
  <c r="P104" i="63726"/>
  <c r="M73" i="63726"/>
  <c r="P59" i="63726"/>
  <c r="P13" i="63726"/>
  <c r="O111" i="63726"/>
  <c r="J103" i="63726"/>
  <c r="J112" i="63726"/>
  <c r="H41" i="63726"/>
  <c r="K39" i="63726"/>
  <c r="H37" i="63726"/>
  <c r="H38" i="63726" s="1"/>
  <c r="I39" i="63726"/>
  <c r="R86" i="63726" l="1"/>
  <c r="U86" i="63726" s="1"/>
  <c r="X86" i="63726" s="1"/>
  <c r="AA86" i="63726" s="1"/>
  <c r="H63" i="63723"/>
  <c r="P27" i="63736"/>
  <c r="U90" i="63736"/>
  <c r="J90" i="63736" s="1"/>
  <c r="P63" i="63723"/>
  <c r="K63" i="63723"/>
  <c r="N63" i="63723"/>
  <c r="AA54" i="63726"/>
  <c r="AA52" i="63726" s="1"/>
  <c r="AB52" i="63726"/>
  <c r="Q63" i="63723"/>
  <c r="W72" i="63726"/>
  <c r="AB84" i="63726"/>
  <c r="AI81" i="63726"/>
  <c r="Y71" i="63726"/>
  <c r="N50" i="63743" a="1"/>
  <c r="N50" i="63743" s="1"/>
  <c r="X82" i="63726"/>
  <c r="O33" i="63743" a="1"/>
  <c r="O33" i="63743" s="1"/>
  <c r="O36" i="63743" a="1"/>
  <c r="O36" i="63743" s="1"/>
  <c r="Q12" i="4"/>
  <c r="P13" i="4"/>
  <c r="E26" i="63736" s="1"/>
  <c r="P26" i="63736" s="1"/>
  <c r="F5" i="4"/>
  <c r="G58" i="63736"/>
  <c r="J58" i="63736" s="1"/>
  <c r="J53" i="63736"/>
  <c r="H53" i="63736"/>
  <c r="J97" i="63736"/>
  <c r="Z86" i="63726"/>
  <c r="Z84" i="63726" s="1"/>
  <c r="V67" i="63726"/>
  <c r="V68" i="63726" s="1"/>
  <c r="J102" i="63736"/>
  <c r="H96" i="63736"/>
  <c r="H101" i="63736" s="1"/>
  <c r="G101" i="63736"/>
  <c r="Y57" i="63726"/>
  <c r="N43" i="63743" s="1" a="1"/>
  <c r="N43" i="63743" s="1"/>
  <c r="BC49" i="63726"/>
  <c r="R48" i="63726"/>
  <c r="U91" i="63736"/>
  <c r="J91" i="63736" s="1"/>
  <c r="J26" i="4"/>
  <c r="J45" i="4"/>
  <c r="L97" i="63736"/>
  <c r="M102" i="63736"/>
  <c r="O102" i="63736" s="1"/>
  <c r="K96" i="63736"/>
  <c r="F101" i="63736"/>
  <c r="K101" i="63736" s="1"/>
  <c r="V57" i="63726"/>
  <c r="M90" i="63736"/>
  <c r="O90" i="63736" s="1"/>
  <c r="F27" i="63736"/>
  <c r="I45" i="4"/>
  <c r="I67" i="63723"/>
  <c r="G45" i="4"/>
  <c r="G67" i="63723"/>
  <c r="G65" i="63723"/>
  <c r="J187" i="4"/>
  <c r="J65" i="63723"/>
  <c r="J66" i="63723"/>
  <c r="J67" i="63723"/>
  <c r="J62" i="63723"/>
  <c r="X56" i="63726"/>
  <c r="U56" i="63726"/>
  <c r="X78" i="63726"/>
  <c r="X84" i="63726"/>
  <c r="X55" i="63726"/>
  <c r="G23" i="4"/>
  <c r="G187" i="4"/>
  <c r="G223" i="4"/>
  <c r="G26" i="4"/>
  <c r="G126" i="4"/>
  <c r="G29" i="4"/>
  <c r="I9" i="63736"/>
  <c r="U87" i="63726"/>
  <c r="I103" i="63726"/>
  <c r="J7" i="63736"/>
  <c r="G62" i="63723"/>
  <c r="G17" i="4"/>
  <c r="G6" i="4"/>
  <c r="G193" i="4"/>
  <c r="G20" i="4"/>
  <c r="G61" i="63723"/>
  <c r="O45" i="4"/>
  <c r="D27" i="63736" s="1"/>
  <c r="G186" i="4"/>
  <c r="G188" i="4"/>
  <c r="G11" i="4"/>
  <c r="G13" i="4" s="1"/>
  <c r="J20" i="4"/>
  <c r="J11" i="4"/>
  <c r="J13" i="4" s="1"/>
  <c r="J186" i="4"/>
  <c r="J126" i="4"/>
  <c r="J193" i="4"/>
  <c r="J29" i="4"/>
  <c r="J223" i="4"/>
  <c r="J188" i="4"/>
  <c r="J61" i="63723"/>
  <c r="J6" i="4"/>
  <c r="I6" i="4" s="1"/>
  <c r="J23" i="4"/>
  <c r="J17" i="4"/>
  <c r="M5" i="4"/>
  <c r="M38" i="4" s="1"/>
  <c r="L102" i="63726"/>
  <c r="N13" i="4"/>
  <c r="C26" i="63736" s="1"/>
  <c r="Q13" i="4"/>
  <c r="R50" i="63726"/>
  <c r="M183" i="4"/>
  <c r="F103" i="63726"/>
  <c r="F112" i="63726"/>
  <c r="I41" i="63726"/>
  <c r="I40" i="63726"/>
  <c r="I37" i="63726"/>
  <c r="I38" i="63726" s="1"/>
  <c r="M103" i="63726"/>
  <c r="P103" i="63726"/>
  <c r="M112" i="63726"/>
  <c r="AE39" i="63726"/>
  <c r="K8" i="63726"/>
  <c r="N10" i="63726"/>
  <c r="K12" i="63726"/>
  <c r="K11" i="63726"/>
  <c r="L10" i="63726"/>
  <c r="AE77" i="63726"/>
  <c r="AE84" i="63726" s="1"/>
  <c r="P31" i="63726"/>
  <c r="H26" i="63726"/>
  <c r="H9" i="63726"/>
  <c r="U85" i="63726"/>
  <c r="N22" i="63726"/>
  <c r="K23" i="63726"/>
  <c r="L22" i="63726"/>
  <c r="L23" i="63726" s="1"/>
  <c r="Y85" i="63726"/>
  <c r="N39" i="63726"/>
  <c r="K37" i="63726"/>
  <c r="L39" i="63726"/>
  <c r="K40" i="63726"/>
  <c r="K41" i="63726"/>
  <c r="AE54" i="63726"/>
  <c r="AD54" i="63726" s="1"/>
  <c r="P14" i="63726"/>
  <c r="O13" i="63726"/>
  <c r="P32" i="63726"/>
  <c r="I11" i="63726"/>
  <c r="I12" i="63726"/>
  <c r="I8" i="63726"/>
  <c r="AC85" i="63726" l="1"/>
  <c r="AD55" i="63726"/>
  <c r="J63" i="63723"/>
  <c r="F67" i="63723"/>
  <c r="F42" i="4"/>
  <c r="AA55" i="63726"/>
  <c r="G63" i="63723"/>
  <c r="AA57" i="63726"/>
  <c r="AA84" i="63726"/>
  <c r="AA85" i="63726" s="1"/>
  <c r="AE85" i="63726"/>
  <c r="Y72" i="63726"/>
  <c r="N49" i="63743" s="1" a="1"/>
  <c r="N49" i="63743" s="1"/>
  <c r="O35" i="63743" a="1"/>
  <c r="O35" i="63743" s="1"/>
  <c r="N51" i="63743" a="1"/>
  <c r="N51" i="63743" s="1"/>
  <c r="O50" i="63743" a="1"/>
  <c r="O50" i="63743" s="1"/>
  <c r="J26" i="63736"/>
  <c r="P36" i="63743" a="1"/>
  <c r="P36" i="63743" s="1"/>
  <c r="Y67" i="63726"/>
  <c r="Y68" i="63726" s="1"/>
  <c r="N48" i="63743" a="1"/>
  <c r="N48" i="63743" s="1"/>
  <c r="F45" i="4"/>
  <c r="F6" i="4"/>
  <c r="M58" i="63736"/>
  <c r="H58" i="63736"/>
  <c r="AK86" i="63726"/>
  <c r="AE80" i="63726"/>
  <c r="AB81" i="63726"/>
  <c r="BF49" i="63726"/>
  <c r="BI49" i="63726" s="1"/>
  <c r="AD77" i="63726"/>
  <c r="M186" i="4"/>
  <c r="X57" i="63726"/>
  <c r="L90" i="63736"/>
  <c r="N90" i="63736" s="1"/>
  <c r="U52" i="63726"/>
  <c r="N97" i="63736"/>
  <c r="L102" i="63736"/>
  <c r="N102" i="63736" s="1"/>
  <c r="F26" i="63736"/>
  <c r="M6" i="4"/>
  <c r="M65" i="63723"/>
  <c r="M66" i="63723"/>
  <c r="M67" i="63723"/>
  <c r="N27" i="63736"/>
  <c r="I27" i="63736"/>
  <c r="X85" i="63726"/>
  <c r="J12" i="63736"/>
  <c r="J10" i="63736"/>
  <c r="I17" i="63736"/>
  <c r="AB85" i="63726"/>
  <c r="J17" i="63736"/>
  <c r="P6" i="4"/>
  <c r="O6" i="4" s="1"/>
  <c r="M45" i="4"/>
  <c r="M187" i="4"/>
  <c r="M126" i="4"/>
  <c r="M188" i="4"/>
  <c r="M193" i="4"/>
  <c r="M61" i="63723"/>
  <c r="M62" i="63723"/>
  <c r="M223" i="4"/>
  <c r="M17" i="4"/>
  <c r="P33" i="63726"/>
  <c r="AB57" i="63726"/>
  <c r="O43" i="63743" s="1" a="1"/>
  <c r="O43" i="63743" s="1"/>
  <c r="AH39" i="63726"/>
  <c r="L41" i="63726"/>
  <c r="L40" i="63726"/>
  <c r="I9" i="63726"/>
  <c r="I26" i="63726"/>
  <c r="L37" i="63726"/>
  <c r="L42" i="63726" s="1"/>
  <c r="K45" i="63726"/>
  <c r="K47" i="63726" s="1"/>
  <c r="K38" i="63726"/>
  <c r="N20" i="63726"/>
  <c r="N21" i="63726" s="1"/>
  <c r="O22" i="63726"/>
  <c r="O23" i="63726" s="1"/>
  <c r="K26" i="63726"/>
  <c r="H27" i="63726"/>
  <c r="H104" i="63726"/>
  <c r="N12" i="63726"/>
  <c r="N8" i="63726"/>
  <c r="O10" i="63726"/>
  <c r="AH54" i="63726"/>
  <c r="AG54" i="63726" s="1"/>
  <c r="AG55" i="63726" s="1"/>
  <c r="AE56" i="63726"/>
  <c r="N41" i="63726"/>
  <c r="Q39" i="63726"/>
  <c r="N37" i="63726"/>
  <c r="N38" i="63726" s="1"/>
  <c r="O39" i="63726"/>
  <c r="AH77" i="63726"/>
  <c r="L12" i="63726"/>
  <c r="L11" i="63726"/>
  <c r="L8" i="63726"/>
  <c r="L9" i="63726" s="1"/>
  <c r="K9" i="63726"/>
  <c r="M63" i="63723" l="1"/>
  <c r="P35" i="63743" a="1"/>
  <c r="P35" i="63743" s="1"/>
  <c r="O51" i="63743" a="1"/>
  <c r="O51" i="63743" s="1"/>
  <c r="Q36" i="63743" a="1"/>
  <c r="Q36" i="63743" s="1"/>
  <c r="P50" i="63743" a="1"/>
  <c r="P50" i="63743" s="1"/>
  <c r="AI86" i="63726"/>
  <c r="AI84" i="63726" s="1"/>
  <c r="AF84" i="63726"/>
  <c r="AG77" i="63726"/>
  <c r="AF79" i="63726"/>
  <c r="Z85" i="63726"/>
  <c r="AE81" i="63726"/>
  <c r="AD80" i="63726"/>
  <c r="AD82" i="63726" s="1"/>
  <c r="AH80" i="63726"/>
  <c r="AD84" i="63726"/>
  <c r="AC87" i="63726"/>
  <c r="AD78" i="63726"/>
  <c r="L6" i="4"/>
  <c r="I20" i="63736"/>
  <c r="I12" i="63736"/>
  <c r="I10" i="63736"/>
  <c r="AK77" i="63726"/>
  <c r="AH84" i="63726"/>
  <c r="Q37" i="63726"/>
  <c r="T39" i="63726"/>
  <c r="R39" i="63726"/>
  <c r="R40" i="63726" s="1"/>
  <c r="L43" i="63726"/>
  <c r="O43" i="63726"/>
  <c r="AK39" i="63726"/>
  <c r="L13" i="63726"/>
  <c r="O41" i="63726"/>
  <c r="O40" i="63726"/>
  <c r="O37" i="63726"/>
  <c r="O38" i="63726" s="1"/>
  <c r="AK54" i="63726"/>
  <c r="AJ54" i="63726" s="1"/>
  <c r="AJ55" i="63726" s="1"/>
  <c r="O12" i="63726"/>
  <c r="O11" i="63726"/>
  <c r="K104" i="63726"/>
  <c r="K27" i="63726"/>
  <c r="N26" i="63726"/>
  <c r="L26" i="63726"/>
  <c r="AE57" i="63726"/>
  <c r="P43" i="63743" s="1" a="1"/>
  <c r="P43" i="63743" s="1"/>
  <c r="N9" i="63726"/>
  <c r="O8" i="63726"/>
  <c r="L45" i="63726"/>
  <c r="L47" i="63726" s="1"/>
  <c r="L38" i="63726"/>
  <c r="I104" i="63726"/>
  <c r="I27" i="63726"/>
  <c r="R104" i="63726" l="1"/>
  <c r="AG80" i="63726"/>
  <c r="AG82" i="63726" s="1"/>
  <c r="AJ77" i="63726"/>
  <c r="AI79" i="63726"/>
  <c r="AI85" i="63726"/>
  <c r="AN86" i="63726"/>
  <c r="AQ86" i="63726" s="1"/>
  <c r="AT86" i="63726" s="1"/>
  <c r="AW86" i="63726" s="1"/>
  <c r="AZ86" i="63726" s="1"/>
  <c r="BC86" i="63726" s="1"/>
  <c r="BF86" i="63726" s="1"/>
  <c r="BI86" i="63726" s="1"/>
  <c r="P51" i="63743" a="1"/>
  <c r="P51" i="63743" s="1"/>
  <c r="Q50" i="63743" a="1"/>
  <c r="Q50" i="63743" s="1"/>
  <c r="AF85" i="63726"/>
  <c r="AF87" i="63726"/>
  <c r="D7" i="63727"/>
  <c r="AG84" i="63726"/>
  <c r="AG78" i="63726"/>
  <c r="AG79" i="63726"/>
  <c r="AK80" i="63726"/>
  <c r="AH81" i="63726"/>
  <c r="AH85" i="63726"/>
  <c r="AD87" i="63726"/>
  <c r="AD85" i="63726"/>
  <c r="AD86" i="63726"/>
  <c r="W39" i="63726"/>
  <c r="W37" i="63726" s="1"/>
  <c r="R60" i="63726"/>
  <c r="U39" i="63726"/>
  <c r="L28" i="63726"/>
  <c r="L27" i="63726"/>
  <c r="L104" i="63726"/>
  <c r="AN54" i="63726"/>
  <c r="AN39" i="63726"/>
  <c r="Q38" i="63726"/>
  <c r="N28" i="63726"/>
  <c r="O26" i="63726"/>
  <c r="L14" i="63726"/>
  <c r="O14" i="63726"/>
  <c r="AN77" i="63726"/>
  <c r="AN80" i="63726" s="1"/>
  <c r="AK84" i="63726"/>
  <c r="AG81" i="63726" l="1"/>
  <c r="AI87" i="63726"/>
  <c r="I7" i="63727"/>
  <c r="D7" i="63744" s="1"/>
  <c r="B7" i="63744"/>
  <c r="AJ79" i="63726"/>
  <c r="AJ78" i="63726"/>
  <c r="AJ84" i="63726"/>
  <c r="AK81" i="63726"/>
  <c r="AJ80" i="63726"/>
  <c r="Q51" i="63743" a="1"/>
  <c r="Q51" i="63743" s="1"/>
  <c r="AG86" i="63726"/>
  <c r="AG87" i="63726"/>
  <c r="AG85" i="63726"/>
  <c r="AN81" i="63726"/>
  <c r="X39" i="63726"/>
  <c r="X40" i="63726" s="1"/>
  <c r="Z39" i="63726"/>
  <c r="AK85" i="63726"/>
  <c r="W58" i="63726"/>
  <c r="U40" i="63726"/>
  <c r="AQ39" i="63726"/>
  <c r="AQ54" i="63726"/>
  <c r="O28" i="63726"/>
  <c r="O27" i="63726"/>
  <c r="N30" i="63726"/>
  <c r="N31" i="63726" s="1"/>
  <c r="N29" i="63726"/>
  <c r="N5" i="63726"/>
  <c r="L30" i="63726"/>
  <c r="L29" i="63726"/>
  <c r="AQ77" i="63726"/>
  <c r="AN84" i="63726"/>
  <c r="AN85" i="63726" s="1"/>
  <c r="AA39" i="63726" l="1"/>
  <c r="AC39" i="63726"/>
  <c r="AC37" i="63726" s="1"/>
  <c r="AA40" i="63726"/>
  <c r="AA37" i="63726"/>
  <c r="AJ81" i="63726"/>
  <c r="AJ82" i="63726"/>
  <c r="AM82" i="63726" s="1"/>
  <c r="AP82" i="63726" s="1"/>
  <c r="AS82" i="63726" s="1"/>
  <c r="AV82" i="63726" s="1"/>
  <c r="AY82" i="63726" s="1"/>
  <c r="BB82" i="63726" s="1"/>
  <c r="BE82" i="63726" s="1"/>
  <c r="BH82" i="63726" s="1"/>
  <c r="AJ87" i="63726"/>
  <c r="AJ85" i="63726"/>
  <c r="AJ86" i="63726"/>
  <c r="AQ80" i="63726"/>
  <c r="R36" i="63743" a="1"/>
  <c r="R36" i="63743" s="1"/>
  <c r="Z37" i="63726"/>
  <c r="W64" i="63726"/>
  <c r="W73" i="63726"/>
  <c r="W102" i="63726"/>
  <c r="G52" i="63736"/>
  <c r="AT54" i="63726"/>
  <c r="AW54" i="63726" s="1"/>
  <c r="L31" i="63726"/>
  <c r="L32" i="63726"/>
  <c r="N32" i="63726"/>
  <c r="O5" i="63726"/>
  <c r="N6" i="63726"/>
  <c r="O30" i="63726"/>
  <c r="O31" i="63726" s="1"/>
  <c r="O29" i="63726"/>
  <c r="AT77" i="63726"/>
  <c r="AT80" i="63726" s="1"/>
  <c r="AQ84" i="63726"/>
  <c r="AT39" i="63726"/>
  <c r="AW39" i="63726" s="1"/>
  <c r="AQ81" i="63726" l="1"/>
  <c r="AT81" i="63726"/>
  <c r="AQ85" i="63726"/>
  <c r="R51" i="63743" s="1" a="1"/>
  <c r="R51" i="63743" s="1"/>
  <c r="R50" i="63743" a="1"/>
  <c r="R50" i="63743" s="1"/>
  <c r="AD39" i="63726"/>
  <c r="AD40" i="63726" s="1"/>
  <c r="AF39" i="63726"/>
  <c r="AI39" i="63726" s="1"/>
  <c r="Z38" i="63726"/>
  <c r="W108" i="63726"/>
  <c r="Z43" i="63726"/>
  <c r="G57" i="63736"/>
  <c r="M52" i="63736"/>
  <c r="H52" i="63736"/>
  <c r="AW42" i="63726"/>
  <c r="AZ39" i="63726"/>
  <c r="AZ54" i="63726"/>
  <c r="Z104" i="63726"/>
  <c r="W5" i="4"/>
  <c r="AT84" i="63726"/>
  <c r="AW77" i="63726"/>
  <c r="AW80" i="63726" s="1"/>
  <c r="AW81" i="63726" s="1"/>
  <c r="O6" i="63726"/>
  <c r="O32" i="63726"/>
  <c r="O7" i="63726"/>
  <c r="N33" i="63726"/>
  <c r="N34" i="63726"/>
  <c r="L5" i="4"/>
  <c r="L58" i="63726"/>
  <c r="L34" i="63726"/>
  <c r="L33" i="63726"/>
  <c r="O60" i="63726" l="1"/>
  <c r="W38" i="4"/>
  <c r="W42" i="4"/>
  <c r="AJ39" i="63726"/>
  <c r="AI42" i="63726"/>
  <c r="AG39" i="63726"/>
  <c r="AG40" i="63726" s="1"/>
  <c r="AF42" i="63726"/>
  <c r="W126" i="4"/>
  <c r="W65" i="63723"/>
  <c r="W188" i="4"/>
  <c r="W187" i="4"/>
  <c r="W62" i="63723"/>
  <c r="W186" i="4"/>
  <c r="W61" i="63723"/>
  <c r="W193" i="4"/>
  <c r="W196" i="4" s="1"/>
  <c r="W223" i="4"/>
  <c r="W191" i="4"/>
  <c r="W66" i="63723"/>
  <c r="W11" i="4"/>
  <c r="W26" i="4"/>
  <c r="W17" i="4"/>
  <c r="W23" i="4"/>
  <c r="W29" i="4"/>
  <c r="W20" i="4"/>
  <c r="M57" i="63736"/>
  <c r="H57" i="63736"/>
  <c r="BC54" i="63726"/>
  <c r="AZ42" i="63726"/>
  <c r="BC39" i="63726"/>
  <c r="BC42" i="63726" s="1"/>
  <c r="AW84" i="63726"/>
  <c r="AW85" i="63726" s="1"/>
  <c r="AZ77" i="63726"/>
  <c r="AZ80" i="63726" s="1"/>
  <c r="AZ81" i="63726" s="1"/>
  <c r="AT85" i="63726"/>
  <c r="L45" i="4"/>
  <c r="L59" i="63726"/>
  <c r="L73" i="63726"/>
  <c r="O59" i="63726"/>
  <c r="O104" i="63726"/>
  <c r="O34" i="63726"/>
  <c r="O33" i="63726"/>
  <c r="L103" i="63726"/>
  <c r="L112" i="63726"/>
  <c r="O103" i="63726"/>
  <c r="W63" i="63723" l="1"/>
  <c r="AJ40" i="63726"/>
  <c r="AI43" i="63726"/>
  <c r="AZ43" i="63726"/>
  <c r="BC43" i="63726"/>
  <c r="BF39" i="63726"/>
  <c r="BF54" i="63726"/>
  <c r="BI54" i="63726" s="1"/>
  <c r="W13" i="4"/>
  <c r="W33" i="4"/>
  <c r="AZ84" i="63726"/>
  <c r="AZ85" i="63726" s="1"/>
  <c r="BC77" i="63726"/>
  <c r="BC80" i="63726" s="1"/>
  <c r="BC81" i="63726" s="1"/>
  <c r="BF42" i="63726" l="1"/>
  <c r="BF43" i="63726" s="1"/>
  <c r="BI39" i="63726"/>
  <c r="BI42" i="63726" s="1"/>
  <c r="BC84" i="63726"/>
  <c r="BC85" i="63726" s="1"/>
  <c r="BF77" i="63726"/>
  <c r="BI77" i="63726" s="1"/>
  <c r="BI80" i="63726" l="1"/>
  <c r="BI84" i="63726"/>
  <c r="BI43" i="63726"/>
  <c r="BF84" i="63726"/>
  <c r="BF85" i="63726" s="1"/>
  <c r="BF80" i="63726"/>
  <c r="BF81" i="63726" s="1"/>
  <c r="BI85" i="63726" l="1"/>
  <c r="BI81" i="63726"/>
  <c r="T100" i="4" l="1"/>
  <c r="Q191" i="4"/>
  <c r="T159" i="4"/>
  <c r="S70" i="4"/>
  <c r="S74" i="4" s="1"/>
  <c r="AT103" i="4"/>
  <c r="AQ103" i="4"/>
  <c r="AN103" i="4"/>
  <c r="AK103" i="4"/>
  <c r="AH103" i="4"/>
  <c r="AE103" i="4"/>
  <c r="H32" i="63743" s="1" a="1"/>
  <c r="H32" i="63743" s="1"/>
  <c r="AB103" i="4"/>
  <c r="AA103" i="4" s="1"/>
  <c r="Q14" i="63724"/>
  <c r="Q15" i="63724" s="1"/>
  <c r="P14" i="63724"/>
  <c r="P15" i="63724" s="1"/>
  <c r="N14" i="63724"/>
  <c r="N15" i="63724" s="1"/>
  <c r="M14" i="63724"/>
  <c r="M15" i="63724" s="1"/>
  <c r="K14" i="63724"/>
  <c r="K15" i="63724" s="1"/>
  <c r="J14" i="63724"/>
  <c r="J15" i="63724" s="1"/>
  <c r="H14" i="63724"/>
  <c r="H15" i="63724" s="1"/>
  <c r="G14" i="63724"/>
  <c r="G15" i="63724" s="1"/>
  <c r="E14" i="63724"/>
  <c r="E15" i="63724" s="1"/>
  <c r="J13" i="63724"/>
  <c r="H13" i="63724"/>
  <c r="G13" i="63724"/>
  <c r="E13" i="63724"/>
  <c r="D14" i="63724"/>
  <c r="D15" i="63724" s="1"/>
  <c r="D13" i="63724"/>
  <c r="B14" i="63724"/>
  <c r="B15" i="63724" s="1"/>
  <c r="B13" i="63724"/>
  <c r="R9" i="63724"/>
  <c r="U9" i="63724"/>
  <c r="U156" i="4" s="1"/>
  <c r="D9" i="63724"/>
  <c r="E9" i="63724"/>
  <c r="G9" i="63724"/>
  <c r="H9" i="63724"/>
  <c r="J9" i="63724"/>
  <c r="K9" i="63724"/>
  <c r="M9" i="63724"/>
  <c r="N9" i="63724"/>
  <c r="P9" i="63724"/>
  <c r="Q9" i="63724"/>
  <c r="D10" i="63724"/>
  <c r="E10" i="63724"/>
  <c r="G10" i="63724"/>
  <c r="H10" i="63724"/>
  <c r="J10" i="63724"/>
  <c r="K10" i="63724"/>
  <c r="M10" i="63724"/>
  <c r="N10" i="63724"/>
  <c r="P10" i="63724"/>
  <c r="Q10" i="63724"/>
  <c r="B10" i="63724"/>
  <c r="B9" i="63724"/>
  <c r="U4" i="63724"/>
  <c r="U3" i="63724"/>
  <c r="AJ103" i="4" l="1"/>
  <c r="J32" i="63743" a="1"/>
  <c r="J32" i="63743" s="1"/>
  <c r="G32" i="63743" a="1"/>
  <c r="G32" i="63743" s="1"/>
  <c r="AG103" i="4"/>
  <c r="I32" i="63743" a="1"/>
  <c r="I32" i="63743" s="1"/>
  <c r="AD103" i="4"/>
  <c r="W159" i="4"/>
  <c r="Z159" i="4" s="1"/>
  <c r="V159" i="4"/>
  <c r="U100" i="4"/>
  <c r="X103" i="4"/>
  <c r="C14" i="63724"/>
  <c r="C13" i="63724"/>
  <c r="AC159" i="4" l="1"/>
  <c r="Z162" i="4"/>
  <c r="R14" i="63724"/>
  <c r="AF159" i="4" l="1"/>
  <c r="AI159" i="4" s="1"/>
  <c r="R117" i="4"/>
  <c r="O4" i="63724"/>
  <c r="O3" i="63724"/>
  <c r="L4" i="63724"/>
  <c r="L3" i="63724"/>
  <c r="F4" i="63724"/>
  <c r="F3" i="63724"/>
  <c r="I4" i="63724"/>
  <c r="I3" i="63724"/>
  <c r="C4" i="63724"/>
  <c r="C3" i="63724"/>
  <c r="B2" i="63724"/>
  <c r="D2" i="63724" s="1"/>
  <c r="P7" i="63724"/>
  <c r="N7" i="63724"/>
  <c r="M7" i="63724"/>
  <c r="P2" i="63724" s="1"/>
  <c r="K7" i="63724"/>
  <c r="J7" i="63724"/>
  <c r="H7" i="63724"/>
  <c r="I2" i="63724" s="1"/>
  <c r="G7" i="63724"/>
  <c r="J2" i="63724" s="1"/>
  <c r="E7" i="63724"/>
  <c r="F2" i="63724" s="1"/>
  <c r="D7" i="63724"/>
  <c r="B7" i="63724"/>
  <c r="Q7" i="63724"/>
  <c r="R2" i="63724" l="1"/>
  <c r="B12" i="63724"/>
  <c r="R4" i="63724"/>
  <c r="D12" i="63724"/>
  <c r="R3" i="63724"/>
  <c r="J6" i="63724"/>
  <c r="N2" i="63724"/>
  <c r="N6" i="63724" s="1"/>
  <c r="P6" i="63724"/>
  <c r="B6" i="63724"/>
  <c r="G2" i="63724"/>
  <c r="G12" i="63724" s="1"/>
  <c r="K2" i="63724"/>
  <c r="K6" i="63724" s="1"/>
  <c r="O2" i="63724"/>
  <c r="D6" i="63724"/>
  <c r="S2" i="63724"/>
  <c r="J12" i="63724"/>
  <c r="C2" i="63724"/>
  <c r="H2" i="63724"/>
  <c r="H12" i="63724" s="1"/>
  <c r="L2" i="63724"/>
  <c r="Q2" i="63724"/>
  <c r="Q6" i="63724" s="1"/>
  <c r="E2" i="63724"/>
  <c r="M2" i="63724"/>
  <c r="M6" i="63724" s="1"/>
  <c r="C6" i="63724" l="1"/>
  <c r="G6" i="63724"/>
  <c r="E12" i="63724"/>
  <c r="E6" i="63724"/>
  <c r="H6" i="63724"/>
  <c r="Q51" i="63723"/>
  <c r="R48" i="63723" s="1"/>
  <c r="Q54" i="63723"/>
  <c r="P54" i="63723"/>
  <c r="N54" i="63723"/>
  <c r="M54" i="63723"/>
  <c r="K54" i="63723"/>
  <c r="S17" i="63723"/>
  <c r="T17" i="63723" s="1"/>
  <c r="O59" i="63723"/>
  <c r="O62" i="63723" s="1"/>
  <c r="L59" i="63723"/>
  <c r="L62" i="63723" s="1"/>
  <c r="I59" i="63723"/>
  <c r="I62" i="63723" s="1"/>
  <c r="F59" i="63723"/>
  <c r="F62" i="63723" s="1"/>
  <c r="C59" i="63723"/>
  <c r="C62" i="63723" s="1"/>
  <c r="O58" i="63723"/>
  <c r="O61" i="63723" s="1"/>
  <c r="L58" i="63723"/>
  <c r="L61" i="63723" s="1"/>
  <c r="I58" i="63723"/>
  <c r="I61" i="63723" s="1"/>
  <c r="F58" i="63723"/>
  <c r="F61" i="63723" s="1"/>
  <c r="C58" i="63723"/>
  <c r="C61" i="63723" s="1"/>
  <c r="O166" i="4"/>
  <c r="L166" i="4"/>
  <c r="O157" i="4"/>
  <c r="L157" i="4"/>
  <c r="O148" i="4"/>
  <c r="L148" i="4"/>
  <c r="Q45" i="63723"/>
  <c r="R42" i="63723" s="1"/>
  <c r="P45" i="63723"/>
  <c r="S42" i="63723" s="1"/>
  <c r="N45" i="63723"/>
  <c r="O42" i="63723" s="1"/>
  <c r="P44" i="63723"/>
  <c r="P42" i="63723"/>
  <c r="N42" i="63723"/>
  <c r="K44" i="63723"/>
  <c r="K45" i="63723"/>
  <c r="L42" i="63723" s="1"/>
  <c r="P48" i="63723"/>
  <c r="P51" i="63723"/>
  <c r="S48" i="63723" s="1"/>
  <c r="N51" i="63723"/>
  <c r="O48" i="63723" s="1"/>
  <c r="Q50" i="63723"/>
  <c r="P50" i="63723"/>
  <c r="AA63" i="63731" s="1" a="1"/>
  <c r="AA63" i="63731" s="1"/>
  <c r="N50" i="63723"/>
  <c r="Q52" i="63723"/>
  <c r="P52" i="63723"/>
  <c r="O52" i="63723" s="1"/>
  <c r="N52" i="63723"/>
  <c r="L52" i="63723"/>
  <c r="K52" i="63723"/>
  <c r="K51" i="63723"/>
  <c r="L48" i="63723" s="1"/>
  <c r="N48" i="63723"/>
  <c r="L51" i="63723"/>
  <c r="K50" i="63723"/>
  <c r="M49" i="63723"/>
  <c r="M50" i="63723"/>
  <c r="Z63" i="63731" s="1" a="1"/>
  <c r="Z63" i="63731" s="1"/>
  <c r="M42" i="63723"/>
  <c r="K42" i="63723" s="1"/>
  <c r="Q250" i="4"/>
  <c r="Q25" i="63723"/>
  <c r="Q11" i="63723"/>
  <c r="Q65" i="63723" s="1"/>
  <c r="Q8" i="63723"/>
  <c r="Q5" i="63723"/>
  <c r="Q13" i="63723" s="1"/>
  <c r="R7" i="63723" s="1"/>
  <c r="C30" i="63723"/>
  <c r="F30" i="63723"/>
  <c r="I30" i="63723"/>
  <c r="L30" i="63723"/>
  <c r="P38" i="63723"/>
  <c r="L35" i="63723"/>
  <c r="L36" i="63723"/>
  <c r="K16" i="63723"/>
  <c r="K22" i="63723"/>
  <c r="M34" i="63723"/>
  <c r="M33" i="63723"/>
  <c r="M29" i="63723"/>
  <c r="N29" i="63723" s="1"/>
  <c r="F63" i="63723" l="1"/>
  <c r="L63" i="63723"/>
  <c r="I63" i="63723"/>
  <c r="O63" i="63723"/>
  <c r="S49" i="63723"/>
  <c r="S55" i="63723"/>
  <c r="P67" i="63723"/>
  <c r="K67" i="63723"/>
  <c r="V17" i="63723"/>
  <c r="W17" i="63723" s="1"/>
  <c r="S18" i="63723"/>
  <c r="M39" i="63723"/>
  <c r="N33" i="63723" s="1"/>
  <c r="M48" i="63723"/>
  <c r="K48" i="63723" s="1"/>
  <c r="K49" i="63723" s="1"/>
  <c r="L49" i="63723" s="1"/>
  <c r="L34" i="63723"/>
  <c r="P55" i="63723"/>
  <c r="N55" i="63723"/>
  <c r="Q4" i="63723"/>
  <c r="N49" i="63723"/>
  <c r="K43" i="63723"/>
  <c r="L43" i="63723" s="1"/>
  <c r="Q48" i="63723"/>
  <c r="Q49" i="63723" s="1"/>
  <c r="P43" i="63723"/>
  <c r="P49" i="63723"/>
  <c r="O45" i="63723"/>
  <c r="Q42" i="63723"/>
  <c r="O51" i="63723"/>
  <c r="R17" i="63723"/>
  <c r="M31" i="63723"/>
  <c r="L31" i="63723" s="1"/>
  <c r="L29" i="63723" s="1"/>
  <c r="F21" i="63723"/>
  <c r="L24" i="63723"/>
  <c r="L23" i="63723"/>
  <c r="L22" i="63723"/>
  <c r="L21" i="63723"/>
  <c r="N25" i="63723"/>
  <c r="O24" i="63723"/>
  <c r="O23" i="63723"/>
  <c r="O21" i="63723"/>
  <c r="N20" i="63723"/>
  <c r="K20" i="63723"/>
  <c r="O4" i="63723"/>
  <c r="L4" i="63723"/>
  <c r="I4" i="63723"/>
  <c r="F4" i="63723"/>
  <c r="C4" i="63723"/>
  <c r="O10" i="63723"/>
  <c r="O9" i="63723"/>
  <c r="L10" i="63723"/>
  <c r="L9" i="63723"/>
  <c r="I9" i="63723"/>
  <c r="F10" i="63723"/>
  <c r="F9" i="63723"/>
  <c r="C9" i="63723"/>
  <c r="N8" i="63723"/>
  <c r="O8" i="63723" s="1"/>
  <c r="K8" i="63723"/>
  <c r="L8" i="63723" s="1"/>
  <c r="H8" i="63723"/>
  <c r="I8" i="63723" s="1"/>
  <c r="E8" i="63723"/>
  <c r="F8" i="63723" s="1"/>
  <c r="B8" i="63723"/>
  <c r="C8" i="63723" s="1"/>
  <c r="N11" i="63723"/>
  <c r="N65" i="63723" s="1"/>
  <c r="K11" i="63723"/>
  <c r="K65" i="63723" s="1"/>
  <c r="N7" i="63723"/>
  <c r="K7" i="63723"/>
  <c r="H7" i="63723"/>
  <c r="E7" i="63723"/>
  <c r="B7" i="63723"/>
  <c r="D252" i="4"/>
  <c r="G252" i="4"/>
  <c r="G250" i="4"/>
  <c r="E250" i="4"/>
  <c r="D250" i="4"/>
  <c r="B250" i="4"/>
  <c r="N5" i="63723"/>
  <c r="N13" i="63723" s="1"/>
  <c r="K5" i="63723"/>
  <c r="K13" i="63723" s="1"/>
  <c r="H5" i="63723"/>
  <c r="E5" i="63723"/>
  <c r="E13" i="63723" s="1"/>
  <c r="B5" i="63723"/>
  <c r="D34" i="63723"/>
  <c r="C34" i="63723" s="1"/>
  <c r="G37" i="63723"/>
  <c r="G66" i="63723" s="1"/>
  <c r="G34" i="63723"/>
  <c r="F34" i="63723" s="1"/>
  <c r="D16" i="63723"/>
  <c r="D29" i="63723" s="1"/>
  <c r="D31" i="63723" s="1"/>
  <c r="D20" i="63723"/>
  <c r="B20" i="63723" s="1"/>
  <c r="G20" i="63723"/>
  <c r="E20" i="63723" s="1"/>
  <c r="G16" i="63723"/>
  <c r="G29" i="63723" s="1"/>
  <c r="G31" i="63723" s="1"/>
  <c r="D10" i="63723"/>
  <c r="C10" i="63723" s="1"/>
  <c r="D5" i="63723"/>
  <c r="G13" i="63723"/>
  <c r="G5" i="63723"/>
  <c r="J34" i="63723"/>
  <c r="I34" i="63723" s="1"/>
  <c r="J20" i="63723"/>
  <c r="H20" i="63723" s="1"/>
  <c r="J16" i="63723"/>
  <c r="J29" i="63723" s="1"/>
  <c r="J10" i="63723"/>
  <c r="J13" i="63723" s="1"/>
  <c r="J5" i="63723"/>
  <c r="M26" i="63723"/>
  <c r="M18" i="63723"/>
  <c r="K18" i="63723" s="1"/>
  <c r="K26" i="63723" s="1"/>
  <c r="M13" i="63723"/>
  <c r="M5" i="63723"/>
  <c r="P34" i="63723"/>
  <c r="O34" i="63723" s="1"/>
  <c r="P29" i="63723"/>
  <c r="P31" i="63723" s="1"/>
  <c r="P26" i="63723"/>
  <c r="S20" i="63723" s="1"/>
  <c r="P18" i="63723"/>
  <c r="P5" i="63723"/>
  <c r="K25" i="63723" l="1"/>
  <c r="K55" i="63723"/>
  <c r="Y17" i="63723"/>
  <c r="Z17" i="63723" s="1"/>
  <c r="M55" i="63723"/>
  <c r="D18" i="63723"/>
  <c r="E18" i="63723" s="1"/>
  <c r="E16" i="63723" s="1"/>
  <c r="G33" i="63723"/>
  <c r="G39" i="63723" s="1"/>
  <c r="H33" i="63723" s="1"/>
  <c r="U17" i="63723"/>
  <c r="G26" i="63723"/>
  <c r="J26" i="63723"/>
  <c r="D33" i="63723"/>
  <c r="D39" i="63723" s="1"/>
  <c r="E33" i="63723" s="1"/>
  <c r="D26" i="63723"/>
  <c r="J33" i="63723"/>
  <c r="J39" i="63723" s="1"/>
  <c r="K33" i="63723" s="1"/>
  <c r="P33" i="63723"/>
  <c r="P39" i="63723" s="1"/>
  <c r="Q3" i="63723"/>
  <c r="S7" i="63723"/>
  <c r="Q7" i="63723"/>
  <c r="O29" i="63723"/>
  <c r="Q29" i="63723"/>
  <c r="B251" i="4"/>
  <c r="B252" i="4" s="1"/>
  <c r="B37" i="63723" s="1"/>
  <c r="L18" i="63723"/>
  <c r="Q20" i="63723"/>
  <c r="S26" i="63723"/>
  <c r="L20" i="63723"/>
  <c r="K4" i="63723"/>
  <c r="N4" i="63723"/>
  <c r="O49" i="63723"/>
  <c r="Q55" i="63723"/>
  <c r="E251" i="4"/>
  <c r="E252" i="4" s="1"/>
  <c r="E37" i="63723" s="1"/>
  <c r="E66" i="63723" s="1"/>
  <c r="D13" i="63723"/>
  <c r="I10" i="63723"/>
  <c r="O7" i="63723"/>
  <c r="N12" i="63723"/>
  <c r="F7" i="63723"/>
  <c r="L7" i="63723"/>
  <c r="K12" i="63723"/>
  <c r="B13" i="63723"/>
  <c r="H13" i="63723"/>
  <c r="G18" i="63723"/>
  <c r="J31" i="63723"/>
  <c r="K31" i="63723" s="1"/>
  <c r="J18" i="63723"/>
  <c r="I18" i="63723" s="1"/>
  <c r="Q16" i="4"/>
  <c r="P16" i="4"/>
  <c r="N16" i="4"/>
  <c r="M16" i="4"/>
  <c r="K16" i="4"/>
  <c r="J16" i="4"/>
  <c r="H16" i="4"/>
  <c r="G16" i="4"/>
  <c r="E16" i="4"/>
  <c r="Q118" i="4"/>
  <c r="Q72" i="4"/>
  <c r="Q48" i="4"/>
  <c r="Q27" i="4"/>
  <c r="O251" i="4"/>
  <c r="O11" i="63723" s="1"/>
  <c r="O65" i="63723" s="1"/>
  <c r="P250" i="4"/>
  <c r="P252" i="4" s="1"/>
  <c r="O247" i="4"/>
  <c r="O54" i="63723" s="1"/>
  <c r="O55" i="63723" s="1"/>
  <c r="P245" i="4"/>
  <c r="N72" i="4"/>
  <c r="C31" i="63736" s="1"/>
  <c r="O72" i="4"/>
  <c r="D31" i="63736" s="1"/>
  <c r="N31" i="63736" s="1"/>
  <c r="E26" i="63723" l="1"/>
  <c r="F20" i="63723" s="1"/>
  <c r="X17" i="63723"/>
  <c r="AB17" i="63723"/>
  <c r="AA17" i="63723" s="1"/>
  <c r="C18" i="63723"/>
  <c r="C16" i="63723" s="1"/>
  <c r="F31" i="63736"/>
  <c r="T31" i="63736" s="1"/>
  <c r="V31" i="63736" s="1"/>
  <c r="H72" i="63736"/>
  <c r="Q29" i="4"/>
  <c r="T28" i="4"/>
  <c r="Q226" i="4"/>
  <c r="B33" i="63723"/>
  <c r="S12" i="63723"/>
  <c r="S13" i="63723" s="1"/>
  <c r="Q33" i="63723"/>
  <c r="S33" i="63723"/>
  <c r="S38" i="63723" s="1"/>
  <c r="K3" i="63723"/>
  <c r="C251" i="4"/>
  <c r="C11" i="63723" s="1"/>
  <c r="B4" i="63723" s="1"/>
  <c r="B3" i="63723" s="1"/>
  <c r="B11" i="63723"/>
  <c r="B12" i="63723" s="1"/>
  <c r="F251" i="4"/>
  <c r="F11" i="63723" s="1"/>
  <c r="I16" i="63723"/>
  <c r="I26" i="63723"/>
  <c r="L16" i="63723"/>
  <c r="L26" i="63723"/>
  <c r="L25" i="63723" s="1"/>
  <c r="Q12" i="63723"/>
  <c r="V20" i="63723"/>
  <c r="T20" i="63723"/>
  <c r="T26" i="63723" s="1"/>
  <c r="R11" i="63723"/>
  <c r="F18" i="63723"/>
  <c r="H18" i="63723"/>
  <c r="N3" i="63723"/>
  <c r="E25" i="63723"/>
  <c r="E11" i="63723"/>
  <c r="Q50" i="4"/>
  <c r="Q124" i="4"/>
  <c r="Q120" i="4"/>
  <c r="Q13" i="63724"/>
  <c r="Q12" i="63724" s="1"/>
  <c r="Q30" i="4"/>
  <c r="Q40" i="4" s="1"/>
  <c r="Q42" i="4" s="1"/>
  <c r="B30" i="63723"/>
  <c r="C37" i="63723"/>
  <c r="E30" i="63723"/>
  <c r="F37" i="63723"/>
  <c r="F66" i="63723" s="1"/>
  <c r="I7" i="63723"/>
  <c r="C7" i="63723"/>
  <c r="Q73" i="4"/>
  <c r="P248" i="4"/>
  <c r="P27" i="4"/>
  <c r="S28" i="4" s="1"/>
  <c r="O15" i="4"/>
  <c r="O17" i="4" s="1"/>
  <c r="O119" i="4"/>
  <c r="O117" i="4"/>
  <c r="P118" i="4"/>
  <c r="M219" i="4"/>
  <c r="J219" i="4"/>
  <c r="H219" i="4"/>
  <c r="G219" i="4"/>
  <c r="E219" i="4"/>
  <c r="D219" i="4"/>
  <c r="B219" i="4"/>
  <c r="P228" i="4"/>
  <c r="P227" i="4"/>
  <c r="P71" i="4"/>
  <c r="P70" i="4"/>
  <c r="P48" i="4"/>
  <c r="AA60" i="63731" s="1"/>
  <c r="T41" i="4" l="1"/>
  <c r="AC17" i="63723"/>
  <c r="V26" i="63723"/>
  <c r="W20" i="63723" s="1"/>
  <c r="W26" i="63723" s="1"/>
  <c r="B18" i="63723"/>
  <c r="B26" i="63723" s="1"/>
  <c r="C26" i="63723"/>
  <c r="AE17" i="63723"/>
  <c r="AF17" i="63723" s="1"/>
  <c r="H31" i="63736"/>
  <c r="W31" i="63736" s="1"/>
  <c r="Q33" i="4"/>
  <c r="T31" i="4"/>
  <c r="E65" i="63723"/>
  <c r="F65" i="63723"/>
  <c r="H26" i="63723"/>
  <c r="H16" i="63723"/>
  <c r="F26" i="63723"/>
  <c r="F25" i="63723" s="1"/>
  <c r="F16" i="63723"/>
  <c r="AA66" i="63731"/>
  <c r="U20" i="63723"/>
  <c r="U26" i="63723" s="1"/>
  <c r="U18" i="63723" s="1"/>
  <c r="U16" i="63723" s="1"/>
  <c r="T142" i="4"/>
  <c r="T18" i="63723"/>
  <c r="T16" i="63723" s="1"/>
  <c r="R4" i="63723"/>
  <c r="Q233" i="4"/>
  <c r="Q235" i="4" s="1"/>
  <c r="E4" i="63723"/>
  <c r="E12" i="63723"/>
  <c r="P29" i="4"/>
  <c r="P50" i="4"/>
  <c r="P124" i="4"/>
  <c r="R119" i="4"/>
  <c r="P226" i="4"/>
  <c r="P120" i="4"/>
  <c r="P13" i="63724"/>
  <c r="P12" i="63724" s="1"/>
  <c r="O14" i="63724"/>
  <c r="S245" i="4"/>
  <c r="R30" i="63723"/>
  <c r="P72" i="4"/>
  <c r="P74" i="4"/>
  <c r="P213" i="4"/>
  <c r="N218" i="4"/>
  <c r="N228" i="4"/>
  <c r="N227" i="4"/>
  <c r="N213" i="4"/>
  <c r="N250" i="4"/>
  <c r="N118" i="4"/>
  <c r="N48" i="4"/>
  <c r="N27" i="4"/>
  <c r="N29" i="4" s="1"/>
  <c r="L72" i="4"/>
  <c r="K72" i="4"/>
  <c r="M71" i="4"/>
  <c r="M70" i="4"/>
  <c r="J71" i="4"/>
  <c r="M228" i="4"/>
  <c r="M214" i="4"/>
  <c r="M48" i="4"/>
  <c r="Z60" i="63731" s="1"/>
  <c r="L119" i="4"/>
  <c r="L117" i="4"/>
  <c r="K118" i="4"/>
  <c r="M118" i="4"/>
  <c r="L247" i="4"/>
  <c r="L54" i="63723" s="1"/>
  <c r="L55" i="63723" s="1"/>
  <c r="L246" i="4"/>
  <c r="M248" i="4"/>
  <c r="J252" i="4"/>
  <c r="L253" i="4"/>
  <c r="L44" i="63723" s="1"/>
  <c r="L67" i="63723" s="1"/>
  <c r="K252" i="4"/>
  <c r="K37" i="63723" s="1"/>
  <c r="K66" i="63723" s="1"/>
  <c r="L251" i="4"/>
  <c r="L11" i="63723" s="1"/>
  <c r="L250" i="4"/>
  <c r="M252" i="4"/>
  <c r="M26" i="4"/>
  <c r="L15" i="4"/>
  <c r="L17" i="4" s="1"/>
  <c r="K248" i="4"/>
  <c r="J120" i="4"/>
  <c r="I118" i="4"/>
  <c r="I117" i="4"/>
  <c r="H120" i="4"/>
  <c r="F118" i="4"/>
  <c r="F117" i="4"/>
  <c r="G120" i="4"/>
  <c r="E120" i="4"/>
  <c r="K218" i="4"/>
  <c r="K214" i="4"/>
  <c r="K228" i="4"/>
  <c r="K227" i="4"/>
  <c r="K213" i="4"/>
  <c r="K48" i="4"/>
  <c r="K21" i="4"/>
  <c r="K27" i="4"/>
  <c r="J195" i="4"/>
  <c r="J196" i="4" s="1"/>
  <c r="J214" i="4"/>
  <c r="J228" i="4"/>
  <c r="J227" i="4"/>
  <c r="J70" i="4"/>
  <c r="G70" i="4"/>
  <c r="I52" i="4"/>
  <c r="J48" i="4"/>
  <c r="F36" i="4"/>
  <c r="F38" i="4" s="1"/>
  <c r="J30" i="4"/>
  <c r="I15" i="4"/>
  <c r="I17" i="4" s="1"/>
  <c r="H214" i="4"/>
  <c r="H213" i="4"/>
  <c r="H48" i="4"/>
  <c r="H36" i="4"/>
  <c r="H38" i="4" s="1"/>
  <c r="H30" i="4"/>
  <c r="G214" i="4"/>
  <c r="G195" i="4"/>
  <c r="G194" i="4"/>
  <c r="E72" i="4"/>
  <c r="G62" i="4"/>
  <c r="G52" i="4"/>
  <c r="E52" i="4"/>
  <c r="G48" i="4"/>
  <c r="G30" i="4"/>
  <c r="F15" i="4"/>
  <c r="F17" i="4" s="1"/>
  <c r="G9" i="4"/>
  <c r="E9" i="4"/>
  <c r="D214" i="4"/>
  <c r="W106" i="63731" s="1"/>
  <c r="E214" i="4"/>
  <c r="E61" i="4"/>
  <c r="E48" i="4"/>
  <c r="E30" i="4"/>
  <c r="D195" i="4"/>
  <c r="D194" i="4"/>
  <c r="D120" i="4"/>
  <c r="C118" i="4"/>
  <c r="C117" i="4"/>
  <c r="C72" i="4"/>
  <c r="B72" i="4"/>
  <c r="D71" i="4"/>
  <c r="D70" i="4"/>
  <c r="D48" i="4"/>
  <c r="C52" i="4"/>
  <c r="D30" i="4"/>
  <c r="D28" i="4"/>
  <c r="D25" i="4"/>
  <c r="D22" i="4"/>
  <c r="D19" i="4"/>
  <c r="C15" i="4"/>
  <c r="C17" i="4" s="1"/>
  <c r="D16" i="4"/>
  <c r="B48" i="4"/>
  <c r="B30" i="4"/>
  <c r="B28" i="4"/>
  <c r="B25" i="4"/>
  <c r="B22" i="4"/>
  <c r="B19" i="4"/>
  <c r="B16" i="4"/>
  <c r="D113" i="4"/>
  <c r="O176" i="4"/>
  <c r="O175" i="4"/>
  <c r="O174" i="4"/>
  <c r="O167" i="4"/>
  <c r="O165" i="4"/>
  <c r="O160" i="4"/>
  <c r="O159" i="4"/>
  <c r="O158" i="4"/>
  <c r="O156" i="4"/>
  <c r="O149" i="4"/>
  <c r="O147" i="4"/>
  <c r="O142" i="4"/>
  <c r="O140" i="4"/>
  <c r="O135" i="4"/>
  <c r="O134" i="4"/>
  <c r="O133" i="4"/>
  <c r="L176" i="4"/>
  <c r="L175" i="4"/>
  <c r="L174" i="4"/>
  <c r="L167" i="4"/>
  <c r="L165" i="4"/>
  <c r="L160" i="4"/>
  <c r="L159" i="4"/>
  <c r="L158" i="4"/>
  <c r="L156" i="4"/>
  <c r="L149" i="4"/>
  <c r="L147" i="4"/>
  <c r="L146" i="4"/>
  <c r="L142" i="4"/>
  <c r="L140" i="4"/>
  <c r="L135" i="4"/>
  <c r="L134" i="4"/>
  <c r="L133" i="4"/>
  <c r="I176" i="4"/>
  <c r="I175" i="4"/>
  <c r="I174" i="4"/>
  <c r="I167" i="4"/>
  <c r="I165" i="4"/>
  <c r="I160" i="4"/>
  <c r="I159" i="4"/>
  <c r="I158" i="4"/>
  <c r="I156" i="4"/>
  <c r="I149" i="4"/>
  <c r="I147" i="4"/>
  <c r="I146" i="4"/>
  <c r="I142" i="4"/>
  <c r="I140" i="4"/>
  <c r="I135" i="4"/>
  <c r="I134" i="4"/>
  <c r="I133" i="4"/>
  <c r="F176" i="4"/>
  <c r="F175" i="4"/>
  <c r="F174" i="4"/>
  <c r="F167" i="4"/>
  <c r="F165" i="4"/>
  <c r="F160" i="4"/>
  <c r="F159" i="4"/>
  <c r="F158" i="4"/>
  <c r="F156" i="4"/>
  <c r="F149" i="4"/>
  <c r="F147" i="4"/>
  <c r="F146" i="4"/>
  <c r="F142" i="4"/>
  <c r="F140" i="4"/>
  <c r="F135" i="4"/>
  <c r="F134" i="4"/>
  <c r="F133" i="4"/>
  <c r="C176" i="4"/>
  <c r="C175" i="4"/>
  <c r="C174" i="4"/>
  <c r="C167" i="4"/>
  <c r="C165" i="4"/>
  <c r="C10" i="63724" s="1"/>
  <c r="C160" i="4"/>
  <c r="C159" i="4"/>
  <c r="C158" i="4"/>
  <c r="C156" i="4"/>
  <c r="C149" i="4"/>
  <c r="C147" i="4"/>
  <c r="C146" i="4"/>
  <c r="C142" i="4"/>
  <c r="C140" i="4"/>
  <c r="C5" i="63723" s="1"/>
  <c r="C135" i="4"/>
  <c r="C134" i="4"/>
  <c r="C133" i="4"/>
  <c r="C15" i="63724" s="1"/>
  <c r="C110" i="4"/>
  <c r="C106" i="4"/>
  <c r="C105" i="4"/>
  <c r="C104" i="4"/>
  <c r="C99" i="4"/>
  <c r="C98" i="4"/>
  <c r="C97" i="4"/>
  <c r="C96" i="4"/>
  <c r="C94" i="4"/>
  <c r="C91" i="4"/>
  <c r="F110" i="4"/>
  <c r="F106" i="4"/>
  <c r="F105" i="4"/>
  <c r="F104" i="4"/>
  <c r="F99" i="4"/>
  <c r="F98" i="4"/>
  <c r="F97" i="4"/>
  <c r="F96" i="4"/>
  <c r="F94" i="4"/>
  <c r="F91" i="4"/>
  <c r="B88" i="4"/>
  <c r="H37" i="4" l="1"/>
  <c r="K37" i="4"/>
  <c r="F239" i="4"/>
  <c r="V18" i="63723"/>
  <c r="AH17" i="63723"/>
  <c r="AD17" i="63723"/>
  <c r="B16" i="63723"/>
  <c r="V142" i="4"/>
  <c r="D40" i="4"/>
  <c r="D42" i="4" s="1"/>
  <c r="G33" i="4"/>
  <c r="G81" i="4" s="1"/>
  <c r="G40" i="4"/>
  <c r="H239" i="4"/>
  <c r="H40" i="4"/>
  <c r="J33" i="4"/>
  <c r="J81" i="4" s="1"/>
  <c r="J40" i="4"/>
  <c r="J42" i="4" s="1"/>
  <c r="W18" i="63723"/>
  <c r="W16" i="63723" s="1"/>
  <c r="W142" i="4"/>
  <c r="X20" i="63723"/>
  <c r="X26" i="63723" s="1"/>
  <c r="X18" i="63723" s="1"/>
  <c r="X16" i="63723" s="1"/>
  <c r="Y20" i="63723"/>
  <c r="Y26" i="63723" s="1"/>
  <c r="R31" i="63736"/>
  <c r="Q81" i="4"/>
  <c r="Q123" i="4"/>
  <c r="F14" i="63736"/>
  <c r="T14" i="63736" s="1"/>
  <c r="Q183" i="4"/>
  <c r="Y60" i="63731"/>
  <c r="Y66" i="63731" s="1"/>
  <c r="H33" i="4"/>
  <c r="H183" i="4" s="1"/>
  <c r="H32" i="4"/>
  <c r="T144" i="4"/>
  <c r="T39" i="63723" s="1"/>
  <c r="G196" i="4"/>
  <c r="D196" i="4"/>
  <c r="E73" i="4"/>
  <c r="L65" i="63723"/>
  <c r="I114" i="4"/>
  <c r="F114" i="4"/>
  <c r="Y106" i="63731"/>
  <c r="E31" i="63736"/>
  <c r="P31" i="63736" s="1"/>
  <c r="AA105" i="63731"/>
  <c r="AA107" i="63731" s="1"/>
  <c r="L114" i="4"/>
  <c r="O114" i="4"/>
  <c r="D35" i="63736" s="1"/>
  <c r="Z66" i="63731"/>
  <c r="I20" i="63723"/>
  <c r="I25" i="63723" s="1"/>
  <c r="H25" i="63723"/>
  <c r="X106" i="63731"/>
  <c r="C114" i="4"/>
  <c r="Z106" i="63731"/>
  <c r="C20" i="63723"/>
  <c r="C25" i="63723" s="1"/>
  <c r="B25" i="63723"/>
  <c r="F189" i="4"/>
  <c r="I189" i="4"/>
  <c r="L189" i="4"/>
  <c r="C189" i="4"/>
  <c r="O189" i="4"/>
  <c r="AA59" i="63731"/>
  <c r="AA67" i="63731" s="1"/>
  <c r="S246" i="4"/>
  <c r="B233" i="4"/>
  <c r="B235" i="4" s="1"/>
  <c r="B241" i="4" s="1"/>
  <c r="B242" i="4" s="1"/>
  <c r="B33" i="4"/>
  <c r="B81" i="4" s="1"/>
  <c r="D233" i="4"/>
  <c r="D235" i="4" s="1"/>
  <c r="D241" i="4" s="1"/>
  <c r="D242" i="4" s="1"/>
  <c r="D33" i="4"/>
  <c r="D123" i="4" s="1"/>
  <c r="E233" i="4"/>
  <c r="E235" i="4" s="1"/>
  <c r="E33" i="4"/>
  <c r="J31" i="4"/>
  <c r="J233" i="4"/>
  <c r="J235" i="4" s="1"/>
  <c r="G31" i="4"/>
  <c r="G233" i="4"/>
  <c r="G235" i="4" s="1"/>
  <c r="J213" i="4"/>
  <c r="E3" i="63723"/>
  <c r="H233" i="4"/>
  <c r="H235" i="4" s="1"/>
  <c r="H31" i="4"/>
  <c r="Q236" i="4"/>
  <c r="M50" i="4"/>
  <c r="M124" i="4"/>
  <c r="O15" i="63724"/>
  <c r="B224" i="4"/>
  <c r="B125" i="4"/>
  <c r="B124" i="4"/>
  <c r="B50" i="4"/>
  <c r="E124" i="4"/>
  <c r="E50" i="4"/>
  <c r="G50" i="4"/>
  <c r="G77" i="4" s="1"/>
  <c r="G124" i="4"/>
  <c r="J50" i="4"/>
  <c r="Y59" i="63731" s="1"/>
  <c r="J124" i="4"/>
  <c r="K29" i="4"/>
  <c r="D50" i="4"/>
  <c r="D124" i="4"/>
  <c r="K23" i="4"/>
  <c r="N124" i="4"/>
  <c r="N50" i="4"/>
  <c r="H50" i="4"/>
  <c r="H124" i="4"/>
  <c r="K50" i="4"/>
  <c r="K124" i="4"/>
  <c r="M20" i="4"/>
  <c r="I9" i="63724"/>
  <c r="I7" i="63724"/>
  <c r="I6" i="63724" s="1"/>
  <c r="L5" i="63723"/>
  <c r="F250" i="4"/>
  <c r="F252" i="4" s="1"/>
  <c r="N13" i="63724"/>
  <c r="N12" i="63724" s="1"/>
  <c r="C13" i="63723"/>
  <c r="C12" i="63723" s="1"/>
  <c r="C3" i="63723"/>
  <c r="L9" i="63724"/>
  <c r="L7" i="63724"/>
  <c r="L6" i="63724" s="1"/>
  <c r="L10" i="63724"/>
  <c r="O5" i="63723"/>
  <c r="O9" i="63724"/>
  <c r="O7" i="63724"/>
  <c r="O6" i="63724" s="1"/>
  <c r="O10" i="63724"/>
  <c r="J226" i="4"/>
  <c r="K219" i="4"/>
  <c r="F13" i="63724"/>
  <c r="M120" i="4"/>
  <c r="M13" i="63724"/>
  <c r="M12" i="63724" s="1"/>
  <c r="M226" i="4"/>
  <c r="I10" i="63724"/>
  <c r="I13" i="63724"/>
  <c r="C9" i="63724"/>
  <c r="C7" i="63724"/>
  <c r="C12" i="63724" s="1"/>
  <c r="F5" i="63723"/>
  <c r="O18" i="63723"/>
  <c r="G61" i="4"/>
  <c r="I36" i="4"/>
  <c r="H250" i="4"/>
  <c r="H251" i="4" s="1"/>
  <c r="I16" i="4"/>
  <c r="K30" i="63723"/>
  <c r="L37" i="63723"/>
  <c r="L66" i="63723" s="1"/>
  <c r="K120" i="4"/>
  <c r="K13" i="63724"/>
  <c r="K12" i="63724" s="1"/>
  <c r="L62" i="4"/>
  <c r="Q28" i="4"/>
  <c r="N219" i="4"/>
  <c r="R106" i="4"/>
  <c r="K226" i="4"/>
  <c r="F14" i="63724"/>
  <c r="F15" i="63724" s="1"/>
  <c r="F9" i="63724"/>
  <c r="F7" i="63724"/>
  <c r="F6" i="63724" s="1"/>
  <c r="F10" i="63724"/>
  <c r="I5" i="63723"/>
  <c r="F16" i="4"/>
  <c r="I14" i="63724"/>
  <c r="I15" i="63724" s="1"/>
  <c r="L16" i="4"/>
  <c r="L45" i="63723"/>
  <c r="L14" i="63724"/>
  <c r="L15" i="63724" s="1"/>
  <c r="N226" i="4"/>
  <c r="O16" i="4"/>
  <c r="O213" i="4"/>
  <c r="F48" i="4"/>
  <c r="F50" i="4" s="1"/>
  <c r="O73" i="4"/>
  <c r="M72" i="4"/>
  <c r="N120" i="4"/>
  <c r="O118" i="4"/>
  <c r="L252" i="4"/>
  <c r="N73" i="4"/>
  <c r="N246" i="4"/>
  <c r="L248" i="4"/>
  <c r="D74" i="4"/>
  <c r="C120" i="4"/>
  <c r="K30" i="4"/>
  <c r="K40" i="4" s="1"/>
  <c r="I120" i="4"/>
  <c r="E31" i="4"/>
  <c r="L118" i="4"/>
  <c r="O178" i="4"/>
  <c r="C178" i="4"/>
  <c r="F120" i="4"/>
  <c r="F178" i="4"/>
  <c r="I178" i="4"/>
  <c r="L178" i="4"/>
  <c r="I110" i="4"/>
  <c r="I106" i="4"/>
  <c r="I105" i="4"/>
  <c r="I104" i="4"/>
  <c r="I99" i="4"/>
  <c r="I98" i="4"/>
  <c r="I97" i="4"/>
  <c r="I96" i="4"/>
  <c r="I94" i="4"/>
  <c r="I91" i="4"/>
  <c r="L110" i="4"/>
  <c r="L106" i="4"/>
  <c r="L245" i="4" s="1"/>
  <c r="L105" i="4"/>
  <c r="L104" i="4"/>
  <c r="L100" i="4"/>
  <c r="L99" i="4"/>
  <c r="L98" i="4"/>
  <c r="L97" i="4"/>
  <c r="L96" i="4"/>
  <c r="L94" i="4"/>
  <c r="L91" i="4"/>
  <c r="O110" i="4"/>
  <c r="O106" i="4"/>
  <c r="O245" i="4" s="1"/>
  <c r="O105" i="4"/>
  <c r="O104" i="4"/>
  <c r="O99" i="4"/>
  <c r="O98" i="4"/>
  <c r="O97" i="4"/>
  <c r="O96" i="4"/>
  <c r="O91" i="4"/>
  <c r="K88" i="4"/>
  <c r="M83" i="4"/>
  <c r="N88" i="4"/>
  <c r="P94" i="4"/>
  <c r="K41" i="4" l="1"/>
  <c r="K42" i="4"/>
  <c r="G41" i="4"/>
  <c r="G42" i="4"/>
  <c r="I37" i="4"/>
  <c r="I38" i="4"/>
  <c r="H41" i="4"/>
  <c r="H42" i="4"/>
  <c r="J41" i="4"/>
  <c r="Z20" i="63723"/>
  <c r="Z26" i="63723" s="1"/>
  <c r="Z18" i="63723" s="1"/>
  <c r="Z16" i="63723" s="1"/>
  <c r="AB20" i="63723"/>
  <c r="AB26" i="63723" s="1"/>
  <c r="AE20" i="63723" s="1"/>
  <c r="AE26" i="63723" s="1"/>
  <c r="AF20" i="63723" s="1"/>
  <c r="AF26" i="63723" s="1"/>
  <c r="AG17" i="63723"/>
  <c r="AI17" i="63723"/>
  <c r="I12" i="63724"/>
  <c r="G183" i="4"/>
  <c r="G123" i="4"/>
  <c r="U142" i="4"/>
  <c r="AK17" i="63723"/>
  <c r="AJ17" i="63723" s="1"/>
  <c r="Y142" i="4"/>
  <c r="J123" i="4"/>
  <c r="J183" i="4"/>
  <c r="I239" i="4"/>
  <c r="W144" i="4"/>
  <c r="W39" i="63723" s="1"/>
  <c r="G14" i="63736"/>
  <c r="V14" i="63736" s="1"/>
  <c r="H81" i="4"/>
  <c r="Y67" i="63731"/>
  <c r="K33" i="4"/>
  <c r="K183" i="4" s="1"/>
  <c r="K32" i="4"/>
  <c r="B236" i="4"/>
  <c r="E237" i="4"/>
  <c r="D36" i="63736"/>
  <c r="N36" i="63736" s="1"/>
  <c r="N35" i="63736"/>
  <c r="P73" i="4"/>
  <c r="Z105" i="63731"/>
  <c r="Z107" i="63731" s="1"/>
  <c r="E33" i="63736"/>
  <c r="P33" i="63736" s="1"/>
  <c r="D34" i="63736"/>
  <c r="N34" i="63736" s="1"/>
  <c r="M52" i="4"/>
  <c r="Z59" i="63731"/>
  <c r="E236" i="4"/>
  <c r="D81" i="4"/>
  <c r="D183" i="4"/>
  <c r="R245" i="4"/>
  <c r="E81" i="4"/>
  <c r="E183" i="4"/>
  <c r="S248" i="4"/>
  <c r="S253" i="4"/>
  <c r="D236" i="4"/>
  <c r="E241" i="4"/>
  <c r="E242" i="4" s="1"/>
  <c r="I213" i="4"/>
  <c r="H241" i="4"/>
  <c r="H236" i="4"/>
  <c r="H237" i="4"/>
  <c r="G241" i="4"/>
  <c r="G236" i="4"/>
  <c r="G237" i="4"/>
  <c r="K31" i="4"/>
  <c r="K233" i="4"/>
  <c r="K235" i="4" s="1"/>
  <c r="N239" i="4"/>
  <c r="Q246" i="4"/>
  <c r="Q239" i="4" s="1"/>
  <c r="Q241" i="4" s="1"/>
  <c r="J241" i="4"/>
  <c r="J236" i="4"/>
  <c r="J237" i="4"/>
  <c r="N224" i="4"/>
  <c r="N125" i="4"/>
  <c r="K224" i="4"/>
  <c r="K125" i="4"/>
  <c r="F12" i="63724"/>
  <c r="O94" i="4"/>
  <c r="I250" i="4"/>
  <c r="N225" i="4"/>
  <c r="L120" i="4"/>
  <c r="L13" i="63724"/>
  <c r="L12" i="63724" s="1"/>
  <c r="G57" i="4"/>
  <c r="I13" i="63723"/>
  <c r="I3" i="63723"/>
  <c r="O120" i="4"/>
  <c r="O13" i="63724"/>
  <c r="O12" i="63724" s="1"/>
  <c r="H252" i="4"/>
  <c r="H37" i="63723" s="1"/>
  <c r="H66" i="63723" s="1"/>
  <c r="H11" i="63723"/>
  <c r="I251" i="4"/>
  <c r="O3" i="63723"/>
  <c r="O13" i="63723"/>
  <c r="O12" i="63723" s="1"/>
  <c r="F3" i="63723"/>
  <c r="F13" i="63723"/>
  <c r="F12" i="63723" s="1"/>
  <c r="L50" i="63723"/>
  <c r="K225" i="4"/>
  <c r="O50" i="63723"/>
  <c r="N248" i="4"/>
  <c r="K29" i="63723"/>
  <c r="O16" i="63723"/>
  <c r="O26" i="63723"/>
  <c r="L3" i="63723"/>
  <c r="L13" i="63723"/>
  <c r="L12" i="63723" s="1"/>
  <c r="G53" i="4"/>
  <c r="O246" i="4"/>
  <c r="O248" i="4" s="1"/>
  <c r="N253" i="4"/>
  <c r="N44" i="63723" s="1"/>
  <c r="N67" i="63723" s="1"/>
  <c r="B57" i="4"/>
  <c r="B58" i="4" s="1"/>
  <c r="B64" i="4" s="1"/>
  <c r="B77" i="4"/>
  <c r="B53" i="4"/>
  <c r="D144" i="4"/>
  <c r="C144" i="4" s="1"/>
  <c r="E168" i="4"/>
  <c r="G144" i="4"/>
  <c r="H142" i="4"/>
  <c r="J144" i="4"/>
  <c r="K168" i="4"/>
  <c r="K161" i="4"/>
  <c r="K142" i="4"/>
  <c r="M144" i="4"/>
  <c r="Q142" i="4"/>
  <c r="Q144" i="4" s="1"/>
  <c r="P144" i="4"/>
  <c r="Q149" i="4"/>
  <c r="Q168" i="4"/>
  <c r="Q161" i="4"/>
  <c r="Q147" i="4"/>
  <c r="Q178" i="4"/>
  <c r="Q146" i="4"/>
  <c r="Q137" i="4"/>
  <c r="Q103" i="4"/>
  <c r="Q101" i="4"/>
  <c r="Q83" i="4"/>
  <c r="Q88" i="4"/>
  <c r="Q25" i="4"/>
  <c r="Q19" i="4"/>
  <c r="Q9" i="4"/>
  <c r="Q112" i="4" l="1"/>
  <c r="Q115" i="4" s="1"/>
  <c r="Z142" i="4"/>
  <c r="AA20" i="63723"/>
  <c r="AA26" i="63723" s="1"/>
  <c r="AA18" i="63723" s="1"/>
  <c r="AA16" i="63723" s="1"/>
  <c r="X142" i="4"/>
  <c r="F48" i="63743" a="1"/>
  <c r="F48" i="63743" s="1"/>
  <c r="AN17" i="63723"/>
  <c r="AQ17" i="63723" s="1"/>
  <c r="AT17" i="63723" s="1"/>
  <c r="AW17" i="63723" s="1"/>
  <c r="AZ17" i="63723" s="1"/>
  <c r="BC17" i="63723" s="1"/>
  <c r="BF17" i="63723" s="1"/>
  <c r="BI17" i="63723" s="1"/>
  <c r="AF142" i="4"/>
  <c r="AF18" i="63723"/>
  <c r="AF16" i="63723" s="1"/>
  <c r="AG20" i="63723"/>
  <c r="AG26" i="63723" s="1"/>
  <c r="AG18" i="63723" s="1"/>
  <c r="AG16" i="63723" s="1"/>
  <c r="AB142" i="4"/>
  <c r="AA142" i="4" s="1"/>
  <c r="AC20" i="63723"/>
  <c r="AC26" i="63723" s="1"/>
  <c r="Q14" i="63736"/>
  <c r="K81" i="4"/>
  <c r="Q225" i="4"/>
  <c r="Q224" i="4"/>
  <c r="S44" i="63723"/>
  <c r="R44" i="63723" s="1"/>
  <c r="Q216" i="4"/>
  <c r="Q230" i="4"/>
  <c r="H65" i="63723"/>
  <c r="D33" i="63736"/>
  <c r="N33" i="63736" s="1"/>
  <c r="AH20" i="63723"/>
  <c r="AH26" i="63723" s="1"/>
  <c r="AI20" i="63723" s="1"/>
  <c r="AI26" i="63723" s="1"/>
  <c r="AE142" i="4"/>
  <c r="AE18" i="63723"/>
  <c r="AE16" i="63723" s="1"/>
  <c r="E243" i="4"/>
  <c r="Z65" i="63731"/>
  <c r="Z67" i="63731" s="1"/>
  <c r="R246" i="4"/>
  <c r="R248" i="4" s="1"/>
  <c r="J243" i="4"/>
  <c r="J242" i="4"/>
  <c r="H242" i="4"/>
  <c r="H243" i="4"/>
  <c r="Q242" i="4"/>
  <c r="G243" i="4"/>
  <c r="G242" i="4"/>
  <c r="K241" i="4"/>
  <c r="K236" i="4"/>
  <c r="K237" i="4"/>
  <c r="Q125" i="4"/>
  <c r="O144" i="4"/>
  <c r="O39" i="63723" s="1"/>
  <c r="Q162" i="4"/>
  <c r="Q18" i="63723"/>
  <c r="I37" i="63723"/>
  <c r="I66" i="63723" s="1"/>
  <c r="H30" i="63723"/>
  <c r="F144" i="4"/>
  <c r="Q169" i="4"/>
  <c r="C151" i="4"/>
  <c r="C39" i="63723"/>
  <c r="C31" i="63723"/>
  <c r="C29" i="63723" s="1"/>
  <c r="Q248" i="4"/>
  <c r="Q253" i="4"/>
  <c r="H4" i="63723"/>
  <c r="H12" i="63723"/>
  <c r="T146" i="4"/>
  <c r="W146" i="4" s="1"/>
  <c r="Z146" i="4" s="1"/>
  <c r="AC146" i="4" s="1"/>
  <c r="AF146" i="4" s="1"/>
  <c r="AI146" i="4" s="1"/>
  <c r="I144" i="4"/>
  <c r="N43" i="63723"/>
  <c r="O43" i="63723" s="1"/>
  <c r="Q108" i="4"/>
  <c r="R103" i="4"/>
  <c r="Q199" i="4"/>
  <c r="H144" i="4"/>
  <c r="I252" i="4"/>
  <c r="I11" i="63723"/>
  <c r="I65" i="63723" s="1"/>
  <c r="O253" i="4"/>
  <c r="O44" i="63723" s="1"/>
  <c r="N252" i="4"/>
  <c r="M151" i="4"/>
  <c r="L144" i="4"/>
  <c r="L151" i="4" s="1"/>
  <c r="B120" i="4"/>
  <c r="AT228" i="4"/>
  <c r="AT100" i="4"/>
  <c r="AQ228" i="4"/>
  <c r="AQ100" i="4"/>
  <c r="Z144" i="4" l="1"/>
  <c r="AI142" i="4"/>
  <c r="AJ20" i="63723"/>
  <c r="AJ26" i="63723" s="1"/>
  <c r="AJ18" i="63723" s="1"/>
  <c r="AJ16" i="63723" s="1"/>
  <c r="AI18" i="63723"/>
  <c r="AI16" i="63723" s="1"/>
  <c r="G48" i="63743" a="1"/>
  <c r="G48" i="63743" s="1"/>
  <c r="AD142" i="4"/>
  <c r="H48" i="63743" a="1"/>
  <c r="H48" i="63743" s="1"/>
  <c r="AC142" i="4"/>
  <c r="AC144" i="4" s="1"/>
  <c r="AC18" i="63723"/>
  <c r="AC16" i="63723" s="1"/>
  <c r="AD20" i="63723"/>
  <c r="AD26" i="63723" s="1"/>
  <c r="AD18" i="63723" s="1"/>
  <c r="AD16" i="63723" s="1"/>
  <c r="W151" i="4"/>
  <c r="Q217" i="4"/>
  <c r="S43" i="63723"/>
  <c r="O67" i="63723"/>
  <c r="AK20" i="63723"/>
  <c r="AK26" i="63723" s="1"/>
  <c r="AH142" i="4"/>
  <c r="AH18" i="63723"/>
  <c r="AH16" i="63723" s="1"/>
  <c r="I12" i="63723"/>
  <c r="R253" i="4"/>
  <c r="K243" i="4"/>
  <c r="K242" i="4"/>
  <c r="I151" i="4"/>
  <c r="I39" i="63723"/>
  <c r="I31" i="63723"/>
  <c r="I29" i="63723" s="1"/>
  <c r="Q67" i="63723"/>
  <c r="Q252" i="4"/>
  <c r="Q37" i="63723" s="1"/>
  <c r="Q26" i="63723"/>
  <c r="R20" i="63723" s="1"/>
  <c r="R26" i="63723" s="1"/>
  <c r="R18" i="63723" s="1"/>
  <c r="R16" i="63723" s="1"/>
  <c r="Q16" i="63723"/>
  <c r="O252" i="4"/>
  <c r="N37" i="63723"/>
  <c r="H39" i="63723"/>
  <c r="H31" i="63723"/>
  <c r="H29" i="63723" s="1"/>
  <c r="Q31" i="63723"/>
  <c r="Q30" i="63723" s="1"/>
  <c r="L39" i="63723"/>
  <c r="H3" i="63723"/>
  <c r="F151" i="4"/>
  <c r="F39" i="63723"/>
  <c r="F31" i="63723"/>
  <c r="F29" i="63723" s="1"/>
  <c r="Q109" i="4"/>
  <c r="Q171" i="4"/>
  <c r="Q151" i="4"/>
  <c r="O31" i="63723"/>
  <c r="O30" i="63723" s="1"/>
  <c r="AG142" i="4" l="1"/>
  <c r="I48" i="63743" a="1"/>
  <c r="I48" i="63743" s="1"/>
  <c r="O37" i="63723"/>
  <c r="O66" i="63723" s="1"/>
  <c r="N66" i="63723"/>
  <c r="R37" i="63723"/>
  <c r="Q66" i="63723"/>
  <c r="AN20" i="63723"/>
  <c r="AN26" i="63723" s="1"/>
  <c r="AK142" i="4"/>
  <c r="AJ142" i="4" s="1"/>
  <c r="AK18" i="63723"/>
  <c r="AK16" i="63723" s="1"/>
  <c r="Q185" i="4"/>
  <c r="Q39" i="63723"/>
  <c r="Q38" i="63723" s="1"/>
  <c r="Q22" i="63723"/>
  <c r="Q153" i="4"/>
  <c r="I33" i="63723"/>
  <c r="I38" i="63723" s="1"/>
  <c r="H38" i="63723"/>
  <c r="Q43" i="63723"/>
  <c r="AQ20" i="63723" l="1"/>
  <c r="AQ26" i="63723" s="1"/>
  <c r="AN142" i="4"/>
  <c r="AN18" i="63723"/>
  <c r="AN16" i="63723" s="1"/>
  <c r="J15" i="63736"/>
  <c r="R33" i="63723"/>
  <c r="Q179" i="4"/>
  <c r="Q184" i="4"/>
  <c r="P168" i="4"/>
  <c r="M168" i="4"/>
  <c r="P161" i="4"/>
  <c r="M161" i="4"/>
  <c r="P136" i="4"/>
  <c r="P103" i="4"/>
  <c r="P88" i="4"/>
  <c r="P83" i="4"/>
  <c r="M60" i="4"/>
  <c r="P19" i="4"/>
  <c r="P25" i="4"/>
  <c r="O36" i="4"/>
  <c r="O38" i="4" s="1"/>
  <c r="L36" i="4"/>
  <c r="P21" i="4"/>
  <c r="M21" i="4"/>
  <c r="O24" i="4"/>
  <c r="O26" i="4" s="1"/>
  <c r="O18" i="4"/>
  <c r="O8" i="4"/>
  <c r="M8" i="4"/>
  <c r="L37" i="4" l="1"/>
  <c r="L38" i="4"/>
  <c r="O37" i="4"/>
  <c r="P23" i="4"/>
  <c r="S22" i="4"/>
  <c r="O239" i="4"/>
  <c r="D15" i="63736"/>
  <c r="N15" i="63736" s="1"/>
  <c r="AT20" i="63723"/>
  <c r="AT26" i="63723" s="1"/>
  <c r="AW20" i="63723" s="1"/>
  <c r="AW26" i="63723" s="1"/>
  <c r="AZ20" i="63723" s="1"/>
  <c r="AZ26" i="63723" s="1"/>
  <c r="AZ142" i="4" s="1"/>
  <c r="AQ142" i="4"/>
  <c r="J48" i="63743" s="1" a="1"/>
  <c r="J48" i="63743" s="1"/>
  <c r="AQ18" i="63723"/>
  <c r="AQ16" i="63723" s="1"/>
  <c r="AB62" i="63731"/>
  <c r="S89" i="4"/>
  <c r="Q89" i="4"/>
  <c r="S250" i="4"/>
  <c r="S252" i="4" s="1"/>
  <c r="S239" i="4"/>
  <c r="L239" i="4"/>
  <c r="M195" i="4"/>
  <c r="M194" i="4"/>
  <c r="M11" i="4"/>
  <c r="M23" i="4"/>
  <c r="P224" i="4"/>
  <c r="P125" i="4"/>
  <c r="O11" i="4"/>
  <c r="O20" i="4"/>
  <c r="O168" i="4"/>
  <c r="O250" i="4"/>
  <c r="L161" i="4"/>
  <c r="O136" i="4"/>
  <c r="O161" i="4"/>
  <c r="P30" i="4"/>
  <c r="L168" i="4"/>
  <c r="R36" i="4"/>
  <c r="P53" i="4"/>
  <c r="P57" i="4"/>
  <c r="E28" i="63736" s="1"/>
  <c r="P77" i="4"/>
  <c r="O88" i="4"/>
  <c r="P225" i="4"/>
  <c r="L60" i="4"/>
  <c r="M61" i="4"/>
  <c r="O27" i="4"/>
  <c r="P22" i="4"/>
  <c r="R37" i="4" l="1"/>
  <c r="P40" i="4"/>
  <c r="P42" i="4" s="1"/>
  <c r="U109" i="63736"/>
  <c r="J109" i="63736" s="1"/>
  <c r="AZ18" i="63723"/>
  <c r="AZ16" i="63723" s="1"/>
  <c r="BC20" i="63723"/>
  <c r="BC26" i="63723" s="1"/>
  <c r="BF20" i="63723" s="1"/>
  <c r="BF26" i="63723" s="1"/>
  <c r="BI20" i="63723" s="1"/>
  <c r="BI26" i="63723" s="1"/>
  <c r="S31" i="4"/>
  <c r="P33" i="4"/>
  <c r="J28" i="63736"/>
  <c r="P28" i="63736"/>
  <c r="AW18" i="63723"/>
  <c r="AW16" i="63723" s="1"/>
  <c r="AW142" i="4"/>
  <c r="M196" i="4"/>
  <c r="AT142" i="4"/>
  <c r="AT18" i="63723"/>
  <c r="AT16" i="63723" s="1"/>
  <c r="E22" i="63736"/>
  <c r="I15" i="63736"/>
  <c r="M30" i="4"/>
  <c r="R250" i="4"/>
  <c r="R252" i="4" s="1"/>
  <c r="R239" i="4"/>
  <c r="R148" i="4"/>
  <c r="P233" i="4"/>
  <c r="P235" i="4" s="1"/>
  <c r="M13" i="4"/>
  <c r="O13" i="4"/>
  <c r="D26" i="63736" s="1"/>
  <c r="O29" i="4"/>
  <c r="L169" i="4"/>
  <c r="O162" i="4"/>
  <c r="L162" i="4"/>
  <c r="R88" i="4"/>
  <c r="O137" i="4"/>
  <c r="O169" i="4"/>
  <c r="P75" i="4"/>
  <c r="P207" i="4"/>
  <c r="P63" i="4"/>
  <c r="E24" i="63736" s="1"/>
  <c r="P24" i="63736" s="1"/>
  <c r="L61" i="4"/>
  <c r="S41" i="4" l="1"/>
  <c r="BI18" i="63723"/>
  <c r="BI16" i="63723" s="1"/>
  <c r="BI142" i="4"/>
  <c r="BF18" i="63723"/>
  <c r="BF16" i="63723" s="1"/>
  <c r="BF142" i="4"/>
  <c r="M27" i="4"/>
  <c r="P28" i="4" s="1"/>
  <c r="M40" i="4"/>
  <c r="P183" i="4"/>
  <c r="P123" i="4"/>
  <c r="P81" i="4"/>
  <c r="E14" i="63736"/>
  <c r="P14" i="63736" s="1"/>
  <c r="BC18" i="63723"/>
  <c r="BC16" i="63723" s="1"/>
  <c r="BC142" i="4"/>
  <c r="N26" i="63736"/>
  <c r="I26" i="63736"/>
  <c r="E23" i="63736"/>
  <c r="P23" i="63736" s="1"/>
  <c r="P22" i="63736"/>
  <c r="P31" i="4"/>
  <c r="M233" i="4"/>
  <c r="M235" i="4" s="1"/>
  <c r="M236" i="4" s="1"/>
  <c r="M31" i="4"/>
  <c r="M81" i="4"/>
  <c r="M123" i="4"/>
  <c r="P236" i="4"/>
  <c r="P241" i="4"/>
  <c r="P242" i="4" s="1"/>
  <c r="L171" i="4"/>
  <c r="P64" i="4"/>
  <c r="O171" i="4"/>
  <c r="P209" i="4"/>
  <c r="P210" i="4"/>
  <c r="P215" i="4"/>
  <c r="M227" i="4"/>
  <c r="L52" i="4"/>
  <c r="M41" i="4" l="1"/>
  <c r="M42" i="4"/>
  <c r="P41" i="4"/>
  <c r="M29" i="4"/>
  <c r="J14" i="63736"/>
  <c r="P237" i="4"/>
  <c r="M241" i="4"/>
  <c r="M242" i="4" s="1"/>
  <c r="M237" i="4"/>
  <c r="M243" i="4" l="1"/>
  <c r="P243" i="4"/>
  <c r="N168" i="4" l="1"/>
  <c r="N161" i="4"/>
  <c r="N136" i="4"/>
  <c r="N178" i="4"/>
  <c r="N230" i="4" s="1"/>
  <c r="N103" i="4"/>
  <c r="N83" i="4"/>
  <c r="N101" i="4"/>
  <c r="N112" i="4" s="1"/>
  <c r="N115" i="4" s="1"/>
  <c r="N21" i="4"/>
  <c r="N25" i="4"/>
  <c r="N19" i="4"/>
  <c r="N9" i="4"/>
  <c r="N23" i="4" l="1"/>
  <c r="N191" i="4"/>
  <c r="N162" i="4"/>
  <c r="N169" i="4"/>
  <c r="N137" i="4"/>
  <c r="Q22" i="4"/>
  <c r="N30" i="4"/>
  <c r="N40" i="4" s="1"/>
  <c r="N42" i="4" s="1"/>
  <c r="O83" i="4"/>
  <c r="N108" i="4"/>
  <c r="O103" i="4"/>
  <c r="O21" i="4"/>
  <c r="N199" i="4"/>
  <c r="Q200" i="4" s="1"/>
  <c r="Q202" i="4" s="1"/>
  <c r="N22" i="4"/>
  <c r="N28" i="4"/>
  <c r="N41" i="4" l="1"/>
  <c r="Q41" i="4"/>
  <c r="N33" i="4"/>
  <c r="N81" i="4" s="1"/>
  <c r="N32" i="4"/>
  <c r="N233" i="4"/>
  <c r="N235" i="4" s="1"/>
  <c r="N31" i="4"/>
  <c r="Q31" i="4"/>
  <c r="O23" i="4"/>
  <c r="N171" i="4"/>
  <c r="N109" i="4"/>
  <c r="O30" i="4"/>
  <c r="O40" i="4" s="1"/>
  <c r="O42" i="4" s="1"/>
  <c r="N34" i="4" l="1"/>
  <c r="C14" i="63736"/>
  <c r="N183" i="4"/>
  <c r="O33" i="4"/>
  <c r="O32" i="4"/>
  <c r="O233" i="4"/>
  <c r="O235" i="4" s="1"/>
  <c r="O241" i="4" s="1"/>
  <c r="N237" i="4"/>
  <c r="N241" i="4"/>
  <c r="N236" i="4"/>
  <c r="Q237" i="4"/>
  <c r="N185" i="4"/>
  <c r="O81" i="4" l="1"/>
  <c r="O34" i="4"/>
  <c r="D14" i="63736"/>
  <c r="N14" i="63736" s="1"/>
  <c r="O236" i="4"/>
  <c r="N243" i="4"/>
  <c r="N242" i="4"/>
  <c r="Q243" i="4"/>
  <c r="O242" i="4"/>
  <c r="I14" i="63736" l="1"/>
  <c r="Q77" i="4"/>
  <c r="Q57" i="4"/>
  <c r="Q53" i="4"/>
  <c r="Q85" i="4"/>
  <c r="F22" i="63736" l="1"/>
  <c r="F28" i="63736"/>
  <c r="Q203" i="4"/>
  <c r="Q82" i="4"/>
  <c r="Q87" i="4"/>
  <c r="T22" i="63736" l="1"/>
  <c r="G22" i="63736"/>
  <c r="Q93" i="4"/>
  <c r="V22" i="63736" l="1"/>
  <c r="Q22" i="63736"/>
  <c r="G28" i="63736"/>
  <c r="T28" i="63736"/>
  <c r="V28" i="63736" l="1"/>
  <c r="Q28" i="63736"/>
  <c r="M136" i="4"/>
  <c r="M103" i="4"/>
  <c r="M213" i="4"/>
  <c r="L213" i="4" l="1"/>
  <c r="L136" i="4"/>
  <c r="C8" i="4"/>
  <c r="C11" i="4" s="1"/>
  <c r="C27" i="4"/>
  <c r="C29" i="4" s="1"/>
  <c r="C24" i="4"/>
  <c r="C26" i="4" s="1"/>
  <c r="C21" i="4"/>
  <c r="C23" i="4" s="1"/>
  <c r="C18" i="4"/>
  <c r="F27" i="4"/>
  <c r="F24" i="4"/>
  <c r="F26" i="4" s="1"/>
  <c r="F21" i="4"/>
  <c r="F18" i="4"/>
  <c r="E28" i="4"/>
  <c r="E25" i="4"/>
  <c r="E22" i="4"/>
  <c r="E19" i="4"/>
  <c r="C20" i="4" l="1"/>
  <c r="C42" i="4"/>
  <c r="C13" i="4"/>
  <c r="F20" i="4"/>
  <c r="F23" i="4"/>
  <c r="F29" i="4"/>
  <c r="L137" i="4"/>
  <c r="F28" i="4"/>
  <c r="F30" i="4"/>
  <c r="C30" i="4"/>
  <c r="C233" i="4" s="1"/>
  <c r="C235" i="4" s="1"/>
  <c r="C236" i="4" s="1"/>
  <c r="E195" i="4"/>
  <c r="E194" i="4"/>
  <c r="F25" i="4"/>
  <c r="F19" i="4"/>
  <c r="F22" i="4"/>
  <c r="E196" i="4" l="1"/>
  <c r="C33" i="4"/>
  <c r="C81" i="4" s="1"/>
  <c r="F31" i="4"/>
  <c r="F233" i="4"/>
  <c r="L153" i="4"/>
  <c r="L27" i="4"/>
  <c r="L29" i="4" s="1"/>
  <c r="L24" i="4"/>
  <c r="L18" i="4"/>
  <c r="I18" i="4"/>
  <c r="I20" i="4" s="1"/>
  <c r="I21" i="4"/>
  <c r="I23" i="4" s="1"/>
  <c r="I24" i="4"/>
  <c r="I26" i="4" s="1"/>
  <c r="I27" i="4"/>
  <c r="H28" i="4"/>
  <c r="H25" i="4"/>
  <c r="H22" i="4"/>
  <c r="H19" i="4"/>
  <c r="K28" i="4"/>
  <c r="K25" i="4"/>
  <c r="K19" i="4"/>
  <c r="G28" i="4"/>
  <c r="G25" i="4"/>
  <c r="G22" i="4"/>
  <c r="G19" i="4"/>
  <c r="J28" i="4"/>
  <c r="J25" i="4"/>
  <c r="J22" i="4"/>
  <c r="J19" i="4"/>
  <c r="M19" i="4"/>
  <c r="M22" i="4"/>
  <c r="M25" i="4"/>
  <c r="M28" i="4"/>
  <c r="O25" i="4" l="1"/>
  <c r="L26" i="4"/>
  <c r="I29" i="4"/>
  <c r="L20" i="4"/>
  <c r="O28" i="4"/>
  <c r="I19" i="4"/>
  <c r="I22" i="4"/>
  <c r="I28" i="4"/>
  <c r="I30" i="4"/>
  <c r="O19" i="4"/>
  <c r="K22" i="4"/>
  <c r="L21" i="4"/>
  <c r="L23" i="4" s="1"/>
  <c r="I25" i="4"/>
  <c r="L25" i="4"/>
  <c r="L19" i="4"/>
  <c r="L28" i="4"/>
  <c r="F8" i="4"/>
  <c r="L8" i="4"/>
  <c r="M9" i="4"/>
  <c r="L9" i="4" s="1"/>
  <c r="I8" i="4"/>
  <c r="J9" i="4"/>
  <c r="I9" i="4" s="1"/>
  <c r="H9" i="4"/>
  <c r="K9" i="4"/>
  <c r="I32" i="4" l="1"/>
  <c r="I40" i="4"/>
  <c r="I31" i="4"/>
  <c r="I233" i="4"/>
  <c r="L11" i="4"/>
  <c r="F11" i="4"/>
  <c r="F33" i="4" s="1"/>
  <c r="F81" i="4" s="1"/>
  <c r="I11" i="4"/>
  <c r="I33" i="4" s="1"/>
  <c r="I81" i="4" s="1"/>
  <c r="L30" i="4"/>
  <c r="H194" i="4"/>
  <c r="F9" i="4"/>
  <c r="H195" i="4"/>
  <c r="L22" i="4"/>
  <c r="O22" i="4"/>
  <c r="I41" i="4" l="1"/>
  <c r="I42" i="4"/>
  <c r="L32" i="4"/>
  <c r="L40" i="4"/>
  <c r="L42" i="4" s="1"/>
  <c r="H196" i="4"/>
  <c r="L33" i="4"/>
  <c r="L81" i="4" s="1"/>
  <c r="L31" i="4"/>
  <c r="L233" i="4"/>
  <c r="L235" i="4" s="1"/>
  <c r="O31" i="4"/>
  <c r="F13" i="4"/>
  <c r="F235" i="4"/>
  <c r="L13" i="4"/>
  <c r="I13" i="4"/>
  <c r="I235" i="4"/>
  <c r="AN228" i="4"/>
  <c r="AK228" i="4"/>
  <c r="AH228" i="4"/>
  <c r="AE228" i="4"/>
  <c r="AN100" i="4"/>
  <c r="AK100" i="4"/>
  <c r="AJ100" i="4" s="1"/>
  <c r="AH100" i="4"/>
  <c r="AG100" i="4" s="1"/>
  <c r="AE100" i="4"/>
  <c r="AD100" i="4" s="1"/>
  <c r="L41" i="4" l="1"/>
  <c r="O41" i="4"/>
  <c r="I241" i="4"/>
  <c r="I236" i="4"/>
  <c r="F241" i="4"/>
  <c r="F242" i="4" s="1"/>
  <c r="F236" i="4"/>
  <c r="L241" i="4"/>
  <c r="L236" i="4"/>
  <c r="F237" i="4"/>
  <c r="L237" i="4"/>
  <c r="O237" i="4"/>
  <c r="I237" i="4"/>
  <c r="K136" i="4"/>
  <c r="K103" i="4"/>
  <c r="K83" i="4"/>
  <c r="L83" i="4" s="1"/>
  <c r="I243" i="4" l="1"/>
  <c r="I242" i="4"/>
  <c r="L243" i="4"/>
  <c r="L242" i="4"/>
  <c r="O243" i="4"/>
  <c r="L103" i="4"/>
  <c r="T219" i="4" l="1"/>
  <c r="C11" i="63721" l="1"/>
  <c r="Z218" i="4" l="1"/>
  <c r="AC220" i="4"/>
  <c r="AC218" i="4" l="1"/>
  <c r="Z219" i="4"/>
  <c r="AE220" i="4"/>
  <c r="AF220" i="4" s="1"/>
  <c r="AF218" i="4" l="1"/>
  <c r="AC219" i="4"/>
  <c r="AE218" i="4"/>
  <c r="AH220" i="4"/>
  <c r="AI220" i="4" s="1"/>
  <c r="AI218" i="4" s="1"/>
  <c r="I17" i="63727" l="1"/>
  <c r="D14" i="63744" s="1"/>
  <c r="AF219" i="4"/>
  <c r="AH218" i="4"/>
  <c r="AI219" i="4" s="1"/>
  <c r="AK220" i="4"/>
  <c r="R13" i="63743" l="1"/>
  <c r="V8" i="63743"/>
  <c r="V9" i="63743" s="1"/>
  <c r="D10" i="63731"/>
  <c r="D43" i="63731" s="1"/>
  <c r="AK218" i="4"/>
  <c r="AN220" i="4"/>
  <c r="W8" i="63743" l="1"/>
  <c r="R14" i="63743"/>
  <c r="AN218" i="4"/>
  <c r="AQ220" i="4"/>
  <c r="AQ218" i="4" l="1"/>
  <c r="AT220" i="4"/>
  <c r="J168" i="4"/>
  <c r="J161" i="4"/>
  <c r="J136" i="4"/>
  <c r="J103" i="4"/>
  <c r="J83" i="4"/>
  <c r="AT218" i="4" l="1"/>
  <c r="AW220" i="4"/>
  <c r="I136" i="4"/>
  <c r="I168" i="4"/>
  <c r="I161" i="4"/>
  <c r="AZ220" i="4" l="1"/>
  <c r="AZ218" i="4" s="1"/>
  <c r="AW218" i="4"/>
  <c r="I169" i="4"/>
  <c r="I162" i="4"/>
  <c r="I137" i="4"/>
  <c r="BC220" i="4" l="1"/>
  <c r="I171" i="4"/>
  <c r="I153" i="4"/>
  <c r="BC218" i="4" l="1"/>
  <c r="BF220" i="4"/>
  <c r="H168" i="4"/>
  <c r="H161" i="4"/>
  <c r="H136" i="4"/>
  <c r="H103" i="4"/>
  <c r="BF218" i="4" l="1"/>
  <c r="BI220" i="4"/>
  <c r="BI218" i="4" s="1"/>
  <c r="I103" i="4"/>
  <c r="G83" i="4"/>
  <c r="E83" i="4"/>
  <c r="H83" i="4"/>
  <c r="I83" i="4" s="1"/>
  <c r="F83" i="4" l="1"/>
  <c r="K191" i="4" l="1"/>
  <c r="K178" i="4"/>
  <c r="K169" i="4"/>
  <c r="K162" i="4"/>
  <c r="K137" i="4"/>
  <c r="N190" i="4" l="1"/>
  <c r="K171" i="4"/>
  <c r="K199" i="4"/>
  <c r="N200" i="4" s="1"/>
  <c r="K185" i="4" l="1"/>
  <c r="G168" i="4"/>
  <c r="G161" i="4"/>
  <c r="G136" i="4"/>
  <c r="G103" i="4"/>
  <c r="F161" i="4" l="1"/>
  <c r="F168" i="4"/>
  <c r="F136" i="4"/>
  <c r="F169" i="4" l="1"/>
  <c r="F137" i="4"/>
  <c r="F162" i="4"/>
  <c r="F171" i="4" l="1"/>
  <c r="F153" i="4"/>
  <c r="E227" i="4"/>
  <c r="E226" i="4"/>
  <c r="E169" i="4"/>
  <c r="E161" i="4"/>
  <c r="E136" i="4"/>
  <c r="E103" i="4"/>
  <c r="H228" i="4"/>
  <c r="H191" i="4"/>
  <c r="H178" i="4"/>
  <c r="H169" i="4"/>
  <c r="H162" i="4"/>
  <c r="H137" i="4"/>
  <c r="H100" i="4"/>
  <c r="D168" i="4"/>
  <c r="C168" i="4" s="1"/>
  <c r="C169" i="4" s="1"/>
  <c r="D161" i="4"/>
  <c r="C161" i="4" s="1"/>
  <c r="C162" i="4" s="1"/>
  <c r="D136" i="4"/>
  <c r="D103" i="4"/>
  <c r="D83" i="4"/>
  <c r="D228" i="4"/>
  <c r="D227" i="4"/>
  <c r="D213" i="4"/>
  <c r="W105" i="63731" s="1"/>
  <c r="W107" i="63731" s="1"/>
  <c r="W110" i="63731" s="1"/>
  <c r="D191" i="4"/>
  <c r="D178" i="4"/>
  <c r="D100" i="4"/>
  <c r="D72" i="4"/>
  <c r="B168" i="4"/>
  <c r="B169" i="4" s="1"/>
  <c r="B161" i="4"/>
  <c r="B162" i="4" s="1"/>
  <c r="B144" i="4"/>
  <c r="B136" i="4"/>
  <c r="B137" i="4" s="1"/>
  <c r="B103" i="4"/>
  <c r="B108" i="4" s="1"/>
  <c r="B83" i="4"/>
  <c r="B226" i="4"/>
  <c r="E228" i="4"/>
  <c r="E100" i="4"/>
  <c r="E101" i="4" s="1"/>
  <c r="E112" i="4" s="1"/>
  <c r="B228" i="4"/>
  <c r="B213" i="4"/>
  <c r="B214" i="4" s="1"/>
  <c r="H149" i="4"/>
  <c r="K108" i="4"/>
  <c r="X100" i="4"/>
  <c r="L61" i="63682"/>
  <c r="C42" i="2"/>
  <c r="C41" i="2"/>
  <c r="G65" i="63682"/>
  <c r="G64" i="63682"/>
  <c r="G26" i="63682"/>
  <c r="G30" i="63682"/>
  <c r="G19" i="63682"/>
  <c r="F65" i="63682"/>
  <c r="F64" i="63682"/>
  <c r="F42" i="2"/>
  <c r="F30" i="63682"/>
  <c r="F19" i="63682"/>
  <c r="E65" i="63682"/>
  <c r="E64" i="63682"/>
  <c r="E42" i="2"/>
  <c r="E30" i="63682"/>
  <c r="E19" i="63682"/>
  <c r="E35" i="63682" s="1"/>
  <c r="D63" i="63682"/>
  <c r="D65" i="63682"/>
  <c r="D64" i="63682"/>
  <c r="D61" i="63682"/>
  <c r="D58" i="63682"/>
  <c r="D42" i="2"/>
  <c r="D30" i="63682"/>
  <c r="D41" i="2"/>
  <c r="D19" i="63682"/>
  <c r="D35" i="63682" s="1"/>
  <c r="S100" i="4"/>
  <c r="S228" i="4"/>
  <c r="G20" i="63682"/>
  <c r="G52" i="63682"/>
  <c r="G69" i="63682"/>
  <c r="N13" i="63682"/>
  <c r="N33" i="63682"/>
  <c r="N79" i="63682"/>
  <c r="M79" i="63682"/>
  <c r="L79" i="63682"/>
  <c r="K79" i="63682"/>
  <c r="M33" i="63682"/>
  <c r="L33" i="63682"/>
  <c r="K33" i="63682"/>
  <c r="G66" i="63682"/>
  <c r="G25" i="63682"/>
  <c r="G418" i="2"/>
  <c r="G337" i="2"/>
  <c r="G336" i="2"/>
  <c r="G335" i="2"/>
  <c r="G334" i="2"/>
  <c r="G332" i="2"/>
  <c r="G331" i="2"/>
  <c r="G315" i="2"/>
  <c r="G314" i="2"/>
  <c r="G313" i="2"/>
  <c r="G312" i="2"/>
  <c r="G310" i="2"/>
  <c r="G309" i="2"/>
  <c r="G293" i="2"/>
  <c r="G292" i="2"/>
  <c r="G291" i="2"/>
  <c r="G290" i="2"/>
  <c r="G288" i="2"/>
  <c r="G287" i="2"/>
  <c r="G272" i="2"/>
  <c r="G265" i="2"/>
  <c r="G264" i="2"/>
  <c r="G262" i="2"/>
  <c r="G261" i="2"/>
  <c r="G260" i="2"/>
  <c r="G250" i="2"/>
  <c r="G249" i="2"/>
  <c r="G67" i="63682" s="1"/>
  <c r="G210" i="2"/>
  <c r="G207" i="2"/>
  <c r="N53" i="63682" s="1"/>
  <c r="G185" i="2"/>
  <c r="G173" i="2"/>
  <c r="G172" i="2"/>
  <c r="G171" i="2"/>
  <c r="G168" i="2"/>
  <c r="G166" i="2"/>
  <c r="G165" i="2"/>
  <c r="G145" i="2"/>
  <c r="G144" i="2"/>
  <c r="G143" i="2"/>
  <c r="G140" i="2"/>
  <c r="G134" i="2"/>
  <c r="G130" i="2"/>
  <c r="G125" i="2"/>
  <c r="G27" i="63682" s="1"/>
  <c r="G120" i="2"/>
  <c r="G112" i="2"/>
  <c r="G104" i="2"/>
  <c r="G79" i="2"/>
  <c r="G67" i="2"/>
  <c r="D11" i="2"/>
  <c r="BJ261" i="63682"/>
  <c r="BI261" i="63682"/>
  <c r="BH261" i="63682"/>
  <c r="BE261" i="63682"/>
  <c r="BJ257" i="63682"/>
  <c r="BI257" i="63682"/>
  <c r="BH257" i="63682"/>
  <c r="F272" i="2"/>
  <c r="E272" i="2"/>
  <c r="D272" i="2"/>
  <c r="C272" i="2"/>
  <c r="F265" i="2"/>
  <c r="E265" i="2"/>
  <c r="D265" i="2"/>
  <c r="C265" i="2"/>
  <c r="F264" i="2"/>
  <c r="E264" i="2"/>
  <c r="D264" i="2"/>
  <c r="C264" i="2"/>
  <c r="E66" i="63682"/>
  <c r="D66" i="63682"/>
  <c r="F79" i="2"/>
  <c r="E79" i="2"/>
  <c r="D79" i="2"/>
  <c r="C79" i="2"/>
  <c r="F165" i="2"/>
  <c r="F166" i="2"/>
  <c r="F168" i="2"/>
  <c r="F185" i="2"/>
  <c r="E165" i="2"/>
  <c r="E166" i="2"/>
  <c r="E168" i="2"/>
  <c r="E185" i="2"/>
  <c r="K41" i="63682"/>
  <c r="D165" i="2"/>
  <c r="D166" i="2"/>
  <c r="D168" i="2"/>
  <c r="D185" i="2"/>
  <c r="C165" i="2"/>
  <c r="C166" i="2"/>
  <c r="C168" i="2"/>
  <c r="C185" i="2"/>
  <c r="F210" i="2"/>
  <c r="E210" i="2"/>
  <c r="D210" i="2"/>
  <c r="C210" i="2"/>
  <c r="F207" i="2"/>
  <c r="M53" i="63682" s="1"/>
  <c r="E207" i="2"/>
  <c r="L53" i="63682" s="1"/>
  <c r="D207" i="2"/>
  <c r="K53" i="63682" s="1"/>
  <c r="K52" i="63682"/>
  <c r="C207" i="2"/>
  <c r="W101" i="63682"/>
  <c r="T101" i="63682"/>
  <c r="F67" i="2"/>
  <c r="E67" i="2"/>
  <c r="D67" i="2"/>
  <c r="C67" i="2"/>
  <c r="F25" i="63682"/>
  <c r="E25" i="63682"/>
  <c r="D25" i="63682"/>
  <c r="P100" i="4"/>
  <c r="C217" i="2"/>
  <c r="C223" i="2" s="1"/>
  <c r="W99" i="63682"/>
  <c r="W100" i="63682" s="1"/>
  <c r="F69" i="63682"/>
  <c r="F20" i="63682"/>
  <c r="W115" i="63682"/>
  <c r="W116" i="63682"/>
  <c r="S85" i="63682"/>
  <c r="W107" i="63682"/>
  <c r="W127" i="63682"/>
  <c r="C287" i="2"/>
  <c r="C288" i="2"/>
  <c r="F418" i="2"/>
  <c r="F171" i="2"/>
  <c r="F172" i="2"/>
  <c r="F173" i="2"/>
  <c r="F337" i="2"/>
  <c r="F336" i="2"/>
  <c r="F335" i="2"/>
  <c r="F334" i="2"/>
  <c r="F332" i="2"/>
  <c r="F331" i="2"/>
  <c r="F309" i="2"/>
  <c r="F310" i="2"/>
  <c r="F312" i="2"/>
  <c r="F313" i="2"/>
  <c r="F314" i="2"/>
  <c r="F315" i="2"/>
  <c r="F287" i="2"/>
  <c r="F288" i="2"/>
  <c r="F290" i="2"/>
  <c r="F291" i="2"/>
  <c r="F292" i="2"/>
  <c r="F293" i="2"/>
  <c r="F249" i="2"/>
  <c r="F67" i="63682" s="1"/>
  <c r="F250" i="2"/>
  <c r="F260" i="2"/>
  <c r="F261" i="2"/>
  <c r="F262" i="2"/>
  <c r="F125" i="2"/>
  <c r="F27" i="63682" s="1"/>
  <c r="F143" i="2"/>
  <c r="F144" i="2"/>
  <c r="F145" i="2"/>
  <c r="F140" i="2"/>
  <c r="F120" i="2"/>
  <c r="F130" i="2"/>
  <c r="F134" i="2"/>
  <c r="F112" i="2"/>
  <c r="F104" i="2"/>
  <c r="G3" i="2"/>
  <c r="T85" i="63682" s="1"/>
  <c r="I29" i="63682"/>
  <c r="D20" i="63682"/>
  <c r="E20" i="63682"/>
  <c r="E69" i="63682"/>
  <c r="V115" i="63682"/>
  <c r="V116" i="63682"/>
  <c r="V107" i="63682"/>
  <c r="E125" i="2"/>
  <c r="E27" i="63682" s="1"/>
  <c r="E140" i="2"/>
  <c r="E249" i="2"/>
  <c r="E67" i="63682" s="1"/>
  <c r="E250" i="2"/>
  <c r="E171" i="2"/>
  <c r="E172" i="2"/>
  <c r="E173" i="2"/>
  <c r="E104" i="2"/>
  <c r="E112" i="2"/>
  <c r="E120" i="2"/>
  <c r="E130" i="2"/>
  <c r="E134" i="2"/>
  <c r="E143" i="2"/>
  <c r="E144" i="2"/>
  <c r="E145" i="2"/>
  <c r="E260" i="2"/>
  <c r="E261" i="2"/>
  <c r="E262" i="2"/>
  <c r="E287" i="2"/>
  <c r="E288" i="2"/>
  <c r="E290" i="2"/>
  <c r="E291" i="2"/>
  <c r="E292" i="2"/>
  <c r="E293" i="2"/>
  <c r="E309" i="2"/>
  <c r="E310" i="2"/>
  <c r="E312" i="2"/>
  <c r="E313" i="2"/>
  <c r="E314" i="2"/>
  <c r="E315" i="2"/>
  <c r="E331" i="2"/>
  <c r="E332" i="2"/>
  <c r="E334" i="2"/>
  <c r="E335" i="2"/>
  <c r="E336" i="2"/>
  <c r="E337" i="2"/>
  <c r="E418" i="2"/>
  <c r="C4" i="63686"/>
  <c r="D4" i="63686" s="1"/>
  <c r="E4" i="63686" s="1"/>
  <c r="F4" i="63686" s="1"/>
  <c r="G4" i="63686" s="1"/>
  <c r="H4" i="63686" s="1"/>
  <c r="I4" i="63686" s="1"/>
  <c r="J4" i="63686" s="1"/>
  <c r="K4" i="63686" s="1"/>
  <c r="L4" i="63686" s="1"/>
  <c r="M4" i="63686" s="1"/>
  <c r="N4" i="63686" s="1"/>
  <c r="O4" i="63686" s="1"/>
  <c r="P4" i="63686" s="1"/>
  <c r="K13" i="63682"/>
  <c r="E52" i="63682"/>
  <c r="M13" i="63682"/>
  <c r="T115" i="63682"/>
  <c r="T116" i="63682"/>
  <c r="U115" i="63682"/>
  <c r="U116" i="63682"/>
  <c r="T127" i="63682"/>
  <c r="U127" i="63682"/>
  <c r="V127" i="63682"/>
  <c r="D69" i="63682"/>
  <c r="D171" i="2"/>
  <c r="D172" i="2"/>
  <c r="D173" i="2"/>
  <c r="D418" i="2"/>
  <c r="D337" i="2"/>
  <c r="D336" i="2"/>
  <c r="D335" i="2"/>
  <c r="D334" i="2"/>
  <c r="D332" i="2"/>
  <c r="D331" i="2"/>
  <c r="D309" i="2"/>
  <c r="D310" i="2"/>
  <c r="D312" i="2"/>
  <c r="D313" i="2"/>
  <c r="D314" i="2"/>
  <c r="D315" i="2"/>
  <c r="D287" i="2"/>
  <c r="D288" i="2"/>
  <c r="D290" i="2"/>
  <c r="D291" i="2"/>
  <c r="D292" i="2"/>
  <c r="D293" i="2"/>
  <c r="D249" i="2"/>
  <c r="D67" i="63682" s="1"/>
  <c r="D250" i="2"/>
  <c r="D260" i="2"/>
  <c r="D261" i="2"/>
  <c r="D262" i="2"/>
  <c r="D125" i="2"/>
  <c r="D27" i="63682" s="1"/>
  <c r="D143" i="2"/>
  <c r="D144" i="2"/>
  <c r="D145" i="2"/>
  <c r="D140" i="2"/>
  <c r="D120" i="2"/>
  <c r="D130" i="2"/>
  <c r="D134" i="2"/>
  <c r="D112" i="2"/>
  <c r="D104" i="2"/>
  <c r="C249" i="2"/>
  <c r="C250" i="2"/>
  <c r="C125" i="2"/>
  <c r="C140" i="2"/>
  <c r="G228" i="4"/>
  <c r="J57" i="2"/>
  <c r="C171" i="2"/>
  <c r="C172" i="2"/>
  <c r="C173" i="2"/>
  <c r="C104" i="2"/>
  <c r="C112" i="2"/>
  <c r="C120" i="2"/>
  <c r="C130" i="2"/>
  <c r="C134" i="2"/>
  <c r="C143" i="2"/>
  <c r="C144" i="2"/>
  <c r="C145" i="2"/>
  <c r="C260" i="2"/>
  <c r="C261" i="2"/>
  <c r="C262" i="2"/>
  <c r="C290" i="2"/>
  <c r="C291" i="2"/>
  <c r="C292" i="2"/>
  <c r="C293" i="2"/>
  <c r="C309" i="2"/>
  <c r="C310" i="2"/>
  <c r="C312" i="2"/>
  <c r="C313" i="2"/>
  <c r="C314" i="2"/>
  <c r="C315" i="2"/>
  <c r="C331" i="2"/>
  <c r="C332" i="2"/>
  <c r="C334" i="2"/>
  <c r="C335" i="2"/>
  <c r="C336" i="2"/>
  <c r="C337" i="2"/>
  <c r="D20" i="2"/>
  <c r="E20" i="2"/>
  <c r="F20" i="2"/>
  <c r="G20" i="2"/>
  <c r="C20" i="2"/>
  <c r="C9" i="63683"/>
  <c r="E9" i="63683"/>
  <c r="C13" i="63683"/>
  <c r="E13" i="63683"/>
  <c r="M71" i="63682"/>
  <c r="M72" i="63682"/>
  <c r="AA105" i="63682"/>
  <c r="AA103" i="63682" s="1"/>
  <c r="R40" i="63682"/>
  <c r="M75" i="63682"/>
  <c r="M3" i="3"/>
  <c r="M5" i="3"/>
  <c r="M6" i="3"/>
  <c r="M7" i="3"/>
  <c r="K10" i="2"/>
  <c r="K13" i="2"/>
  <c r="K15" i="2"/>
  <c r="C18" i="2"/>
  <c r="D18" i="2"/>
  <c r="E18" i="2"/>
  <c r="F18" i="2"/>
  <c r="G18" i="2"/>
  <c r="K18" i="2"/>
  <c r="K24" i="2"/>
  <c r="C129" i="2"/>
  <c r="C418" i="2"/>
  <c r="D129" i="2"/>
  <c r="V101" i="63682"/>
  <c r="K19" i="63682"/>
  <c r="K17" i="63682"/>
  <c r="G68" i="63682"/>
  <c r="F68" i="63682"/>
  <c r="E68" i="63682"/>
  <c r="U99" i="63682"/>
  <c r="U100" i="63682" s="1"/>
  <c r="L18" i="63682"/>
  <c r="K26" i="63682"/>
  <c r="K29" i="63682"/>
  <c r="L52" i="63682"/>
  <c r="L26" i="63682"/>
  <c r="K18" i="63682"/>
  <c r="L17" i="63682"/>
  <c r="K28" i="63682"/>
  <c r="L13" i="63682"/>
  <c r="T121" i="63682"/>
  <c r="L41" i="63682"/>
  <c r="F52" i="63682"/>
  <c r="D52" i="63682"/>
  <c r="N52" i="63682"/>
  <c r="M52" i="63682"/>
  <c r="L29" i="63682"/>
  <c r="M19" i="63682"/>
  <c r="L19" i="63682"/>
  <c r="N19" i="63682"/>
  <c r="K38" i="63682"/>
  <c r="K37" i="63682"/>
  <c r="K45" i="63682"/>
  <c r="K27" i="63682"/>
  <c r="K30" i="63682"/>
  <c r="M41" i="63682"/>
  <c r="N41" i="63682"/>
  <c r="L45" i="63682"/>
  <c r="L28" i="63682"/>
  <c r="E61" i="63682"/>
  <c r="L38" i="63682"/>
  <c r="L37" i="63682"/>
  <c r="L27" i="63682"/>
  <c r="D217" i="2"/>
  <c r="D223" i="2" s="1"/>
  <c r="L30" i="63682"/>
  <c r="M17" i="63682"/>
  <c r="N18" i="63682"/>
  <c r="F217" i="2"/>
  <c r="F223" i="2" s="1"/>
  <c r="M30" i="63682"/>
  <c r="J11" i="63707"/>
  <c r="N30" i="63682"/>
  <c r="N17" i="63682"/>
  <c r="M45" i="63682"/>
  <c r="F61" i="63682"/>
  <c r="E63" i="63682"/>
  <c r="N27" i="63682"/>
  <c r="M37" i="63682"/>
  <c r="M38" i="63682"/>
  <c r="N29" i="63682"/>
  <c r="N45" i="63682"/>
  <c r="F63" i="63682"/>
  <c r="G61" i="63682"/>
  <c r="N38" i="63682"/>
  <c r="N37" i="63682"/>
  <c r="N61" i="63682"/>
  <c r="K51" i="63682"/>
  <c r="E129" i="2"/>
  <c r="K36" i="63682"/>
  <c r="T102" i="63682"/>
  <c r="T129" i="63682"/>
  <c r="T130" i="63682" s="1"/>
  <c r="T95" i="63682"/>
  <c r="E22" i="63682"/>
  <c r="E24" i="63682"/>
  <c r="E58" i="63682"/>
  <c r="F129" i="2"/>
  <c r="L51" i="63682"/>
  <c r="L36" i="63682"/>
  <c r="F40" i="2"/>
  <c r="F24" i="63682"/>
  <c r="F58" i="63682"/>
  <c r="G129" i="2"/>
  <c r="M51" i="63682"/>
  <c r="G22" i="63682"/>
  <c r="G41" i="2"/>
  <c r="G58" i="63682"/>
  <c r="N51" i="63682"/>
  <c r="G63" i="63682"/>
  <c r="N36" i="63682"/>
  <c r="B191" i="4"/>
  <c r="B225" i="4"/>
  <c r="B101" i="4"/>
  <c r="E191" i="4"/>
  <c r="B178" i="4"/>
  <c r="B227" i="4"/>
  <c r="E178" i="4"/>
  <c r="G226" i="4"/>
  <c r="E213" i="4"/>
  <c r="H226" i="4"/>
  <c r="B109" i="4" l="1"/>
  <c r="R157" i="4"/>
  <c r="R166" i="4"/>
  <c r="E162" i="4"/>
  <c r="I100" i="4"/>
  <c r="E199" i="4"/>
  <c r="O100" i="4"/>
  <c r="R100" i="4"/>
  <c r="F100" i="4"/>
  <c r="B39" i="63723"/>
  <c r="B31" i="63723"/>
  <c r="B29" i="63723" s="1"/>
  <c r="F103" i="4"/>
  <c r="E137" i="4"/>
  <c r="H199" i="4"/>
  <c r="K200" i="4" s="1"/>
  <c r="H217" i="4"/>
  <c r="E77" i="4"/>
  <c r="E57" i="4"/>
  <c r="E53" i="4"/>
  <c r="C83" i="4"/>
  <c r="D101" i="4"/>
  <c r="D112" i="4" s="1"/>
  <c r="D115" i="4" s="1"/>
  <c r="C100" i="4"/>
  <c r="C103" i="4"/>
  <c r="C113" i="4"/>
  <c r="D137" i="4"/>
  <c r="C136" i="4"/>
  <c r="C137" i="4" s="1"/>
  <c r="C153" i="4" s="1"/>
  <c r="C171" i="4"/>
  <c r="E108" i="4"/>
  <c r="H171" i="4"/>
  <c r="D374" i="2"/>
  <c r="P3" i="63686"/>
  <c r="Q3" i="63686" s="1"/>
  <c r="E217" i="2"/>
  <c r="E223" i="2" s="1"/>
  <c r="D37" i="2"/>
  <c r="D15" i="63682" s="1"/>
  <c r="K22" i="63682" s="1"/>
  <c r="K20" i="63682" s="1"/>
  <c r="U101" i="63682"/>
  <c r="C37" i="2"/>
  <c r="D39" i="63682"/>
  <c r="C374" i="2"/>
  <c r="L39" i="63682"/>
  <c r="D226" i="4"/>
  <c r="D175" i="2"/>
  <c r="M39" i="63682"/>
  <c r="K190" i="4"/>
  <c r="H190" i="4"/>
  <c r="C275" i="2"/>
  <c r="B151" i="4"/>
  <c r="B153" i="4" s="1"/>
  <c r="C29" i="2"/>
  <c r="D162" i="4"/>
  <c r="C48" i="4"/>
  <c r="C50" i="4" s="1"/>
  <c r="T105" i="63682"/>
  <c r="T106" i="63682" s="1"/>
  <c r="G267" i="2"/>
  <c r="C40" i="2"/>
  <c r="E374" i="2"/>
  <c r="E146" i="2"/>
  <c r="M18" i="63682"/>
  <c r="C187" i="2"/>
  <c r="C175" i="2"/>
  <c r="B112" i="4"/>
  <c r="G146" i="2"/>
  <c r="E55" i="63682"/>
  <c r="D55" i="63682"/>
  <c r="B217" i="4"/>
  <c r="B199" i="4"/>
  <c r="D159" i="2"/>
  <c r="D108" i="4"/>
  <c r="C108" i="4" s="1"/>
  <c r="D169" i="4"/>
  <c r="M74" i="63682"/>
  <c r="C159" i="2"/>
  <c r="E8" i="63683"/>
  <c r="E10" i="63683" s="1"/>
  <c r="F66" i="63682"/>
  <c r="F146" i="2"/>
  <c r="F275" i="2"/>
  <c r="D146" i="2"/>
  <c r="K61" i="63682"/>
  <c r="K46" i="63682"/>
  <c r="K31" i="63682"/>
  <c r="C197" i="2"/>
  <c r="E95" i="2"/>
  <c r="E115" i="2" s="1"/>
  <c r="D26" i="63682"/>
  <c r="K40" i="63682"/>
  <c r="D81" i="2"/>
  <c r="D17" i="63682" s="1"/>
  <c r="E81" i="2"/>
  <c r="E17" i="63682" s="1"/>
  <c r="E75" i="63682" s="1"/>
  <c r="E26" i="63682"/>
  <c r="L50" i="63682"/>
  <c r="L54" i="63682" s="1"/>
  <c r="L44" i="63682"/>
  <c r="L57" i="63682" s="1"/>
  <c r="C267" i="2"/>
  <c r="T108" i="63682"/>
  <c r="T96" i="63682" s="1"/>
  <c r="T98" i="63682" s="1"/>
  <c r="B216" i="4"/>
  <c r="E39" i="63682"/>
  <c r="H151" i="4"/>
  <c r="H108" i="4"/>
  <c r="L31" i="63682"/>
  <c r="E7" i="63703"/>
  <c r="H7" i="63703" s="1"/>
  <c r="H8" i="63703" s="1"/>
  <c r="D95" i="2"/>
  <c r="D115" i="2" s="1"/>
  <c r="M27" i="63682"/>
  <c r="G13" i="63683"/>
  <c r="B229" i="4"/>
  <c r="B230" i="4" s="1"/>
  <c r="C8" i="63683"/>
  <c r="C10" i="63683" s="1"/>
  <c r="N39" i="63682"/>
  <c r="E190" i="4"/>
  <c r="C7" i="63703"/>
  <c r="C81" i="2"/>
  <c r="C39" i="2" s="1"/>
  <c r="L46" i="63682"/>
  <c r="E197" i="2"/>
  <c r="C43" i="2"/>
  <c r="E78" i="63682"/>
  <c r="E251" i="2"/>
  <c r="E57" i="63682" s="1"/>
  <c r="D267" i="2"/>
  <c r="E275" i="2"/>
  <c r="D187" i="2"/>
  <c r="E212" i="2"/>
  <c r="D29" i="2"/>
  <c r="D24" i="63682"/>
  <c r="E85" i="2"/>
  <c r="E40" i="2"/>
  <c r="C212" i="2"/>
  <c r="D212" i="2"/>
  <c r="D43" i="2"/>
  <c r="U108" i="63682"/>
  <c r="D197" i="2"/>
  <c r="E267" i="2"/>
  <c r="K44" i="63682"/>
  <c r="K57" i="63682" s="1"/>
  <c r="U128" i="63682" s="1"/>
  <c r="E187" i="2"/>
  <c r="E159" i="2"/>
  <c r="K50" i="63682"/>
  <c r="K54" i="63682" s="1"/>
  <c r="U105" i="63682" s="1"/>
  <c r="U106" i="63682" s="1"/>
  <c r="D78" i="63682"/>
  <c r="U121" i="63682"/>
  <c r="E43" i="2"/>
  <c r="E41" i="2"/>
  <c r="M61" i="63682"/>
  <c r="F55" i="63682"/>
  <c r="G55" i="63682"/>
  <c r="G29" i="2"/>
  <c r="B171" i="4"/>
  <c r="B185" i="4" s="1"/>
  <c r="M29" i="63682"/>
  <c r="V121" i="63682"/>
  <c r="D68" i="63682"/>
  <c r="D199" i="4"/>
  <c r="G81" i="2"/>
  <c r="G17" i="63682" s="1"/>
  <c r="G251" i="2"/>
  <c r="G57" i="63682" s="1"/>
  <c r="G40" i="2"/>
  <c r="F251" i="2"/>
  <c r="F57" i="63682" s="1"/>
  <c r="G24" i="63682"/>
  <c r="G42" i="2"/>
  <c r="G95" i="2"/>
  <c r="G115" i="2" s="1"/>
  <c r="M50" i="63682"/>
  <c r="M54" i="63682" s="1"/>
  <c r="M46" i="63682"/>
  <c r="F29" i="2"/>
  <c r="F95" i="2"/>
  <c r="F115" i="2" s="1"/>
  <c r="N46" i="63682"/>
  <c r="F41" i="2"/>
  <c r="F81" i="2"/>
  <c r="F17" i="63682" s="1"/>
  <c r="G85" i="2"/>
  <c r="N44" i="63682"/>
  <c r="N57" i="63682" s="1"/>
  <c r="G187" i="2"/>
  <c r="G275" i="2"/>
  <c r="G43" i="2"/>
  <c r="G159" i="2"/>
  <c r="F159" i="2"/>
  <c r="F197" i="2"/>
  <c r="M44" i="63682"/>
  <c r="N50" i="63682"/>
  <c r="N54" i="63682" s="1"/>
  <c r="G197" i="2"/>
  <c r="F212" i="2"/>
  <c r="W108" i="63682"/>
  <c r="M36" i="63682"/>
  <c r="F85" i="2"/>
  <c r="F26" i="63682"/>
  <c r="G212" i="2"/>
  <c r="F43" i="2"/>
  <c r="F187" i="2"/>
  <c r="F22" i="63682"/>
  <c r="F78" i="63682"/>
  <c r="G35" i="63682"/>
  <c r="G78" i="63682"/>
  <c r="F35" i="63682"/>
  <c r="W121" i="63682"/>
  <c r="E171" i="4" l="1"/>
  <c r="E185" i="4" s="1"/>
  <c r="E109" i="4"/>
  <c r="E58" i="4"/>
  <c r="C33" i="63723"/>
  <c r="C38" i="63723" s="1"/>
  <c r="B38" i="63723"/>
  <c r="H153" i="4"/>
  <c r="H179" i="4" s="1"/>
  <c r="R147" i="4"/>
  <c r="H185" i="4"/>
  <c r="H200" i="4"/>
  <c r="B179" i="4"/>
  <c r="R149" i="4"/>
  <c r="C101" i="4"/>
  <c r="C112" i="4" s="1"/>
  <c r="R3" i="63686"/>
  <c r="K62" i="63682"/>
  <c r="V108" i="63682"/>
  <c r="V117" i="63682" s="1"/>
  <c r="D171" i="4"/>
  <c r="D185" i="4" s="1"/>
  <c r="K66" i="63682"/>
  <c r="D73" i="63682"/>
  <c r="D58" i="2"/>
  <c r="D294" i="2" s="1"/>
  <c r="D304" i="2" s="1"/>
  <c r="D45" i="63682"/>
  <c r="K64" i="63682"/>
  <c r="D74" i="63682"/>
  <c r="K65" i="63682"/>
  <c r="C58" i="2"/>
  <c r="C247" i="2" s="1"/>
  <c r="G6" i="63683"/>
  <c r="V99" i="63682"/>
  <c r="V100" i="63682" s="1"/>
  <c r="B87" i="4"/>
  <c r="B93" i="4" s="1"/>
  <c r="B63" i="4"/>
  <c r="B207" i="4"/>
  <c r="C95" i="2"/>
  <c r="C115" i="2" s="1"/>
  <c r="F10" i="63683"/>
  <c r="D10" i="63683"/>
  <c r="U104" i="63682"/>
  <c r="K39" i="63682"/>
  <c r="K63" i="63682" s="1"/>
  <c r="AB106" i="63731"/>
  <c r="T99" i="63682"/>
  <c r="T100" i="63682" s="1"/>
  <c r="C85" i="2"/>
  <c r="C251" i="2"/>
  <c r="E7" i="63683"/>
  <c r="M28" i="63682"/>
  <c r="F267" i="2"/>
  <c r="C7" i="63683"/>
  <c r="D109" i="4"/>
  <c r="T104" i="63682"/>
  <c r="C146" i="2"/>
  <c r="E200" i="4"/>
  <c r="E202" i="4" s="1"/>
  <c r="T117" i="63682"/>
  <c r="T118" i="63682" s="1"/>
  <c r="T103" i="63682"/>
  <c r="D75" i="63682"/>
  <c r="D76" i="63682"/>
  <c r="D39" i="2"/>
  <c r="C177" i="2"/>
  <c r="C199" i="2"/>
  <c r="E39" i="2"/>
  <c r="D177" i="2"/>
  <c r="G10" i="63683"/>
  <c r="G8" i="63683"/>
  <c r="E199" i="2"/>
  <c r="L48" i="63682" s="1"/>
  <c r="L47" i="63682" s="1"/>
  <c r="D7" i="63703"/>
  <c r="J2" i="63707"/>
  <c r="J7" i="63707" s="1"/>
  <c r="K7" i="63707" s="1"/>
  <c r="C11" i="63683"/>
  <c r="C12" i="63683"/>
  <c r="S156" i="4"/>
  <c r="E37" i="2"/>
  <c r="E15" i="63682" s="1"/>
  <c r="E58" i="2"/>
  <c r="D199" i="2"/>
  <c r="E76" i="63682"/>
  <c r="L63" i="63682"/>
  <c r="V128" i="63682"/>
  <c r="K60" i="63682"/>
  <c r="K59" i="63682"/>
  <c r="U117" i="63682"/>
  <c r="U118" i="63682" s="1"/>
  <c r="D22" i="63682"/>
  <c r="D40" i="2"/>
  <c r="D251" i="2"/>
  <c r="D57" i="63682" s="1"/>
  <c r="D85" i="2"/>
  <c r="B180" i="4"/>
  <c r="D275" i="2"/>
  <c r="E279" i="2"/>
  <c r="E87" i="4"/>
  <c r="G169" i="4"/>
  <c r="B184" i="4"/>
  <c r="V105" i="63682"/>
  <c r="V106" i="63682" s="1"/>
  <c r="L59" i="63682"/>
  <c r="L60" i="63682"/>
  <c r="G39" i="2"/>
  <c r="F39" i="2"/>
  <c r="F76" i="63682"/>
  <c r="M57" i="63682"/>
  <c r="W128" i="63682" s="1"/>
  <c r="G199" i="2"/>
  <c r="N48" i="63682" s="1"/>
  <c r="N47" i="63682" s="1"/>
  <c r="N59" i="63682"/>
  <c r="F199" i="2"/>
  <c r="M48" i="63682" s="1"/>
  <c r="M47" i="63682" s="1"/>
  <c r="N60" i="63682"/>
  <c r="G76" i="63682"/>
  <c r="F75" i="63682"/>
  <c r="M63" i="63682"/>
  <c r="G75" i="63682"/>
  <c r="N63" i="63682"/>
  <c r="W105" i="63682"/>
  <c r="W106" i="63682" s="1"/>
  <c r="H180" i="4" l="1"/>
  <c r="S7" i="63724"/>
  <c r="S10" i="63724" s="1"/>
  <c r="S162" i="4"/>
  <c r="H184" i="4"/>
  <c r="R174" i="4"/>
  <c r="U147" i="4"/>
  <c r="V214" i="4"/>
  <c r="Y214" i="4" s="1"/>
  <c r="AB214" i="4" s="1"/>
  <c r="R167" i="4"/>
  <c r="R168" i="4"/>
  <c r="R161" i="4"/>
  <c r="R156" i="4"/>
  <c r="G12" i="4"/>
  <c r="B208" i="4"/>
  <c r="B209" i="4"/>
  <c r="B211" i="4" s="1"/>
  <c r="B215" i="4"/>
  <c r="C109" i="4"/>
  <c r="R175" i="4"/>
  <c r="R136" i="4"/>
  <c r="D247" i="2"/>
  <c r="D330" i="2"/>
  <c r="C356" i="2"/>
  <c r="D356" i="2"/>
  <c r="E12" i="4"/>
  <c r="C294" i="2"/>
  <c r="C304" i="2" s="1"/>
  <c r="C328" i="2" s="1"/>
  <c r="E29" i="2"/>
  <c r="E40" i="63682"/>
  <c r="G7" i="63683"/>
  <c r="T119" i="63682"/>
  <c r="T107" i="63682" s="1"/>
  <c r="M76" i="63682"/>
  <c r="M84" i="63682"/>
  <c r="L84" i="63682"/>
  <c r="K84" i="63682"/>
  <c r="N84" i="63682"/>
  <c r="J5" i="63707"/>
  <c r="K5" i="63707" s="1"/>
  <c r="K2" i="63707" s="1"/>
  <c r="K3" i="63707" s="1"/>
  <c r="G39" i="63682"/>
  <c r="D201" i="2"/>
  <c r="D203" i="2" s="1"/>
  <c r="C201" i="2"/>
  <c r="C203" i="2" s="1"/>
  <c r="K43" i="63682"/>
  <c r="K42" i="63682" s="1"/>
  <c r="D333" i="2"/>
  <c r="D328" i="2"/>
  <c r="D329" i="2"/>
  <c r="E114" i="2"/>
  <c r="E116" i="2" s="1"/>
  <c r="E122" i="2" s="1"/>
  <c r="E127" i="2" s="1"/>
  <c r="E131" i="2" s="1"/>
  <c r="E138" i="2" s="1"/>
  <c r="E83" i="2"/>
  <c r="E90" i="2"/>
  <c r="E22" i="2" s="1"/>
  <c r="L22" i="63682"/>
  <c r="L20" i="63682" s="1"/>
  <c r="E73" i="63682"/>
  <c r="L64" i="63682"/>
  <c r="E74" i="63682"/>
  <c r="L62" i="63682"/>
  <c r="L66" i="63682"/>
  <c r="L65" i="63682"/>
  <c r="D40" i="63682"/>
  <c r="E294" i="2"/>
  <c r="E304" i="2" s="1"/>
  <c r="E356" i="2"/>
  <c r="E247" i="2"/>
  <c r="V118" i="63682"/>
  <c r="E45" i="63682"/>
  <c r="K48" i="63682"/>
  <c r="K47" i="63682" s="1"/>
  <c r="B210" i="4"/>
  <c r="B212" i="4" s="1"/>
  <c r="E25" i="2"/>
  <c r="E203" i="4"/>
  <c r="E63" i="4"/>
  <c r="E207" i="4"/>
  <c r="E208" i="4" s="1"/>
  <c r="G217" i="2"/>
  <c r="G223" i="2" s="1"/>
  <c r="J169" i="4"/>
  <c r="P146" i="4"/>
  <c r="M60" i="63682"/>
  <c r="W117" i="63682"/>
  <c r="M59" i="63682"/>
  <c r="X147" i="4" l="1"/>
  <c r="AC106" i="63731"/>
  <c r="U161" i="4"/>
  <c r="U167" i="4"/>
  <c r="R159" i="4"/>
  <c r="U168" i="4"/>
  <c r="G50" i="63743" a="1"/>
  <c r="G50" i="63743" s="1"/>
  <c r="U175" i="4"/>
  <c r="E64" i="4"/>
  <c r="U174" i="4"/>
  <c r="U136" i="4"/>
  <c r="P151" i="4"/>
  <c r="O146" i="4"/>
  <c r="O151" i="4" s="1"/>
  <c r="E113" i="4"/>
  <c r="D216" i="4"/>
  <c r="D229" i="4"/>
  <c r="D230" i="4" s="1"/>
  <c r="M26" i="63682"/>
  <c r="M31" i="63682" s="1"/>
  <c r="F12" i="4"/>
  <c r="F39" i="63682"/>
  <c r="C329" i="2"/>
  <c r="C330" i="2"/>
  <c r="C333" i="2"/>
  <c r="D114" i="2"/>
  <c r="D116" i="2" s="1"/>
  <c r="D122" i="2" s="1"/>
  <c r="D127" i="2" s="1"/>
  <c r="D131" i="2" s="1"/>
  <c r="D138" i="2" s="1"/>
  <c r="D90" i="2"/>
  <c r="D22" i="2" s="1"/>
  <c r="D83" i="2"/>
  <c r="E41" i="63682"/>
  <c r="D279" i="2"/>
  <c r="E12" i="63683"/>
  <c r="G12" i="63683" s="1"/>
  <c r="E11" i="63683"/>
  <c r="G11" i="63683" s="1"/>
  <c r="D44" i="2"/>
  <c r="D215" i="2"/>
  <c r="C215" i="2"/>
  <c r="C44" i="2"/>
  <c r="D338" i="2"/>
  <c r="D348" i="2" s="1"/>
  <c r="E231" i="2"/>
  <c r="V92" i="63682"/>
  <c r="E24" i="2"/>
  <c r="E29" i="63682"/>
  <c r="E75" i="2"/>
  <c r="E316" i="2"/>
  <c r="E326" i="2" s="1"/>
  <c r="E378" i="2"/>
  <c r="E396" i="2" s="1"/>
  <c r="N28" i="63682"/>
  <c r="S146" i="4"/>
  <c r="S151" i="4" s="1"/>
  <c r="D41" i="63682"/>
  <c r="S177" i="4"/>
  <c r="V177" i="4" s="1"/>
  <c r="U177" i="4" s="1"/>
  <c r="C279" i="2"/>
  <c r="C114" i="2"/>
  <c r="C116" i="2" s="1"/>
  <c r="C122" i="2" s="1"/>
  <c r="C127" i="2" s="1"/>
  <c r="C131" i="2" s="1"/>
  <c r="C138" i="2" s="1"/>
  <c r="C83" i="2"/>
  <c r="C90" i="2"/>
  <c r="C22" i="2" s="1"/>
  <c r="L81" i="63682"/>
  <c r="B66" i="4"/>
  <c r="E209" i="4"/>
  <c r="E210" i="4"/>
  <c r="E212" i="4" s="1"/>
  <c r="V93" i="63682"/>
  <c r="V94" i="63682" s="1"/>
  <c r="E27" i="2"/>
  <c r="E32" i="63682"/>
  <c r="M169" i="4"/>
  <c r="X157" i="4" l="1"/>
  <c r="X168" i="4"/>
  <c r="X161" i="4"/>
  <c r="X167" i="4"/>
  <c r="X136" i="4"/>
  <c r="X174" i="4"/>
  <c r="AE147" i="4"/>
  <c r="H50" i="63743" s="1" a="1"/>
  <c r="H50" i="63743" s="1"/>
  <c r="T177" i="4"/>
  <c r="G56" i="63743" a="1"/>
  <c r="G56" i="63743" s="1"/>
  <c r="AD106" i="63731"/>
  <c r="R146" i="4"/>
  <c r="U159" i="4"/>
  <c r="B82" i="4"/>
  <c r="B85" i="4"/>
  <c r="B75" i="4"/>
  <c r="B67" i="4"/>
  <c r="G113" i="4"/>
  <c r="C338" i="2"/>
  <c r="C348" i="2" s="1"/>
  <c r="Y159" i="4"/>
  <c r="X159" i="4" s="1"/>
  <c r="K81" i="63682"/>
  <c r="D25" i="2"/>
  <c r="D316" i="2"/>
  <c r="D326" i="2" s="1"/>
  <c r="D378" i="2"/>
  <c r="D396" i="2" s="1"/>
  <c r="D75" i="2"/>
  <c r="D24" i="2"/>
  <c r="D231" i="2"/>
  <c r="D29" i="63682"/>
  <c r="U92" i="63682"/>
  <c r="G63" i="63743" a="1"/>
  <c r="G63" i="63743" s="1"/>
  <c r="F7" i="63703"/>
  <c r="G7" i="63703" s="1"/>
  <c r="G8" i="63703" s="1"/>
  <c r="W177" i="4"/>
  <c r="E37" i="63682"/>
  <c r="E26" i="2"/>
  <c r="E16" i="63682"/>
  <c r="E38" i="2"/>
  <c r="E69" i="2"/>
  <c r="E31" i="63682"/>
  <c r="E49" i="63682"/>
  <c r="N26" i="63682"/>
  <c r="N31" i="63682" s="1"/>
  <c r="C316" i="2"/>
  <c r="C326" i="2" s="1"/>
  <c r="C75" i="2"/>
  <c r="C378" i="2"/>
  <c r="C396" i="2" s="1"/>
  <c r="C25" i="2"/>
  <c r="C231" i="2"/>
  <c r="T92" i="63682"/>
  <c r="C24" i="2"/>
  <c r="C26" i="2" s="1"/>
  <c r="E211" i="4"/>
  <c r="E66" i="4"/>
  <c r="E75" i="4" s="1"/>
  <c r="P169" i="4"/>
  <c r="T7" i="63724"/>
  <c r="AD147" i="4" l="1"/>
  <c r="AF147" i="4"/>
  <c r="AH147" i="4"/>
  <c r="AI147" i="4" s="1"/>
  <c r="AE174" i="4"/>
  <c r="AE168" i="4"/>
  <c r="AE167" i="4"/>
  <c r="H63" i="63743" s="1" a="1"/>
  <c r="H63" i="63743" s="1"/>
  <c r="AE161" i="4"/>
  <c r="AE136" i="4"/>
  <c r="AE214" i="4"/>
  <c r="AE106" i="63731"/>
  <c r="AE157" i="4"/>
  <c r="AB159" i="4"/>
  <c r="AA159" i="4" s="1"/>
  <c r="AA162" i="4" s="1"/>
  <c r="O153" i="4"/>
  <c r="R165" i="4"/>
  <c r="F113" i="4"/>
  <c r="E229" i="4"/>
  <c r="E230" i="4" s="1"/>
  <c r="E216" i="4"/>
  <c r="Y177" i="4"/>
  <c r="Z177" i="4" s="1"/>
  <c r="D16" i="63682"/>
  <c r="D69" i="2"/>
  <c r="D38" i="2"/>
  <c r="D31" i="63682"/>
  <c r="D49" i="63682"/>
  <c r="D32" i="63682"/>
  <c r="D27" i="2"/>
  <c r="U93" i="63682"/>
  <c r="U94" i="63682" s="1"/>
  <c r="D37" i="63682"/>
  <c r="D26" i="2"/>
  <c r="K55" i="63682"/>
  <c r="E68" i="2"/>
  <c r="E248" i="2"/>
  <c r="E254" i="2" s="1"/>
  <c r="E18" i="63682"/>
  <c r="E54" i="63682"/>
  <c r="E56" i="63682" s="1"/>
  <c r="E43" i="63682"/>
  <c r="V119" i="63682"/>
  <c r="L58" i="63682"/>
  <c r="F40" i="63682"/>
  <c r="C27" i="2"/>
  <c r="T93" i="63682"/>
  <c r="T94" i="63682" s="1"/>
  <c r="C69" i="2"/>
  <c r="C38" i="2"/>
  <c r="S169" i="4"/>
  <c r="E67" i="4"/>
  <c r="AG147" i="4" l="1"/>
  <c r="I50" i="63743" a="1"/>
  <c r="I50" i="63743" s="1"/>
  <c r="AF157" i="4"/>
  <c r="H56" i="63743" a="1"/>
  <c r="H56" i="63743" s="1"/>
  <c r="AD174" i="4"/>
  <c r="AF174" i="4"/>
  <c r="AD136" i="4"/>
  <c r="AF136" i="4"/>
  <c r="AD167" i="4"/>
  <c r="AF167" i="4"/>
  <c r="AD161" i="4"/>
  <c r="AF161" i="4"/>
  <c r="AD168" i="4"/>
  <c r="AF168" i="4"/>
  <c r="AD157" i="4"/>
  <c r="AK147" i="4"/>
  <c r="AJ147" i="4" s="1"/>
  <c r="AH174" i="4"/>
  <c r="AH136" i="4"/>
  <c r="AH167" i="4"/>
  <c r="AI167" i="4" s="1"/>
  <c r="AH161" i="4"/>
  <c r="AH168" i="4"/>
  <c r="X177" i="4"/>
  <c r="AH157" i="4"/>
  <c r="AH214" i="4"/>
  <c r="AF106" i="63731"/>
  <c r="AB177" i="4"/>
  <c r="AA177" i="4" s="1"/>
  <c r="AA178" i="4" s="1"/>
  <c r="R169" i="4"/>
  <c r="AE159" i="4"/>
  <c r="AD159" i="4" s="1"/>
  <c r="D248" i="2"/>
  <c r="D254" i="2" s="1"/>
  <c r="D68" i="2"/>
  <c r="E42" i="63682"/>
  <c r="U119" i="63682"/>
  <c r="U107" i="63682" s="1"/>
  <c r="K58" i="63682"/>
  <c r="D54" i="63682"/>
  <c r="D56" i="63682" s="1"/>
  <c r="D18" i="63682"/>
  <c r="D43" i="63682"/>
  <c r="L55" i="63682"/>
  <c r="K82" i="63682"/>
  <c r="K86" i="63682"/>
  <c r="E47" i="63682"/>
  <c r="E77" i="63682"/>
  <c r="E72" i="63682"/>
  <c r="E21" i="63682"/>
  <c r="E44" i="63682"/>
  <c r="E31" i="2"/>
  <c r="E32" i="2" s="1"/>
  <c r="E277" i="2"/>
  <c r="E60" i="63682"/>
  <c r="F83" i="2"/>
  <c r="F114" i="2"/>
  <c r="F116" i="2" s="1"/>
  <c r="F122" i="2" s="1"/>
  <c r="F127" i="2" s="1"/>
  <c r="F131" i="2" s="1"/>
  <c r="F138" i="2" s="1"/>
  <c r="F90" i="2"/>
  <c r="F22" i="2" s="1"/>
  <c r="F41" i="63682"/>
  <c r="D42" i="63682"/>
  <c r="C248" i="2"/>
  <c r="C254" i="2" s="1"/>
  <c r="C68" i="2"/>
  <c r="G191" i="4"/>
  <c r="G101" i="4"/>
  <c r="G112" i="4" l="1"/>
  <c r="G115" i="4" s="1"/>
  <c r="AG136" i="4"/>
  <c r="AI136" i="4"/>
  <c r="AG168" i="4"/>
  <c r="AI168" i="4"/>
  <c r="I56" i="63743" a="1"/>
  <c r="I56" i="63743" s="1"/>
  <c r="AI157" i="4"/>
  <c r="AG161" i="4"/>
  <c r="AI161" i="4"/>
  <c r="AG174" i="4"/>
  <c r="AI174" i="4"/>
  <c r="AG157" i="4"/>
  <c r="AG167" i="4"/>
  <c r="I63" i="63743" a="1"/>
  <c r="I63" i="63743" s="1"/>
  <c r="AN147" i="4"/>
  <c r="AQ147" i="4" s="1"/>
  <c r="AK136" i="4"/>
  <c r="AJ136" i="4" s="1"/>
  <c r="AK168" i="4"/>
  <c r="AJ168" i="4" s="1"/>
  <c r="AK161" i="4"/>
  <c r="AJ161" i="4" s="1"/>
  <c r="AK167" i="4"/>
  <c r="AJ167" i="4" s="1"/>
  <c r="AK174" i="4"/>
  <c r="AJ174" i="4" s="1"/>
  <c r="AC177" i="4"/>
  <c r="AE177" i="4"/>
  <c r="AK214" i="4"/>
  <c r="AG106" i="63731"/>
  <c r="AK157" i="4"/>
  <c r="AH159" i="4"/>
  <c r="AG159" i="4" s="1"/>
  <c r="J12" i="4"/>
  <c r="F101" i="4"/>
  <c r="F112" i="4" s="1"/>
  <c r="D77" i="63682"/>
  <c r="D47" i="63682"/>
  <c r="D72" i="63682"/>
  <c r="D21" i="63682"/>
  <c r="D44" i="63682"/>
  <c r="D31" i="2"/>
  <c r="D32" i="2" s="1"/>
  <c r="D60" i="63682"/>
  <c r="D277" i="2"/>
  <c r="M40" i="63682"/>
  <c r="F175" i="2"/>
  <c r="F177" i="2" s="1"/>
  <c r="L82" i="63682"/>
  <c r="M55" i="63682"/>
  <c r="V104" i="63682"/>
  <c r="W104" i="63682"/>
  <c r="K144" i="4"/>
  <c r="L40" i="63682"/>
  <c r="E175" i="2"/>
  <c r="E177" i="2" s="1"/>
  <c r="K85" i="63682"/>
  <c r="K83" i="63682"/>
  <c r="N142" i="4"/>
  <c r="E62" i="63682"/>
  <c r="E59" i="63682"/>
  <c r="E46" i="63682"/>
  <c r="E23" i="63682"/>
  <c r="F29" i="63682"/>
  <c r="F231" i="2"/>
  <c r="F24" i="2"/>
  <c r="W92" i="63682"/>
  <c r="F279" i="2"/>
  <c r="F25" i="2"/>
  <c r="F75" i="2"/>
  <c r="F378" i="2"/>
  <c r="F396" i="2" s="1"/>
  <c r="F316" i="2"/>
  <c r="F326" i="2" s="1"/>
  <c r="G40" i="63682"/>
  <c r="C277" i="2"/>
  <c r="C31" i="2"/>
  <c r="C32" i="2" s="1"/>
  <c r="G87" i="4"/>
  <c r="G190" i="4"/>
  <c r="J191" i="4"/>
  <c r="J101" i="4"/>
  <c r="J112" i="4" l="1"/>
  <c r="J115" i="4" s="1"/>
  <c r="AJ157" i="4"/>
  <c r="AT147" i="4"/>
  <c r="AW147" i="4" s="1"/>
  <c r="AZ147" i="4" s="1"/>
  <c r="BC147" i="4" s="1"/>
  <c r="BF147" i="4" s="1"/>
  <c r="BI147" i="4" s="1"/>
  <c r="J50" i="63743" a="1"/>
  <c r="J50" i="63743" s="1"/>
  <c r="AN167" i="4"/>
  <c r="AQ167" i="4" s="1"/>
  <c r="AN168" i="4"/>
  <c r="AQ168" i="4" s="1"/>
  <c r="AT168" i="4" s="1"/>
  <c r="AW168" i="4" s="1"/>
  <c r="AZ168" i="4" s="1"/>
  <c r="BC168" i="4" s="1"/>
  <c r="BF168" i="4" s="1"/>
  <c r="BI168" i="4" s="1"/>
  <c r="AN174" i="4"/>
  <c r="AQ174" i="4" s="1"/>
  <c r="AT174" i="4" s="1"/>
  <c r="AW174" i="4" s="1"/>
  <c r="AZ174" i="4" s="1"/>
  <c r="BC174" i="4" s="1"/>
  <c r="BF174" i="4" s="1"/>
  <c r="BI174" i="4" s="1"/>
  <c r="AN161" i="4"/>
  <c r="AQ161" i="4" s="1"/>
  <c r="AT161" i="4" s="1"/>
  <c r="AW161" i="4" s="1"/>
  <c r="AZ161" i="4" s="1"/>
  <c r="BC161" i="4" s="1"/>
  <c r="BF161" i="4" s="1"/>
  <c r="BI161" i="4" s="1"/>
  <c r="AN136" i="4"/>
  <c r="AQ136" i="4" s="1"/>
  <c r="AT136" i="4" s="1"/>
  <c r="AW136" i="4" s="1"/>
  <c r="AZ136" i="4" s="1"/>
  <c r="BC136" i="4" s="1"/>
  <c r="BF136" i="4" s="1"/>
  <c r="BI136" i="4" s="1"/>
  <c r="AD177" i="4"/>
  <c r="AF177" i="4"/>
  <c r="AH177" i="4"/>
  <c r="AN157" i="4"/>
  <c r="AN214" i="4"/>
  <c r="AH106" i="63731"/>
  <c r="F87" i="4"/>
  <c r="K217" i="4"/>
  <c r="K39" i="63723"/>
  <c r="N18" i="63723"/>
  <c r="AK159" i="4"/>
  <c r="AJ159" i="4" s="1"/>
  <c r="H57" i="4"/>
  <c r="H77" i="4"/>
  <c r="H53" i="4"/>
  <c r="H12" i="4"/>
  <c r="J77" i="4"/>
  <c r="J53" i="4"/>
  <c r="J57" i="4"/>
  <c r="K151" i="4"/>
  <c r="N144" i="4"/>
  <c r="M12" i="4"/>
  <c r="D46" i="63682"/>
  <c r="D23" i="63682"/>
  <c r="D59" i="63682"/>
  <c r="D62" i="63682"/>
  <c r="E333" i="2"/>
  <c r="E330" i="2"/>
  <c r="E201" i="2"/>
  <c r="E329" i="2"/>
  <c r="L43" i="63682"/>
  <c r="L42" i="63682" s="1"/>
  <c r="E328" i="2"/>
  <c r="M82" i="63682"/>
  <c r="G175" i="2"/>
  <c r="G177" i="2" s="1"/>
  <c r="N40" i="63682"/>
  <c r="F201" i="2"/>
  <c r="M43" i="63682"/>
  <c r="M42" i="63682" s="1"/>
  <c r="N55" i="63682"/>
  <c r="L85" i="63682"/>
  <c r="L86" i="63682" s="1"/>
  <c r="L83" i="63682"/>
  <c r="E48" i="63682"/>
  <c r="E36" i="63682"/>
  <c r="V95" i="63682" s="1"/>
  <c r="V96" i="63682" s="1"/>
  <c r="V98" i="63682" s="1"/>
  <c r="E28" i="63682"/>
  <c r="E34" i="63682" s="1"/>
  <c r="E70" i="63682"/>
  <c r="V129" i="63682" s="1"/>
  <c r="V130" i="63682" s="1"/>
  <c r="V102" i="63682"/>
  <c r="V103" i="63682" s="1"/>
  <c r="F49" i="63682"/>
  <c r="F31" i="63682"/>
  <c r="W93" i="63682"/>
  <c r="W94" i="63682" s="1"/>
  <c r="F27" i="2"/>
  <c r="F32" i="63682"/>
  <c r="G114" i="2"/>
  <c r="G116" i="2" s="1"/>
  <c r="G122" i="2" s="1"/>
  <c r="G127" i="2" s="1"/>
  <c r="G131" i="2" s="1"/>
  <c r="G138" i="2" s="1"/>
  <c r="G83" i="2"/>
  <c r="G90" i="2"/>
  <c r="G22" i="2" s="1"/>
  <c r="M81" i="63682"/>
  <c r="G41" i="63682"/>
  <c r="F37" i="63682"/>
  <c r="F26" i="2"/>
  <c r="F16" i="63682"/>
  <c r="F38" i="2"/>
  <c r="F52" i="4"/>
  <c r="G227" i="4"/>
  <c r="H101" i="4"/>
  <c r="H112" i="4" s="1"/>
  <c r="H115" i="4" s="1"/>
  <c r="J190" i="4"/>
  <c r="AG177" i="4" l="1"/>
  <c r="AI177" i="4"/>
  <c r="AT167" i="4"/>
  <c r="AW167" i="4" s="1"/>
  <c r="AZ167" i="4" s="1"/>
  <c r="BC167" i="4" s="1"/>
  <c r="BF167" i="4" s="1"/>
  <c r="BI167" i="4" s="1"/>
  <c r="J63" i="63743" a="1"/>
  <c r="J63" i="63743" s="1"/>
  <c r="AK177" i="4"/>
  <c r="AJ177" i="4" s="1"/>
  <c r="AQ214" i="4"/>
  <c r="AI106" i="63731"/>
  <c r="AQ157" i="4"/>
  <c r="J56" i="63743" s="1" a="1"/>
  <c r="J56" i="63743" s="1"/>
  <c r="M190" i="4"/>
  <c r="M191" i="4"/>
  <c r="H207" i="4"/>
  <c r="H210" i="4" s="1"/>
  <c r="H212" i="4" s="1"/>
  <c r="AN159" i="4"/>
  <c r="N31" i="63723"/>
  <c r="N30" i="63723" s="1"/>
  <c r="N26" i="63723"/>
  <c r="N16" i="63723"/>
  <c r="N217" i="4"/>
  <c r="M34" i="4"/>
  <c r="L33" i="63723"/>
  <c r="L38" i="63723" s="1"/>
  <c r="K38" i="63723"/>
  <c r="K153" i="4"/>
  <c r="K180" i="4" s="1"/>
  <c r="I101" i="4"/>
  <c r="I112" i="4" s="1"/>
  <c r="I115" i="4" s="1"/>
  <c r="I12" i="4"/>
  <c r="J63" i="4"/>
  <c r="J58" i="4"/>
  <c r="J207" i="4"/>
  <c r="F77" i="4"/>
  <c r="F53" i="4"/>
  <c r="F57" i="4"/>
  <c r="N151" i="4"/>
  <c r="D28" i="63682"/>
  <c r="D34" i="63682" s="1"/>
  <c r="D48" i="63682"/>
  <c r="D36" i="63682"/>
  <c r="U95" i="63682" s="1"/>
  <c r="U96" i="63682" s="1"/>
  <c r="V97" i="63682" s="1"/>
  <c r="D70" i="63682"/>
  <c r="U129" i="63682" s="1"/>
  <c r="U130" i="63682" s="1"/>
  <c r="U102" i="63682"/>
  <c r="U103" i="63682" s="1"/>
  <c r="D217" i="4"/>
  <c r="E142" i="4"/>
  <c r="D151" i="4"/>
  <c r="N82" i="63682"/>
  <c r="E44" i="2"/>
  <c r="E203" i="2"/>
  <c r="E215" i="2"/>
  <c r="M101" i="4"/>
  <c r="F44" i="2"/>
  <c r="F215" i="2"/>
  <c r="F203" i="2"/>
  <c r="G201" i="2"/>
  <c r="N43" i="63682"/>
  <c r="N42" i="63682" s="1"/>
  <c r="E338" i="2"/>
  <c r="E348" i="2" s="1"/>
  <c r="R142" i="4"/>
  <c r="M88" i="4"/>
  <c r="G29" i="63682"/>
  <c r="G231" i="2"/>
  <c r="G24" i="2"/>
  <c r="M85" i="63682"/>
  <c r="M86" i="63682" s="1"/>
  <c r="M83" i="63682"/>
  <c r="G316" i="2"/>
  <c r="G326" i="2" s="1"/>
  <c r="G75" i="2"/>
  <c r="G378" i="2"/>
  <c r="G396" i="2" s="1"/>
  <c r="M58" i="63682"/>
  <c r="F18" i="63682"/>
  <c r="W119" i="63682"/>
  <c r="F54" i="63682"/>
  <c r="F56" i="63682" s="1"/>
  <c r="G25" i="2"/>
  <c r="G279" i="2"/>
  <c r="F42" i="63682"/>
  <c r="G207" i="4"/>
  <c r="F207" i="4" s="1"/>
  <c r="G63" i="4"/>
  <c r="H202" i="4"/>
  <c r="H87" i="4"/>
  <c r="M112" i="4" l="1"/>
  <c r="M115" i="4" s="1"/>
  <c r="AN177" i="4"/>
  <c r="AQ177" i="4" s="1"/>
  <c r="AT177" i="4" s="1"/>
  <c r="AW177" i="4" s="1"/>
  <c r="AZ177" i="4" s="1"/>
  <c r="BC177" i="4" s="1"/>
  <c r="BF177" i="4" s="1"/>
  <c r="BI177" i="4" s="1"/>
  <c r="K184" i="4"/>
  <c r="AT157" i="4"/>
  <c r="AT214" i="4"/>
  <c r="AJ106" i="63731"/>
  <c r="H209" i="4"/>
  <c r="H208" i="4"/>
  <c r="M224" i="4"/>
  <c r="M125" i="4"/>
  <c r="M64" i="4"/>
  <c r="N153" i="4"/>
  <c r="N39" i="63723"/>
  <c r="O20" i="63723"/>
  <c r="E144" i="4"/>
  <c r="K179" i="4"/>
  <c r="AQ159" i="4"/>
  <c r="L88" i="4"/>
  <c r="M225" i="4"/>
  <c r="J209" i="4"/>
  <c r="I207" i="4"/>
  <c r="I208" i="4" s="1"/>
  <c r="J210" i="4"/>
  <c r="J208" i="4"/>
  <c r="M85" i="4"/>
  <c r="M82" i="4"/>
  <c r="J151" i="4"/>
  <c r="U97" i="63682"/>
  <c r="U98" i="63682"/>
  <c r="G215" i="2"/>
  <c r="G203" i="2"/>
  <c r="G44" i="2"/>
  <c r="D153" i="4"/>
  <c r="D179" i="4" s="1"/>
  <c r="G151" i="4"/>
  <c r="N81" i="63682"/>
  <c r="G27" i="2"/>
  <c r="G32" i="63682"/>
  <c r="F21" i="63682"/>
  <c r="G31" i="63682"/>
  <c r="G49" i="63682"/>
  <c r="F77" i="63682"/>
  <c r="F72" i="63682"/>
  <c r="F47" i="63682"/>
  <c r="G16" i="63682"/>
  <c r="G38" i="2"/>
  <c r="G37" i="63682"/>
  <c r="G26" i="2"/>
  <c r="H227" i="4"/>
  <c r="G209" i="4"/>
  <c r="G210" i="4"/>
  <c r="F210" i="4" s="1"/>
  <c r="F63" i="4"/>
  <c r="H211" i="4" l="1"/>
  <c r="AK106" i="63731"/>
  <c r="AQ106" i="63731" s="1"/>
  <c r="AW214" i="4"/>
  <c r="AZ214" i="4" s="1"/>
  <c r="AW157" i="4"/>
  <c r="AZ157" i="4" s="1"/>
  <c r="Q204" i="4"/>
  <c r="F209" i="4"/>
  <c r="E151" i="4"/>
  <c r="E39" i="63723"/>
  <c r="E31" i="63723"/>
  <c r="E29" i="63723" s="1"/>
  <c r="N179" i="4"/>
  <c r="AT159" i="4"/>
  <c r="O33" i="63723"/>
  <c r="O38" i="63723" s="1"/>
  <c r="N38" i="63723"/>
  <c r="E217" i="4"/>
  <c r="N184" i="4"/>
  <c r="J212" i="4"/>
  <c r="I210" i="4"/>
  <c r="I212" i="4" s="1"/>
  <c r="J211" i="4"/>
  <c r="I209" i="4"/>
  <c r="J66" i="4"/>
  <c r="D184" i="4"/>
  <c r="D180" i="4"/>
  <c r="G54" i="63682"/>
  <c r="G56" i="63682" s="1"/>
  <c r="G18" i="63682"/>
  <c r="N58" i="63682"/>
  <c r="N85" i="63682"/>
  <c r="N86" i="63682" s="1"/>
  <c r="N83" i="63682"/>
  <c r="F23" i="63682"/>
  <c r="F46" i="63682"/>
  <c r="G42" i="63682"/>
  <c r="G66" i="4"/>
  <c r="H64" i="4"/>
  <c r="H203" i="4"/>
  <c r="H63" i="4"/>
  <c r="H58" i="4"/>
  <c r="BC157" i="4" l="1"/>
  <c r="BF157" i="4" s="1"/>
  <c r="BI157" i="4" s="1"/>
  <c r="BC214" i="4"/>
  <c r="AM106" i="63731"/>
  <c r="AL106" i="63731"/>
  <c r="AW159" i="4"/>
  <c r="AZ159" i="4" s="1"/>
  <c r="F33" i="63723"/>
  <c r="F38" i="63723" s="1"/>
  <c r="E38" i="63723"/>
  <c r="I211" i="4"/>
  <c r="E153" i="4"/>
  <c r="F48" i="63682"/>
  <c r="F28" i="63682"/>
  <c r="F34" i="63682" s="1"/>
  <c r="F36" i="63682"/>
  <c r="W95" i="63682" s="1"/>
  <c r="W96" i="63682" s="1"/>
  <c r="G21" i="63682"/>
  <c r="G47" i="63682"/>
  <c r="G77" i="63682"/>
  <c r="G72" i="63682"/>
  <c r="F66" i="4"/>
  <c r="AN106" i="63731" l="1"/>
  <c r="BF214" i="4"/>
  <c r="BC159" i="4"/>
  <c r="E179" i="4"/>
  <c r="H204" i="4"/>
  <c r="E180" i="4"/>
  <c r="E184" i="4"/>
  <c r="M77" i="4"/>
  <c r="M53" i="4"/>
  <c r="W97" i="63682"/>
  <c r="W98" i="63682"/>
  <c r="G23" i="63682"/>
  <c r="G46" i="63682"/>
  <c r="H66" i="4"/>
  <c r="AO106" i="63731" l="1"/>
  <c r="BI214" i="4"/>
  <c r="AP106" i="63731" s="1"/>
  <c r="BF159" i="4"/>
  <c r="M207" i="4"/>
  <c r="P208" i="4" s="1"/>
  <c r="H67" i="4"/>
  <c r="G28" i="63682"/>
  <c r="G34" i="63682" s="1"/>
  <c r="G36" i="63682"/>
  <c r="G48" i="63682"/>
  <c r="BI159" i="4" l="1"/>
  <c r="M210" i="4"/>
  <c r="P212" i="4" s="1"/>
  <c r="M209" i="4"/>
  <c r="M211" i="4" s="1"/>
  <c r="M215" i="4"/>
  <c r="M208" i="4"/>
  <c r="G162" i="4"/>
  <c r="G178" i="4"/>
  <c r="G108" i="4"/>
  <c r="M212" i="4" l="1"/>
  <c r="P211" i="4"/>
  <c r="F108" i="4"/>
  <c r="G109" i="4"/>
  <c r="G217" i="4"/>
  <c r="G203" i="4"/>
  <c r="G171" i="4"/>
  <c r="F109" i="4" l="1"/>
  <c r="G185" i="4"/>
  <c r="H113" i="4" l="1"/>
  <c r="G137" i="4"/>
  <c r="G199" i="4"/>
  <c r="G200" i="4" s="1"/>
  <c r="G202" i="4" s="1"/>
  <c r="J113" i="4" l="1"/>
  <c r="G216" i="4"/>
  <c r="G229" i="4"/>
  <c r="G153" i="4"/>
  <c r="G179" i="4" l="1"/>
  <c r="G180" i="4"/>
  <c r="G204" i="4"/>
  <c r="G230" i="4"/>
  <c r="G184" i="4"/>
  <c r="I48" i="4" l="1"/>
  <c r="I50" i="4" s="1"/>
  <c r="J87" i="4" l="1"/>
  <c r="I87" i="4" l="1"/>
  <c r="J64" i="4"/>
  <c r="I66" i="4" l="1"/>
  <c r="I72" i="4"/>
  <c r="J67" i="4"/>
  <c r="L73" i="4" l="1"/>
  <c r="I67" i="4"/>
  <c r="I75" i="4"/>
  <c r="H72" i="4"/>
  <c r="J72" i="4"/>
  <c r="Y105" i="63731" s="1"/>
  <c r="Y107" i="63731" s="1"/>
  <c r="J74" i="4"/>
  <c r="J75" i="4" l="1"/>
  <c r="M73" i="4"/>
  <c r="H73" i="4"/>
  <c r="K73" i="4"/>
  <c r="H75" i="4"/>
  <c r="J178" i="4" l="1"/>
  <c r="J108" i="4"/>
  <c r="J162" i="4"/>
  <c r="I108" i="4" l="1"/>
  <c r="J217" i="4"/>
  <c r="J203" i="4"/>
  <c r="J109" i="4"/>
  <c r="J171" i="4"/>
  <c r="J185" i="4" l="1"/>
  <c r="J229" i="4" l="1"/>
  <c r="J230" i="4" s="1"/>
  <c r="J216" i="4"/>
  <c r="K113" i="4"/>
  <c r="M113" i="4" s="1"/>
  <c r="J137" i="4"/>
  <c r="J199" i="4"/>
  <c r="J200" i="4" s="1"/>
  <c r="J202" i="4" s="1"/>
  <c r="J153" i="4" l="1"/>
  <c r="J184" i="4" l="1"/>
  <c r="J179" i="4"/>
  <c r="J204" i="4"/>
  <c r="J180" i="4"/>
  <c r="L48" i="4" l="1"/>
  <c r="L50" i="4" s="1"/>
  <c r="M87" i="4" l="1"/>
  <c r="M93" i="4" l="1"/>
  <c r="Z69" i="63731" s="1"/>
  <c r="M58" i="4" l="1"/>
  <c r="M66" i="4" l="1"/>
  <c r="M67" i="4" l="1"/>
  <c r="M74" i="4" l="1"/>
  <c r="M75" i="4" l="1"/>
  <c r="M178" i="4"/>
  <c r="M108" i="4"/>
  <c r="L108" i="4" l="1"/>
  <c r="M217" i="4"/>
  <c r="M162" i="4"/>
  <c r="M109" i="4"/>
  <c r="M203" i="4"/>
  <c r="M171" i="4" l="1"/>
  <c r="M185" i="4" l="1"/>
  <c r="M216" i="4"/>
  <c r="M229" i="4"/>
  <c r="M230" i="4" s="1"/>
  <c r="M137" i="4"/>
  <c r="M199" i="4"/>
  <c r="M200" i="4" s="1"/>
  <c r="M202" i="4" s="1"/>
  <c r="M153" i="4" l="1"/>
  <c r="M179" i="4" l="1"/>
  <c r="N216" i="4"/>
  <c r="O113" i="4"/>
  <c r="M184" i="4"/>
  <c r="M204" i="4"/>
  <c r="M180" i="4"/>
  <c r="O48" i="4" l="1"/>
  <c r="O50" i="4" l="1"/>
  <c r="K101" i="4"/>
  <c r="K112" i="4" s="1"/>
  <c r="K115" i="4" s="1"/>
  <c r="L101" i="4" l="1"/>
  <c r="L112" i="4" s="1"/>
  <c r="L115" i="4" s="1"/>
  <c r="K77" i="4"/>
  <c r="K53" i="4"/>
  <c r="K57" i="4"/>
  <c r="K82" i="4"/>
  <c r="L82" i="4" s="1"/>
  <c r="L85" i="4"/>
  <c r="K12" i="4"/>
  <c r="N12" i="4"/>
  <c r="K85" i="4"/>
  <c r="K204" i="4"/>
  <c r="K202" i="4"/>
  <c r="K87" i="4"/>
  <c r="L12" i="4" l="1"/>
  <c r="K58" i="4"/>
  <c r="K63" i="4"/>
  <c r="K207" i="4"/>
  <c r="K93" i="4"/>
  <c r="L87" i="4"/>
  <c r="L93" i="4" l="1"/>
  <c r="K215" i="4"/>
  <c r="K209" i="4"/>
  <c r="K210" i="4"/>
  <c r="K208" i="4"/>
  <c r="L207" i="4"/>
  <c r="K109" i="4"/>
  <c r="K203" i="4"/>
  <c r="K64" i="4"/>
  <c r="L208" i="4" l="1"/>
  <c r="K212" i="4"/>
  <c r="L210" i="4"/>
  <c r="K211" i="4"/>
  <c r="L209" i="4"/>
  <c r="L109" i="4"/>
  <c r="L77" i="4" l="1"/>
  <c r="L53" i="4"/>
  <c r="L211" i="4"/>
  <c r="L212" i="4"/>
  <c r="K229" i="4"/>
  <c r="K230" i="4" s="1"/>
  <c r="K216" i="4"/>
  <c r="L57" i="4"/>
  <c r="L113" i="4"/>
  <c r="K66" i="4"/>
  <c r="K75" i="4" s="1"/>
  <c r="L63" i="4" l="1"/>
  <c r="K67" i="4"/>
  <c r="L66" i="4"/>
  <c r="L67" i="4" l="1"/>
  <c r="L75" i="4"/>
  <c r="I57" i="4" l="1"/>
  <c r="I53" i="4"/>
  <c r="I77" i="4"/>
  <c r="I63" i="4" l="1"/>
  <c r="I58" i="4"/>
  <c r="I64" i="4"/>
  <c r="L58" i="4"/>
  <c r="H109" i="4"/>
  <c r="L64" i="4" l="1"/>
  <c r="I109" i="4"/>
  <c r="H216" i="4" l="1"/>
  <c r="I113" i="4"/>
  <c r="H229" i="4"/>
  <c r="H230" i="4" s="1"/>
  <c r="N57" i="4" l="1"/>
  <c r="C28" i="63736" s="1"/>
  <c r="N53" i="4"/>
  <c r="N77" i="4"/>
  <c r="N85" i="4"/>
  <c r="N82" i="4"/>
  <c r="N87" i="4"/>
  <c r="N204" i="4"/>
  <c r="N202" i="4"/>
  <c r="C22" i="63736" l="1"/>
  <c r="N93" i="4"/>
  <c r="N207" i="4"/>
  <c r="N209" i="4" s="1"/>
  <c r="N208" i="4" l="1"/>
  <c r="O207" i="4"/>
  <c r="O208" i="4" s="1"/>
  <c r="N215" i="4"/>
  <c r="N210" i="4"/>
  <c r="N212" i="4" s="1"/>
  <c r="O209" i="4"/>
  <c r="N211" i="4"/>
  <c r="N203" i="4"/>
  <c r="N58" i="4"/>
  <c r="N63" i="4"/>
  <c r="C24" i="63736" s="1"/>
  <c r="C23" i="63736" s="1"/>
  <c r="O210" i="4" l="1"/>
  <c r="O212" i="4" s="1"/>
  <c r="O211" i="4"/>
  <c r="N64" i="4"/>
  <c r="N66" i="4"/>
  <c r="C30" i="63736" s="1"/>
  <c r="N75" i="4" l="1"/>
  <c r="N67" i="4"/>
  <c r="P101" i="4" l="1"/>
  <c r="P9" i="4"/>
  <c r="O9" i="4" s="1"/>
  <c r="P191" i="4"/>
  <c r="P112" i="4" l="1"/>
  <c r="P115" i="4" s="1"/>
  <c r="O101" i="4"/>
  <c r="O112" i="4" s="1"/>
  <c r="O115" i="4" s="1"/>
  <c r="P87" i="4"/>
  <c r="P190" i="4"/>
  <c r="O87" i="4" l="1"/>
  <c r="O85" i="4"/>
  <c r="P85" i="4"/>
  <c r="P82" i="4"/>
  <c r="P58" i="4"/>
  <c r="O52" i="4"/>
  <c r="O82" i="4" l="1"/>
  <c r="O77" i="4"/>
  <c r="O53" i="4"/>
  <c r="O57" i="4"/>
  <c r="D28" i="63736" s="1"/>
  <c r="N28" i="63736" l="1"/>
  <c r="I28" i="63736"/>
  <c r="D22" i="63736"/>
  <c r="O63" i="4"/>
  <c r="D24" i="63736" s="1"/>
  <c r="N24" i="63736" s="1"/>
  <c r="O58" i="4"/>
  <c r="P66" i="4"/>
  <c r="E30" i="63736" s="1"/>
  <c r="P30" i="63736" s="1"/>
  <c r="N22" i="63736" l="1"/>
  <c r="D23" i="63736"/>
  <c r="N23" i="63736" s="1"/>
  <c r="O64" i="4"/>
  <c r="P67" i="4"/>
  <c r="O66" i="4"/>
  <c r="D30" i="63736" l="1"/>
  <c r="N30" i="63736" s="1"/>
  <c r="O67" i="4"/>
  <c r="O75" i="4"/>
  <c r="P178" i="4" l="1"/>
  <c r="P162" i="4"/>
  <c r="P108" i="4"/>
  <c r="P217" i="4" l="1"/>
  <c r="O108" i="4"/>
  <c r="P109" i="4"/>
  <c r="P171" i="4"/>
  <c r="P203" i="4"/>
  <c r="O109" i="4" l="1"/>
  <c r="P185" i="4"/>
  <c r="P229" i="4" l="1"/>
  <c r="P230" i="4" s="1"/>
  <c r="P216" i="4"/>
  <c r="Q113" i="4"/>
  <c r="R113" i="4" s="1"/>
  <c r="P12" i="4"/>
  <c r="O12" i="4" l="1"/>
  <c r="P93" i="4"/>
  <c r="AA69" i="63731" s="1"/>
  <c r="O93" i="4" l="1"/>
  <c r="P137" i="4"/>
  <c r="P199" i="4"/>
  <c r="P200" i="4" s="1"/>
  <c r="P202" i="4" s="1"/>
  <c r="S113" i="4"/>
  <c r="P153" i="4" l="1"/>
  <c r="AB66" i="63731" l="1"/>
  <c r="P184" i="4"/>
  <c r="P179" i="4"/>
  <c r="S226" i="4"/>
  <c r="P180" i="4"/>
  <c r="P204" i="4"/>
  <c r="R48" i="4"/>
  <c r="Q58" i="4" l="1"/>
  <c r="Q64" i="4"/>
  <c r="Q63" i="4"/>
  <c r="Q207" i="4"/>
  <c r="F24" i="63736" l="1"/>
  <c r="G24" i="63736" s="1"/>
  <c r="Q24" i="63736" s="1"/>
  <c r="Q215" i="4"/>
  <c r="Q210" i="4"/>
  <c r="Q212" i="4" s="1"/>
  <c r="Q208" i="4"/>
  <c r="Q209" i="4"/>
  <c r="T24" i="63736" l="1"/>
  <c r="V24" i="63736" s="1"/>
  <c r="F23" i="63736"/>
  <c r="G23" i="63736" s="1"/>
  <c r="V23" i="63736" s="1"/>
  <c r="Q211" i="4"/>
  <c r="J22" i="63736"/>
  <c r="Q66" i="4"/>
  <c r="Q23" i="63736" l="1"/>
  <c r="H71" i="63736"/>
  <c r="F30" i="63736"/>
  <c r="T30" i="63736" s="1"/>
  <c r="Q75" i="4"/>
  <c r="G30" i="63736" l="1"/>
  <c r="Q30" i="63736" s="1"/>
  <c r="J74" i="63682"/>
  <c r="V30" i="63736" l="1"/>
  <c r="R135" i="4" l="1"/>
  <c r="S225" i="4"/>
  <c r="J24" i="63736" l="1"/>
  <c r="J23" i="63736"/>
  <c r="I22" i="63736" l="1"/>
  <c r="I23" i="63736"/>
  <c r="I30" i="63736" l="1"/>
  <c r="Q213" i="4"/>
  <c r="J88" i="4" l="1"/>
  <c r="J224" i="4" l="1"/>
  <c r="J125" i="4"/>
  <c r="J225" i="4"/>
  <c r="J215" i="4"/>
  <c r="J93" i="4"/>
  <c r="J85" i="4" l="1"/>
  <c r="J82" i="4"/>
  <c r="Y69" i="63731" s="1"/>
  <c r="H88" i="4"/>
  <c r="H224" i="4" l="1"/>
  <c r="H125" i="4"/>
  <c r="H215" i="4"/>
  <c r="I88" i="4"/>
  <c r="H93" i="4"/>
  <c r="H225" i="4"/>
  <c r="I93" i="4" l="1"/>
  <c r="I85" i="4"/>
  <c r="H85" i="4" l="1"/>
  <c r="H82" i="4"/>
  <c r="I82" i="4" s="1"/>
  <c r="G88" i="4" l="1"/>
  <c r="G224" i="4" l="1"/>
  <c r="G125" i="4"/>
  <c r="G93" i="4"/>
  <c r="G225" i="4"/>
  <c r="G215" i="4"/>
  <c r="G82" i="4" l="1"/>
  <c r="G85" i="4"/>
  <c r="D88" i="4"/>
  <c r="D224" i="4" l="1"/>
  <c r="D125" i="4"/>
  <c r="C88" i="4"/>
  <c r="D225" i="4"/>
  <c r="E88" i="4" l="1"/>
  <c r="E224" i="4" l="1"/>
  <c r="E125" i="4"/>
  <c r="E215" i="4"/>
  <c r="F88" i="4"/>
  <c r="E93" i="4"/>
  <c r="F85" i="4"/>
  <c r="E225" i="4"/>
  <c r="F93" i="4" l="1"/>
  <c r="E85" i="4"/>
  <c r="E82" i="4"/>
  <c r="F82" i="4" s="1"/>
  <c r="C85" i="4"/>
  <c r="D82" i="4" l="1"/>
  <c r="C82" i="4" s="1"/>
  <c r="D85" i="4"/>
  <c r="C36" i="4" l="1"/>
  <c r="D204" i="4"/>
  <c r="E204" i="4"/>
  <c r="D57" i="4"/>
  <c r="D77" i="4"/>
  <c r="D53" i="4"/>
  <c r="D87" i="4"/>
  <c r="F37" i="4" l="1"/>
  <c r="C38" i="4"/>
  <c r="C250" i="4"/>
  <c r="C252" i="4" s="1"/>
  <c r="C241" i="4"/>
  <c r="D63" i="4"/>
  <c r="D58" i="4"/>
  <c r="D203" i="4"/>
  <c r="D75" i="4"/>
  <c r="C77" i="4"/>
  <c r="C57" i="4"/>
  <c r="C53" i="4"/>
  <c r="C87" i="4"/>
  <c r="D93" i="4"/>
  <c r="C93" i="4" s="1"/>
  <c r="G58" i="4"/>
  <c r="D207" i="4"/>
  <c r="F243" i="4" l="1"/>
  <c r="C242" i="4"/>
  <c r="C207" i="4"/>
  <c r="F208" i="4" s="1"/>
  <c r="D208" i="4"/>
  <c r="D64" i="4"/>
  <c r="G64" i="4"/>
  <c r="G208" i="4"/>
  <c r="D210" i="4"/>
  <c r="D209" i="4"/>
  <c r="D215" i="4"/>
  <c r="C63" i="4"/>
  <c r="F64" i="4" s="1"/>
  <c r="F58" i="4"/>
  <c r="D211" i="4" l="1"/>
  <c r="C209" i="4"/>
  <c r="F211" i="4" s="1"/>
  <c r="C210" i="4"/>
  <c r="F212" i="4" s="1"/>
  <c r="D212" i="4"/>
  <c r="G211" i="4"/>
  <c r="D66" i="4"/>
  <c r="G212" i="4"/>
  <c r="D67" i="4" l="1"/>
  <c r="G67" i="4"/>
  <c r="C66" i="4"/>
  <c r="C75" i="4" s="1"/>
  <c r="F67" i="4" l="1"/>
  <c r="F75" i="4"/>
  <c r="F72" i="4"/>
  <c r="G71" i="4"/>
  <c r="G213" i="4" s="1"/>
  <c r="X105" i="63731" l="1"/>
  <c r="X107" i="63731" s="1"/>
  <c r="X110" i="63731" s="1"/>
  <c r="F73" i="4"/>
  <c r="I73" i="4"/>
  <c r="F213" i="4"/>
  <c r="G72" i="4"/>
  <c r="J73" i="4" s="1"/>
  <c r="G74" i="4"/>
  <c r="G75" i="4" l="1"/>
  <c r="G73" i="4"/>
  <c r="N22" i="63723"/>
  <c r="O22" i="63723" s="1"/>
  <c r="O25" i="63723" s="1"/>
  <c r="I31" i="63736" l="1"/>
  <c r="R134" i="4" l="1"/>
  <c r="V117" i="4" l="1"/>
  <c r="S137" i="4"/>
  <c r="R133" i="4"/>
  <c r="R114" i="4" l="1"/>
  <c r="R137" i="4"/>
  <c r="AE38" i="63726" l="1"/>
  <c r="AH38" i="63726"/>
  <c r="AK38" i="63726"/>
  <c r="AN38" i="63726"/>
  <c r="AQ38" i="63726"/>
  <c r="AT38" i="63726"/>
  <c r="M89" i="63736"/>
  <c r="AE42" i="63726"/>
  <c r="AH42" i="63726"/>
  <c r="AK42" i="63726"/>
  <c r="AN42" i="63726"/>
  <c r="AQ42" i="63726"/>
  <c r="AT42" i="63726"/>
  <c r="AJ42" i="63726" l="1"/>
  <c r="R33" i="63743" a="1"/>
  <c r="R33" i="63743" s="1"/>
  <c r="Q33" i="63743" a="1"/>
  <c r="Q33" i="63743" s="1"/>
  <c r="P33" i="63743" a="1"/>
  <c r="P33" i="63743" s="1"/>
  <c r="AG42" i="63726"/>
  <c r="O89" i="63736"/>
  <c r="M92" i="63736"/>
  <c r="V58" i="63726"/>
  <c r="AW43" i="63726"/>
  <c r="AT43" i="63726"/>
  <c r="AH43" i="63726"/>
  <c r="Q41" i="63743" s="1" a="1"/>
  <c r="Q41" i="63743" s="1"/>
  <c r="AQ43" i="63726"/>
  <c r="AK43" i="63726"/>
  <c r="AN43" i="63726"/>
  <c r="AE43" i="63726"/>
  <c r="P41" i="63743" s="1" a="1"/>
  <c r="P41" i="63743" s="1"/>
  <c r="AE58" i="63726"/>
  <c r="U49" i="63726"/>
  <c r="U48" i="63726" l="1"/>
  <c r="X48" i="63726"/>
  <c r="AJ43" i="63726"/>
  <c r="P32" i="63743" a="1"/>
  <c r="P32" i="63743" s="1"/>
  <c r="V64" i="63726"/>
  <c r="L91" i="63736"/>
  <c r="N91" i="63736" s="1"/>
  <c r="M96" i="63736"/>
  <c r="O96" i="63736" s="1"/>
  <c r="Y60" i="63726"/>
  <c r="V73" i="63726"/>
  <c r="AN60" i="63726"/>
  <c r="AE102" i="63726"/>
  <c r="O92" i="63736"/>
  <c r="M94" i="63736"/>
  <c r="X50" i="63726"/>
  <c r="U50" i="63726"/>
  <c r="V102" i="63726"/>
  <c r="P37" i="63743" l="1" a="1"/>
  <c r="P37" i="63743" s="1"/>
  <c r="V108" i="63726"/>
  <c r="M101" i="63736"/>
  <c r="O101" i="63736" s="1"/>
  <c r="O94" i="63736"/>
  <c r="M106" i="63736"/>
  <c r="O106" i="63736" s="1"/>
  <c r="AB58" i="63726"/>
  <c r="AE5" i="4"/>
  <c r="AE58" i="63723" l="1"/>
  <c r="AE8" i="63723" s="1"/>
  <c r="AE37" i="63723"/>
  <c r="AC37" i="63723" s="1"/>
  <c r="AE11" i="63723"/>
  <c r="AC11" i="63723" s="1"/>
  <c r="AE59" i="63723"/>
  <c r="AE34" i="63723" s="1"/>
  <c r="O32" i="63743" a="1"/>
  <c r="O32" i="63743" s="1"/>
  <c r="AB64" i="63726"/>
  <c r="H6" i="63743" a="1"/>
  <c r="H6" i="63743" s="1"/>
  <c r="AE27" i="4"/>
  <c r="AK60" i="63726"/>
  <c r="AB102" i="63726"/>
  <c r="AE59" i="63726"/>
  <c r="AE24" i="4"/>
  <c r="AE134" i="4"/>
  <c r="AE223" i="4"/>
  <c r="AB131" i="63726" l="1"/>
  <c r="AB136" i="63726" s="1"/>
  <c r="AB130" i="63726"/>
  <c r="AB129" i="63726"/>
  <c r="AB132" i="63726"/>
  <c r="AB137" i="63726" s="1"/>
  <c r="O37" i="63743" a="1"/>
  <c r="O37" i="63743" s="1"/>
  <c r="AD134" i="4"/>
  <c r="H43" i="63743" a="1"/>
  <c r="H43" i="63743" s="1"/>
  <c r="AD11" i="63723"/>
  <c r="AE187" i="4"/>
  <c r="U134" i="4"/>
  <c r="V9" i="4"/>
  <c r="AN104" i="63726"/>
  <c r="AK104" i="63726"/>
  <c r="AE103" i="63726"/>
  <c r="P45" i="63743" s="1" a="1"/>
  <c r="P45" i="63743" s="1"/>
  <c r="AE96" i="4"/>
  <c r="H28" i="63743" s="1" a="1"/>
  <c r="H28" i="63743" s="1"/>
  <c r="V97" i="4"/>
  <c r="AE97" i="4"/>
  <c r="H29" i="63743" s="1" a="1"/>
  <c r="H29" i="63743" s="1"/>
  <c r="V96" i="4"/>
  <c r="AB135" i="63726" l="1"/>
  <c r="G6" i="63743" a="1"/>
  <c r="G6" i="63743" s="1"/>
  <c r="V126" i="4"/>
  <c r="AE126" i="4"/>
  <c r="M123" i="63736"/>
  <c r="AF84" i="63731"/>
  <c r="AF82" i="63731"/>
  <c r="V101" i="4"/>
  <c r="U158" i="4"/>
  <c r="AC82" i="63731"/>
  <c r="AC84" i="63731"/>
  <c r="AE6" i="4"/>
  <c r="AE101" i="4"/>
  <c r="H31" i="63743" s="1" a="1"/>
  <c r="H31" i="63743" s="1"/>
  <c r="H30" i="63743" s="1"/>
  <c r="P56" i="63743" l="1" a="1"/>
  <c r="P56" i="63743" s="1"/>
  <c r="G43" i="63743" a="1"/>
  <c r="G43" i="63743" s="1"/>
  <c r="AF86" i="63731"/>
  <c r="AC86" i="63731"/>
  <c r="U135" i="4"/>
  <c r="AB96" i="4"/>
  <c r="AB97" i="4"/>
  <c r="AE25" i="4"/>
  <c r="G29" i="63743" l="1" a="1"/>
  <c r="G29" i="63743" s="1"/>
  <c r="AA97" i="4"/>
  <c r="G28" i="63743" a="1"/>
  <c r="G28" i="63743" s="1"/>
  <c r="AA96" i="4"/>
  <c r="AB126" i="4"/>
  <c r="AE84" i="63731"/>
  <c r="AE82" i="63731"/>
  <c r="AB101" i="4"/>
  <c r="AA126" i="4" l="1"/>
  <c r="AA101" i="4"/>
  <c r="G31" i="63743" a="1"/>
  <c r="G31" i="63743" s="1"/>
  <c r="G30" i="63743" s="1"/>
  <c r="AE86" i="63731"/>
  <c r="Q104" i="63726" l="1"/>
  <c r="S114" i="4" l="1"/>
  <c r="J31" i="63736"/>
  <c r="I24" i="63736"/>
  <c r="J30" i="63736"/>
  <c r="J20" i="63736"/>
  <c r="V43" i="63726"/>
  <c r="S43" i="63726"/>
  <c r="R42" i="63726"/>
  <c r="S37" i="63726"/>
  <c r="S38" i="63726" s="1"/>
  <c r="R58" i="63726" l="1"/>
  <c r="U89" i="63736"/>
  <c r="F124" i="63736"/>
  <c r="F125" i="63736"/>
  <c r="V38" i="63726"/>
  <c r="V113" i="4"/>
  <c r="S229" i="4"/>
  <c r="T113" i="4"/>
  <c r="S102" i="63726"/>
  <c r="Q74" i="63726"/>
  <c r="S72" i="63726"/>
  <c r="R71" i="63726"/>
  <c r="V59" i="63726"/>
  <c r="R43" i="63726"/>
  <c r="S108" i="63726" l="1"/>
  <c r="U96" i="63736"/>
  <c r="J96" i="63736" s="1"/>
  <c r="R67" i="63726"/>
  <c r="R59" i="63726"/>
  <c r="R64" i="63726"/>
  <c r="U60" i="63726"/>
  <c r="R102" i="63726"/>
  <c r="J89" i="63736"/>
  <c r="U92" i="63736"/>
  <c r="V104" i="63726"/>
  <c r="S5" i="4"/>
  <c r="V103" i="63726"/>
  <c r="S103" i="63726"/>
  <c r="S96" i="4"/>
  <c r="S97" i="4"/>
  <c r="R59" i="63723"/>
  <c r="R62" i="63723" s="1"/>
  <c r="R160" i="4"/>
  <c r="R74" i="63726"/>
  <c r="R110" i="63726"/>
  <c r="R73" i="63726"/>
  <c r="R72" i="63726"/>
  <c r="R15" i="4"/>
  <c r="V25" i="4"/>
  <c r="R24" i="4"/>
  <c r="R21" i="4"/>
  <c r="S112" i="63726"/>
  <c r="S111" i="63726"/>
  <c r="R58" i="63723"/>
  <c r="R61" i="63723" s="1"/>
  <c r="R18" i="4"/>
  <c r="R63" i="63723" l="1"/>
  <c r="S38" i="4"/>
  <c r="S42" i="4"/>
  <c r="U104" i="63726"/>
  <c r="R103" i="63726"/>
  <c r="R5" i="4"/>
  <c r="S126" i="4"/>
  <c r="V6" i="4"/>
  <c r="S125" i="4"/>
  <c r="J92" i="63736"/>
  <c r="U94" i="63736"/>
  <c r="U101" i="63736"/>
  <c r="J101" i="63736" s="1"/>
  <c r="S62" i="63723"/>
  <c r="S61" i="63723"/>
  <c r="S66" i="63723"/>
  <c r="S65" i="63723"/>
  <c r="S67" i="63723"/>
  <c r="S187" i="4"/>
  <c r="S23" i="4"/>
  <c r="S188" i="4"/>
  <c r="S6" i="4"/>
  <c r="S20" i="4"/>
  <c r="S26" i="4"/>
  <c r="S45" i="4"/>
  <c r="F119" i="63736" s="1"/>
  <c r="K119" i="63736" s="1"/>
  <c r="S17" i="4"/>
  <c r="S223" i="4"/>
  <c r="S11" i="4"/>
  <c r="S29" i="4"/>
  <c r="S186" i="4"/>
  <c r="S193" i="4"/>
  <c r="S196" i="4" s="1"/>
  <c r="F123" i="63736"/>
  <c r="AB84" i="63731"/>
  <c r="R97" i="4"/>
  <c r="R19" i="4"/>
  <c r="AB82" i="63731"/>
  <c r="R96" i="4"/>
  <c r="S101" i="4"/>
  <c r="R111" i="63726"/>
  <c r="R112" i="63726"/>
  <c r="R44" i="4"/>
  <c r="R46" i="4" s="1"/>
  <c r="S9" i="4"/>
  <c r="R22" i="4"/>
  <c r="R16" i="4"/>
  <c r="S124" i="4"/>
  <c r="S201" i="4"/>
  <c r="S224" i="4"/>
  <c r="S50" i="4"/>
  <c r="R25" i="4"/>
  <c r="S39" i="63723"/>
  <c r="R34" i="63723"/>
  <c r="R39" i="63723" s="1"/>
  <c r="R31" i="63723" s="1"/>
  <c r="R29" i="63723" s="1"/>
  <c r="S112" i="4" l="1"/>
  <c r="S115" i="4" s="1"/>
  <c r="R67" i="63723"/>
  <c r="R38" i="4"/>
  <c r="S63" i="63723"/>
  <c r="S12" i="4"/>
  <c r="V12" i="4"/>
  <c r="R23" i="4"/>
  <c r="R17" i="4"/>
  <c r="R65" i="63723"/>
  <c r="R6" i="4"/>
  <c r="R20" i="4"/>
  <c r="R66" i="63723"/>
  <c r="R26" i="4"/>
  <c r="S53" i="4"/>
  <c r="S57" i="4"/>
  <c r="U99" i="63736"/>
  <c r="F107" i="63736"/>
  <c r="U106" i="63736"/>
  <c r="J106" i="63736" s="1"/>
  <c r="J94" i="63736"/>
  <c r="V16" i="4"/>
  <c r="S33" i="4"/>
  <c r="F108" i="63736" s="1"/>
  <c r="S13" i="4"/>
  <c r="V162" i="4"/>
  <c r="U160" i="4"/>
  <c r="U189" i="4" s="1"/>
  <c r="AB86" i="63731"/>
  <c r="S77" i="4"/>
  <c r="S87" i="4"/>
  <c r="V22" i="4"/>
  <c r="R101" i="4"/>
  <c r="AB59" i="63731"/>
  <c r="R8" i="63723"/>
  <c r="R13" i="63723" s="1"/>
  <c r="R5" i="63723" s="1"/>
  <c r="R3" i="63723" s="1"/>
  <c r="T33" i="63723"/>
  <c r="V33" i="63723"/>
  <c r="R158" i="4"/>
  <c r="S189" i="4"/>
  <c r="V190" i="4" s="1"/>
  <c r="R45" i="4"/>
  <c r="U119" i="63736" s="1"/>
  <c r="J119" i="63736" s="1"/>
  <c r="R50" i="4"/>
  <c r="R33" i="4"/>
  <c r="U108" i="63736" l="1"/>
  <c r="U110" i="63736"/>
  <c r="J110" i="63736" s="1"/>
  <c r="U103" i="63736"/>
  <c r="J103" i="63736" s="1"/>
  <c r="J99" i="63736"/>
  <c r="F118" i="63736"/>
  <c r="K118" i="63736" s="1"/>
  <c r="U162" i="4"/>
  <c r="K108" i="63736"/>
  <c r="F127" i="63736"/>
  <c r="F126" i="63736"/>
  <c r="AE17" i="4"/>
  <c r="Z44" i="63723"/>
  <c r="AA44" i="63723" s="1"/>
  <c r="S227" i="4"/>
  <c r="R52" i="4"/>
  <c r="R53" i="4" s="1"/>
  <c r="AB65" i="63731"/>
  <c r="AB67" i="63731" s="1"/>
  <c r="S190" i="4"/>
  <c r="S191" i="4"/>
  <c r="T7" i="63723"/>
  <c r="V7" i="63723"/>
  <c r="R87" i="4"/>
  <c r="S171" i="4"/>
  <c r="R81" i="4"/>
  <c r="R162" i="4"/>
  <c r="Z43" i="63723" l="1"/>
  <c r="F120" i="63736"/>
  <c r="K120" i="63736" s="1"/>
  <c r="F111" i="63736"/>
  <c r="K111" i="63736" s="1"/>
  <c r="R57" i="4"/>
  <c r="AE21" i="4"/>
  <c r="AH17" i="4"/>
  <c r="AE15" i="4"/>
  <c r="S64" i="4"/>
  <c r="S75" i="4"/>
  <c r="S207" i="4"/>
  <c r="S210" i="4" s="1"/>
  <c r="R210" i="4" s="1"/>
  <c r="R212" i="4" s="1"/>
  <c r="AE44" i="63723"/>
  <c r="S58" i="4"/>
  <c r="S63" i="4"/>
  <c r="R171" i="4"/>
  <c r="S185" i="4"/>
  <c r="V13" i="63723"/>
  <c r="V5" i="63723" s="1"/>
  <c r="R91" i="4"/>
  <c r="R144" i="4"/>
  <c r="AC44" i="63723" l="1"/>
  <c r="AD37" i="63723"/>
  <c r="U120" i="63736"/>
  <c r="U111" i="63736"/>
  <c r="R64" i="4"/>
  <c r="R63" i="4"/>
  <c r="R58" i="4"/>
  <c r="AE22" i="4"/>
  <c r="K107" i="63736"/>
  <c r="F113" i="63736"/>
  <c r="AE16" i="4"/>
  <c r="S209" i="4"/>
  <c r="R209" i="4" s="1"/>
  <c r="R211" i="4" s="1"/>
  <c r="AK66" i="63723"/>
  <c r="AK17" i="4"/>
  <c r="S215" i="4"/>
  <c r="R207" i="4"/>
  <c r="R208" i="4" s="1"/>
  <c r="S208" i="4"/>
  <c r="Y7" i="63723"/>
  <c r="W7" i="63723"/>
  <c r="U30" i="63723"/>
  <c r="R140" i="4"/>
  <c r="S212" i="4"/>
  <c r="AD44" i="63723" l="1"/>
  <c r="AD36" i="4" s="1"/>
  <c r="AC225" i="4"/>
  <c r="AC88" i="4"/>
  <c r="AC250" i="4"/>
  <c r="U107" i="63736"/>
  <c r="U113" i="63736"/>
  <c r="U112" i="63736" s="1"/>
  <c r="F112" i="63736"/>
  <c r="K112" i="63736" s="1"/>
  <c r="K113" i="63736"/>
  <c r="Z250" i="4"/>
  <c r="Z88" i="4"/>
  <c r="Z225" i="4"/>
  <c r="S66" i="4"/>
  <c r="S211" i="4"/>
  <c r="AN17" i="4"/>
  <c r="AN66" i="63723"/>
  <c r="S153" i="4"/>
  <c r="U4" i="63723"/>
  <c r="V140" i="4"/>
  <c r="W30" i="63723"/>
  <c r="R66" i="4"/>
  <c r="R151" i="4"/>
  <c r="AD37" i="4" l="1"/>
  <c r="AD250" i="4"/>
  <c r="U115" i="63736"/>
  <c r="F115" i="63736"/>
  <c r="K115" i="63736" s="1"/>
  <c r="S67" i="4"/>
  <c r="AQ17" i="4"/>
  <c r="AQ66" i="63723"/>
  <c r="U140" i="4"/>
  <c r="S184" i="4"/>
  <c r="S179" i="4"/>
  <c r="S204" i="4"/>
  <c r="R72" i="4"/>
  <c r="S213" i="4"/>
  <c r="S72" i="4"/>
  <c r="R153" i="4"/>
  <c r="R73" i="4" l="1"/>
  <c r="U116" i="63736"/>
  <c r="J116" i="63736" s="1"/>
  <c r="S73" i="4"/>
  <c r="F116" i="63736"/>
  <c r="K116" i="63736" s="1"/>
  <c r="R213" i="4"/>
  <c r="AT66" i="63723"/>
  <c r="AT23" i="4"/>
  <c r="AT17" i="4"/>
  <c r="AB105" i="63731"/>
  <c r="AB107" i="63731" s="1"/>
  <c r="AW23" i="4" l="1"/>
  <c r="AZ23" i="4" s="1"/>
  <c r="AW17" i="4"/>
  <c r="AZ17" i="4" s="1"/>
  <c r="AW66" i="63723"/>
  <c r="S178" i="4"/>
  <c r="R176" i="4"/>
  <c r="S108" i="4"/>
  <c r="R105" i="4"/>
  <c r="BC23" i="4" l="1"/>
  <c r="BC17" i="4"/>
  <c r="AZ66" i="63723"/>
  <c r="S217" i="4"/>
  <c r="S216" i="4"/>
  <c r="R108" i="4"/>
  <c r="S230" i="4"/>
  <c r="S199" i="4"/>
  <c r="S200" i="4" s="1"/>
  <c r="S202" i="4" s="1"/>
  <c r="S203" i="4"/>
  <c r="S180" i="4"/>
  <c r="R178" i="4"/>
  <c r="BF23" i="4" l="1"/>
  <c r="BI23" i="4" s="1"/>
  <c r="BF17" i="4"/>
  <c r="BI17" i="4" s="1"/>
  <c r="BC66" i="63723"/>
  <c r="BF66" i="63723" l="1"/>
  <c r="BI66" i="63723" s="1"/>
  <c r="R11" i="4" l="1"/>
  <c r="R12" i="4" s="1"/>
  <c r="R13" i="4" l="1"/>
  <c r="U118" i="63736" s="1"/>
  <c r="R8" i="4"/>
  <c r="R30" i="4"/>
  <c r="R40" i="4" s="1"/>
  <c r="R41" i="4" l="1"/>
  <c r="R42" i="4"/>
  <c r="R233" i="4"/>
  <c r="R235" i="4" s="1"/>
  <c r="R31" i="4"/>
  <c r="R27" i="4"/>
  <c r="R9" i="4"/>
  <c r="R28" i="4" l="1"/>
  <c r="R29" i="4"/>
  <c r="R237" i="4"/>
  <c r="R236" i="4"/>
  <c r="R241" i="4"/>
  <c r="R243" i="4" l="1"/>
  <c r="R242" i="4"/>
  <c r="S183" i="4"/>
  <c r="S123" i="4"/>
  <c r="S81" i="4"/>
  <c r="S85" i="4" l="1"/>
  <c r="S82" i="4"/>
  <c r="S233" i="4"/>
  <c r="S235" i="4" s="1"/>
  <c r="S236" i="4" l="1"/>
  <c r="S237" i="4"/>
  <c r="S241" i="4"/>
  <c r="S243" i="4" l="1"/>
  <c r="S242" i="4"/>
  <c r="S109" i="4"/>
  <c r="S93" i="4"/>
  <c r="AB69" i="63731" l="1"/>
  <c r="R109" i="4"/>
  <c r="R93" i="4"/>
  <c r="R94" i="4" l="1"/>
  <c r="R112" i="4" s="1"/>
  <c r="R115" i="4" s="1"/>
  <c r="R10" i="63724" l="1"/>
  <c r="V2" i="63724"/>
  <c r="S6" i="63724"/>
  <c r="R6" i="63724" s="1"/>
  <c r="R7" i="63724" s="1"/>
  <c r="T2" i="63724"/>
  <c r="T6" i="63724" s="1"/>
  <c r="U6" i="63724" s="1"/>
  <c r="V7" i="63724" l="1"/>
  <c r="T10" i="63724"/>
  <c r="U2" i="63724"/>
  <c r="U7" i="63724" s="1"/>
  <c r="V10" i="63724" l="1"/>
  <c r="U10" i="63724" s="1"/>
  <c r="U165" i="4" s="1"/>
  <c r="Y2" i="63724"/>
  <c r="W2" i="63724"/>
  <c r="W6" i="63724" s="1"/>
  <c r="X6" i="63724" s="1"/>
  <c r="Y7" i="63724" l="1"/>
  <c r="Z2" i="63724" s="1"/>
  <c r="X2" i="63724"/>
  <c r="X7" i="63724" s="1"/>
  <c r="V165" i="4"/>
  <c r="W10" i="63724"/>
  <c r="Z6" i="63724" l="1"/>
  <c r="AA6" i="63724" s="1"/>
  <c r="AA7" i="63724" s="1"/>
  <c r="Z12" i="63724"/>
  <c r="Y10" i="63724"/>
  <c r="Y165" i="4" s="1"/>
  <c r="AB2" i="63724"/>
  <c r="AB7" i="63724" s="1"/>
  <c r="Y12" i="63724"/>
  <c r="F61" i="63743" l="1" a="1"/>
  <c r="F61" i="63743" s="1"/>
  <c r="Y114" i="4"/>
  <c r="X10" i="63724"/>
  <c r="X165" i="4" s="1"/>
  <c r="AB10" i="63724"/>
  <c r="AA10" i="63724" s="1"/>
  <c r="AA165" i="4" s="1"/>
  <c r="AC2" i="63724"/>
  <c r="AC7" i="63724" s="1"/>
  <c r="AE2" i="63724"/>
  <c r="AE7" i="63724" l="1"/>
  <c r="AB165" i="4"/>
  <c r="AD2" i="63724"/>
  <c r="AD7" i="63724" s="1"/>
  <c r="AC13" i="63724"/>
  <c r="AC10" i="63724"/>
  <c r="G61" i="63743" l="1" a="1"/>
  <c r="G61" i="63743" s="1"/>
  <c r="AE10" i="63724"/>
  <c r="AF2" i="63724"/>
  <c r="AF7" i="63724" s="1"/>
  <c r="AH2" i="63724"/>
  <c r="AH7" i="63724" s="1"/>
  <c r="AH10" i="63724" s="1"/>
  <c r="AG10" i="63724" s="1"/>
  <c r="AG165" i="4" s="1"/>
  <c r="AE13" i="63724" l="1"/>
  <c r="AD13" i="63724" s="1"/>
  <c r="AE165" i="4"/>
  <c r="AD10" i="63724"/>
  <c r="AD165" i="4" s="1"/>
  <c r="AG2" i="63724"/>
  <c r="AG7" i="63724" s="1"/>
  <c r="AF10" i="63724"/>
  <c r="AF165" i="4" s="1"/>
  <c r="AF13" i="63724"/>
  <c r="AH165" i="4"/>
  <c r="I61" i="63743" s="1" a="1"/>
  <c r="I61" i="63743" s="1"/>
  <c r="AK2" i="63724"/>
  <c r="AK7" i="63724" s="1"/>
  <c r="AK10" i="63724" s="1"/>
  <c r="H61" i="63743" l="1" a="1"/>
  <c r="H61" i="63743" s="1"/>
  <c r="AF118" i="4"/>
  <c r="AK165" i="4"/>
  <c r="AN2" i="63724"/>
  <c r="AN7" i="63724" s="1"/>
  <c r="AN10" i="63724" s="1"/>
  <c r="AN165" i="4" l="1"/>
  <c r="AQ2" i="63724"/>
  <c r="AQ7" i="63724" s="1"/>
  <c r="AQ10" i="63724" s="1"/>
  <c r="AQ165" i="4" s="1"/>
  <c r="J61" i="63743" s="1" a="1"/>
  <c r="J61" i="63743" s="1"/>
  <c r="S120" i="4"/>
  <c r="R118" i="4"/>
  <c r="S13" i="63724"/>
  <c r="S12" i="63724" s="1"/>
  <c r="AT2" i="63724" l="1"/>
  <c r="AT7" i="63724" s="1"/>
  <c r="AT10" i="63724" s="1"/>
  <c r="AT165" i="4" s="1"/>
  <c r="R13" i="63724"/>
  <c r="R120" i="4"/>
  <c r="AW2" i="63724" l="1"/>
  <c r="AW7" i="63724" s="1"/>
  <c r="AZ2" i="63724" s="1"/>
  <c r="AZ7" i="63724" s="1"/>
  <c r="AZ10" i="63724" s="1"/>
  <c r="AZ165" i="4" s="1"/>
  <c r="R54" i="63723"/>
  <c r="R49" i="63723"/>
  <c r="V48" i="63723"/>
  <c r="V55" i="63723" s="1"/>
  <c r="AW10" i="63724" l="1"/>
  <c r="AW165" i="4" s="1"/>
  <c r="BC2" i="63724"/>
  <c r="BC7" i="63724" s="1"/>
  <c r="BC10" i="63724" s="1"/>
  <c r="BC165" i="4" s="1"/>
  <c r="R43" i="63723"/>
  <c r="R45" i="63723" s="1"/>
  <c r="V42" i="63723"/>
  <c r="V43" i="63723" s="1"/>
  <c r="V49" i="63723" s="1"/>
  <c r="T48" i="63723"/>
  <c r="T55" i="63723" s="1"/>
  <c r="T42" i="63723"/>
  <c r="T43" i="63723" s="1"/>
  <c r="R50" i="63723"/>
  <c r="BF2" i="63724" l="1"/>
  <c r="BF7" i="63724" s="1"/>
  <c r="R51" i="63723"/>
  <c r="V36" i="4"/>
  <c r="V38" i="4" s="1"/>
  <c r="U44" i="63723"/>
  <c r="AC63" i="63731" a="1"/>
  <c r="AC63" i="63731" s="1"/>
  <c r="V37" i="4" l="1"/>
  <c r="Y37" i="4"/>
  <c r="BF10" i="63724"/>
  <c r="BF165" i="4" s="1"/>
  <c r="BI2" i="63724"/>
  <c r="M109" i="63736"/>
  <c r="O109" i="63736" s="1"/>
  <c r="V119" i="4"/>
  <c r="V250" i="4"/>
  <c r="V88" i="4"/>
  <c r="V125" i="4" s="1"/>
  <c r="AC62" i="63731"/>
  <c r="V106" i="4"/>
  <c r="V166" i="4"/>
  <c r="V108" i="4" l="1"/>
  <c r="V109" i="4" s="1"/>
  <c r="V112" i="4"/>
  <c r="V115" i="4" s="1"/>
  <c r="BI7" i="63724"/>
  <c r="BI10" i="63724" s="1"/>
  <c r="BI165" i="4" s="1"/>
  <c r="V225" i="4"/>
  <c r="V114" i="4"/>
  <c r="U166" i="4"/>
  <c r="W42" i="63723"/>
  <c r="Y42" i="63723"/>
  <c r="Y43" i="63723" s="1"/>
  <c r="W48" i="63723"/>
  <c r="Y48" i="63723"/>
  <c r="U43" i="63723"/>
  <c r="V245" i="4"/>
  <c r="Y55" i="63723" l="1"/>
  <c r="Y49" i="63723"/>
  <c r="W55" i="63723"/>
  <c r="V229" i="4"/>
  <c r="U106" i="4"/>
  <c r="V246" i="4"/>
  <c r="V248" i="4" s="1"/>
  <c r="U42" i="63723"/>
  <c r="U45" i="63723" s="1"/>
  <c r="U148" i="4" s="1"/>
  <c r="V169" i="4"/>
  <c r="T245" i="4"/>
  <c r="AD63" i="63731" l="1" a="1"/>
  <c r="AD63" i="63731" s="1"/>
  <c r="U48" i="63723"/>
  <c r="T246" i="4"/>
  <c r="T248" i="4" s="1"/>
  <c r="V171" i="4"/>
  <c r="V253" i="4"/>
  <c r="V252" i="4" s="1"/>
  <c r="V239" i="4"/>
  <c r="V185" i="4" l="1"/>
  <c r="T253" i="4"/>
  <c r="T169" i="4"/>
  <c r="Y106" i="4"/>
  <c r="F34" i="63743" s="1" a="1"/>
  <c r="F34" i="63743" s="1"/>
  <c r="G10" i="63743" l="1" a="1"/>
  <c r="G10" i="63743" s="1"/>
  <c r="G24" i="63743" a="1"/>
  <c r="G24" i="63743" s="1"/>
  <c r="AE62" i="63731"/>
  <c r="AB88" i="4"/>
  <c r="AB250" i="4"/>
  <c r="AB225" i="4" l="1"/>
  <c r="AA88" i="4"/>
  <c r="AA125" i="4" s="1"/>
  <c r="AB125" i="4"/>
  <c r="AE36" i="4" l="1"/>
  <c r="AE38" i="4" s="1"/>
  <c r="AE37" i="4" l="1"/>
  <c r="H10" i="63743" a="1"/>
  <c r="H10" i="63743" s="1"/>
  <c r="H24" i="63743" a="1"/>
  <c r="H24" i="63743" s="1"/>
  <c r="AF62" i="63731"/>
  <c r="AE250" i="4"/>
  <c r="AE88" i="4"/>
  <c r="AE125" i="4" s="1"/>
  <c r="AD88" i="4" l="1"/>
  <c r="AE225" i="4"/>
  <c r="V44" i="4" l="1"/>
  <c r="V46" i="4" l="1"/>
  <c r="V33" i="4"/>
  <c r="V123" i="4" s="1"/>
  <c r="V201" i="4"/>
  <c r="V224" i="4"/>
  <c r="W44" i="4"/>
  <c r="M99" i="63736"/>
  <c r="V111" i="63726"/>
  <c r="V112" i="63726"/>
  <c r="V45" i="4"/>
  <c r="M119" i="63736" s="1"/>
  <c r="O119" i="63736" s="1"/>
  <c r="W112" i="63726"/>
  <c r="W46" i="4" l="1"/>
  <c r="V146" i="4"/>
  <c r="Y146" i="4" s="1"/>
  <c r="M108" i="63736"/>
  <c r="O108" i="63736" s="1"/>
  <c r="G55" i="63736"/>
  <c r="G59" i="63736" s="1"/>
  <c r="W201" i="4"/>
  <c r="V30" i="4"/>
  <c r="V40" i="4" s="1"/>
  <c r="V183" i="4"/>
  <c r="O99" i="63736"/>
  <c r="M110" i="63736"/>
  <c r="O110" i="63736" s="1"/>
  <c r="M103" i="63736"/>
  <c r="O103" i="63736" s="1"/>
  <c r="W45" i="4"/>
  <c r="V81" i="4"/>
  <c r="V85" i="4" s="1"/>
  <c r="V41" i="4" l="1"/>
  <c r="V42" i="4"/>
  <c r="U146" i="4"/>
  <c r="M55" i="63736"/>
  <c r="H55" i="63736"/>
  <c r="M59" i="63736"/>
  <c r="H59" i="63736"/>
  <c r="V82" i="4"/>
  <c r="AE28" i="4" l="1"/>
  <c r="T250" i="4" l="1"/>
  <c r="T252" i="4" s="1"/>
  <c r="T239" i="4"/>
  <c r="T225" i="4"/>
  <c r="W4" i="63723"/>
  <c r="W88" i="4" l="1"/>
  <c r="W250" i="4"/>
  <c r="U88" i="4"/>
  <c r="W224" i="4" l="1"/>
  <c r="W125" i="4"/>
  <c r="W81" i="4"/>
  <c r="U149" i="4" l="1"/>
  <c r="X149" i="4" l="1"/>
  <c r="AE149" i="4" l="1"/>
  <c r="AD149" i="4" l="1"/>
  <c r="AF149" i="4"/>
  <c r="AH149" i="4"/>
  <c r="AG149" i="4" l="1"/>
  <c r="AI149" i="4"/>
  <c r="AK149" i="4"/>
  <c r="AJ149" i="4" s="1"/>
  <c r="AN149" i="4" l="1"/>
  <c r="AQ149" i="4" s="1"/>
  <c r="AT149" i="4" l="1"/>
  <c r="AW149" i="4" l="1"/>
  <c r="AZ149" i="4" s="1"/>
  <c r="BC149" i="4" s="1"/>
  <c r="BF149" i="4" s="1"/>
  <c r="BI149" i="4" s="1"/>
  <c r="T43" i="63726" l="1"/>
  <c r="W43" i="63726"/>
  <c r="U42" i="63726"/>
  <c r="T37" i="63726"/>
  <c r="T58" i="63726"/>
  <c r="T64" i="63726" l="1"/>
  <c r="W104" i="63726"/>
  <c r="U37" i="63726"/>
  <c r="T73" i="63726"/>
  <c r="U58" i="63726"/>
  <c r="L89" i="63736"/>
  <c r="T72" i="63726"/>
  <c r="T74" i="63726"/>
  <c r="U71" i="63726"/>
  <c r="U67" i="63726" s="1"/>
  <c r="U68" i="63726" s="1"/>
  <c r="T102" i="63726"/>
  <c r="T38" i="63726"/>
  <c r="W38" i="63726"/>
  <c r="T59" i="63726"/>
  <c r="W59" i="63726"/>
  <c r="U43" i="63726"/>
  <c r="J48" i="63736"/>
  <c r="J45" i="63736"/>
  <c r="U64" i="63726" l="1"/>
  <c r="T108" i="63726"/>
  <c r="L96" i="63736"/>
  <c r="N96" i="63736" s="1"/>
  <c r="U102" i="63726"/>
  <c r="U59" i="63726"/>
  <c r="Y104" i="63726"/>
  <c r="W103" i="63726"/>
  <c r="X60" i="63726"/>
  <c r="N89" i="63736"/>
  <c r="L92" i="63736"/>
  <c r="U72" i="63726"/>
  <c r="U74" i="63726"/>
  <c r="U73" i="63726"/>
  <c r="U110" i="63726"/>
  <c r="T103" i="63726"/>
  <c r="T5" i="4"/>
  <c r="J52" i="63736"/>
  <c r="J57" i="63736"/>
  <c r="J62" i="63736"/>
  <c r="J50" i="63736"/>
  <c r="W111" i="63726"/>
  <c r="T111" i="63726"/>
  <c r="T112" i="63726"/>
  <c r="T38" i="4" l="1"/>
  <c r="T42" i="4"/>
  <c r="U5" i="4"/>
  <c r="U125" i="4" s="1"/>
  <c r="U108" i="63726"/>
  <c r="X104" i="63726"/>
  <c r="U103" i="63726"/>
  <c r="T125" i="4"/>
  <c r="T193" i="4"/>
  <c r="T196" i="4" s="1"/>
  <c r="L101" i="63736"/>
  <c r="N101" i="63736" s="1"/>
  <c r="L94" i="63736"/>
  <c r="N92" i="63736"/>
  <c r="T23" i="4"/>
  <c r="T20" i="4"/>
  <c r="T26" i="4"/>
  <c r="T11" i="4"/>
  <c r="T29" i="4"/>
  <c r="T17" i="4"/>
  <c r="T45" i="4"/>
  <c r="F75" i="63736" s="1"/>
  <c r="H75" i="63736" s="1"/>
  <c r="T67" i="63723"/>
  <c r="U112" i="63726"/>
  <c r="U111" i="63726"/>
  <c r="U44" i="4"/>
  <c r="W6" i="4"/>
  <c r="T223" i="4"/>
  <c r="T6" i="4"/>
  <c r="T201" i="4"/>
  <c r="T224" i="4"/>
  <c r="T12" i="4" l="1"/>
  <c r="W12" i="4"/>
  <c r="U223" i="4"/>
  <c r="U6" i="4"/>
  <c r="U186" i="4"/>
  <c r="U187" i="4"/>
  <c r="U188" i="4"/>
  <c r="U67" i="63723"/>
  <c r="U46" i="4"/>
  <c r="L99" i="63736"/>
  <c r="L103" i="63736" s="1"/>
  <c r="N103" i="63736" s="1"/>
  <c r="G107" i="63736"/>
  <c r="T33" i="4"/>
  <c r="F63" i="63736"/>
  <c r="H63" i="63736" s="1"/>
  <c r="J75" i="63736"/>
  <c r="G119" i="63736"/>
  <c r="L106" i="63736"/>
  <c r="N106" i="63736" s="1"/>
  <c r="N94" i="63736"/>
  <c r="U24" i="4"/>
  <c r="T187" i="4"/>
  <c r="U224" i="4"/>
  <c r="U45" i="4"/>
  <c r="L119" i="63736" s="1"/>
  <c r="N119" i="63736" s="1"/>
  <c r="U21" i="4"/>
  <c r="U15" i="4"/>
  <c r="U18" i="4"/>
  <c r="J55" i="63736"/>
  <c r="J59" i="63736"/>
  <c r="J66" i="63736"/>
  <c r="F64" i="63736" l="1"/>
  <c r="H64" i="63736" s="1"/>
  <c r="N99" i="63736"/>
  <c r="L110" i="63736"/>
  <c r="N110" i="63736" s="1"/>
  <c r="U23" i="4"/>
  <c r="U20" i="4"/>
  <c r="U19" i="4"/>
  <c r="W162" i="4"/>
  <c r="U26" i="4"/>
  <c r="U25" i="4"/>
  <c r="U22" i="4"/>
  <c r="U16" i="4"/>
  <c r="U17" i="4"/>
  <c r="W31" i="4"/>
  <c r="T233" i="4"/>
  <c r="W9" i="4"/>
  <c r="T9" i="4"/>
  <c r="T186" i="4" l="1"/>
  <c r="T189" i="4"/>
  <c r="U190" i="4" s="1"/>
  <c r="U93" i="4" s="1"/>
  <c r="T188" i="4"/>
  <c r="T162" i="4"/>
  <c r="T191" i="4" l="1"/>
  <c r="T190" i="4"/>
  <c r="T171" i="4"/>
  <c r="T185" i="4" l="1"/>
  <c r="T11" i="63723" l="1"/>
  <c r="T96" i="4"/>
  <c r="T61" i="63723"/>
  <c r="U58" i="63723"/>
  <c r="U8" i="63723" s="1"/>
  <c r="U96" i="4" l="1"/>
  <c r="T37" i="63723"/>
  <c r="U11" i="63723"/>
  <c r="T4" i="63723"/>
  <c r="T65" i="63723"/>
  <c r="U7" i="63723"/>
  <c r="T5" i="63723"/>
  <c r="T30" i="63723" l="1"/>
  <c r="U37" i="63723"/>
  <c r="T66" i="63723"/>
  <c r="W8" i="63723"/>
  <c r="W12" i="63723" s="1"/>
  <c r="T3" i="63723"/>
  <c r="U13" i="63723"/>
  <c r="U5" i="63723" s="1"/>
  <c r="U3" i="63723" s="1"/>
  <c r="U36" i="4" l="1"/>
  <c r="U66" i="63723"/>
  <c r="X7" i="63723"/>
  <c r="W5" i="63723"/>
  <c r="U37" i="4" l="1"/>
  <c r="U38" i="4"/>
  <c r="U33" i="4"/>
  <c r="U250" i="4"/>
  <c r="L109" i="63736"/>
  <c r="N109" i="63736" s="1"/>
  <c r="W3" i="63723"/>
  <c r="L108" i="63736" l="1"/>
  <c r="U59" i="63723"/>
  <c r="T97" i="4"/>
  <c r="T62" i="63723"/>
  <c r="T63" i="63723" s="1"/>
  <c r="T34" i="63723"/>
  <c r="T126" i="4" l="1"/>
  <c r="U34" i="63723"/>
  <c r="T38" i="63723"/>
  <c r="T101" i="4"/>
  <c r="T112" i="4" s="1"/>
  <c r="T115" i="4" s="1"/>
  <c r="U97" i="4"/>
  <c r="U126" i="4" s="1"/>
  <c r="V39" i="63723" l="1"/>
  <c r="T89" i="4"/>
  <c r="W34" i="63723"/>
  <c r="U101" i="4"/>
  <c r="T93" i="4" l="1"/>
  <c r="Y33" i="63723"/>
  <c r="Y39" i="63723" s="1"/>
  <c r="W33" i="63723"/>
  <c r="V31" i="63723"/>
  <c r="W101" i="4"/>
  <c r="W112" i="4" s="1"/>
  <c r="W115" i="4" s="1"/>
  <c r="V144" i="4" l="1"/>
  <c r="T151" i="4"/>
  <c r="U144" i="4" l="1"/>
  <c r="V151" i="4"/>
  <c r="U151" i="4" l="1"/>
  <c r="T57" i="4"/>
  <c r="T109" i="4"/>
  <c r="F67" i="63736" l="1"/>
  <c r="F76" i="63736"/>
  <c r="H76" i="63736" s="1"/>
  <c r="T207" i="4"/>
  <c r="T208" i="4" s="1"/>
  <c r="G111" i="63736"/>
  <c r="G120" i="63736"/>
  <c r="T58" i="4"/>
  <c r="T114" i="4"/>
  <c r="T137" i="4"/>
  <c r="J76" i="63736"/>
  <c r="T63" i="4"/>
  <c r="T64" i="4"/>
  <c r="T209" i="4" l="1"/>
  <c r="T66" i="4" s="1"/>
  <c r="F80" i="63736"/>
  <c r="F81" i="63736"/>
  <c r="F83" i="63736" s="1"/>
  <c r="G113" i="63736"/>
  <c r="H113" i="63736" s="1"/>
  <c r="J113" i="63736" s="1"/>
  <c r="F69" i="63736"/>
  <c r="H69" i="63736" s="1"/>
  <c r="H67" i="63736"/>
  <c r="H111" i="63736"/>
  <c r="J67" i="63736"/>
  <c r="T153" i="4"/>
  <c r="U113" i="4"/>
  <c r="J69" i="63736"/>
  <c r="G115" i="63736" l="1"/>
  <c r="H115" i="63736" s="1"/>
  <c r="J115" i="63736" s="1"/>
  <c r="F68" i="63736"/>
  <c r="H68" i="63736" s="1"/>
  <c r="G112" i="63736"/>
  <c r="H112" i="63736" s="1"/>
  <c r="J112" i="63736" s="1"/>
  <c r="H120" i="63736"/>
  <c r="J120" i="63736" s="1"/>
  <c r="J111" i="63736"/>
  <c r="T179" i="4"/>
  <c r="T204" i="4"/>
  <c r="J71" i="63736"/>
  <c r="T184" i="4"/>
  <c r="T178" i="4"/>
  <c r="T180" i="4" s="1"/>
  <c r="J68" i="63736"/>
  <c r="T203" i="4" l="1"/>
  <c r="T199" i="4"/>
  <c r="T200" i="4" s="1"/>
  <c r="T202" i="4" s="1"/>
  <c r="T14" i="63724" l="1"/>
  <c r="T13" i="63724"/>
  <c r="T15" i="63724" l="1"/>
  <c r="U14" i="63724"/>
  <c r="T12" i="63724"/>
  <c r="U117" i="4" l="1"/>
  <c r="U33" i="63723" l="1"/>
  <c r="U39" i="63723" s="1"/>
  <c r="U31" i="63723" s="1"/>
  <c r="U29" i="63723" s="1"/>
  <c r="T31" i="63723"/>
  <c r="T29" i="63723" s="1"/>
  <c r="T50" i="63723" l="1"/>
  <c r="U54" i="63723"/>
  <c r="U119" i="4" s="1"/>
  <c r="U245" i="4" l="1"/>
  <c r="U246" i="4" s="1"/>
  <c r="T49" i="63723"/>
  <c r="U49" i="63723" s="1"/>
  <c r="U50" i="63723"/>
  <c r="AC55" i="63723"/>
  <c r="AF55" i="63723" s="1"/>
  <c r="AI55" i="63723" s="1"/>
  <c r="W50" i="63723"/>
  <c r="W49" i="63723" l="1"/>
  <c r="Z50" i="63723"/>
  <c r="AC43" i="63723"/>
  <c r="U248" i="4"/>
  <c r="U253" i="4"/>
  <c r="U252" i="4" s="1"/>
  <c r="U239" i="4"/>
  <c r="X50" i="63723"/>
  <c r="U51" i="63723"/>
  <c r="Z49" i="63723" l="1"/>
  <c r="AA50" i="63723"/>
  <c r="AC49" i="63723"/>
  <c r="W120" i="4"/>
  <c r="W245" i="4"/>
  <c r="X106" i="4"/>
  <c r="U169" i="4"/>
  <c r="U171" i="4" l="1"/>
  <c r="W233" i="4"/>
  <c r="W235" i="4" s="1"/>
  <c r="W246" i="4"/>
  <c r="W50" i="4"/>
  <c r="W53" i="4" s="1"/>
  <c r="W248" i="4" l="1"/>
  <c r="W87" i="4"/>
  <c r="W93" i="4" s="1"/>
  <c r="W169" i="4"/>
  <c r="W253" i="4"/>
  <c r="W252" i="4" s="1"/>
  <c r="W239" i="4"/>
  <c r="W241" i="4" s="1"/>
  <c r="W236" i="4"/>
  <c r="W171" i="4" l="1"/>
  <c r="W185" i="4" s="1"/>
  <c r="W242" i="4"/>
  <c r="T235" i="4" l="1"/>
  <c r="T241" i="4" s="1"/>
  <c r="T13" i="4"/>
  <c r="F74" i="63736" s="1"/>
  <c r="H74" i="63736" s="1"/>
  <c r="J63" i="63736"/>
  <c r="G108" i="63736" l="1"/>
  <c r="H108" i="63736" s="1"/>
  <c r="J74" i="63736"/>
  <c r="G118" i="63736"/>
  <c r="T81" i="4"/>
  <c r="T82" i="4" s="1"/>
  <c r="T237" i="4"/>
  <c r="T236" i="4"/>
  <c r="T243" i="4"/>
  <c r="T242" i="4"/>
  <c r="W243" i="4"/>
  <c r="T183" i="4"/>
  <c r="W237" i="4"/>
  <c r="J108" i="63736" l="1"/>
  <c r="N108" i="63736"/>
  <c r="U81" i="4"/>
  <c r="J64" i="63736"/>
  <c r="Y89" i="63731" l="1"/>
  <c r="Y74" i="63731"/>
  <c r="Y76" i="63731" s="1"/>
  <c r="AA89" i="63731"/>
  <c r="AB89" i="63731"/>
  <c r="AB31" i="63731" s="1"/>
  <c r="Z74" i="63731"/>
  <c r="Z76" i="63731" s="1"/>
  <c r="AB74" i="63731"/>
  <c r="AB76" i="63731" s="1"/>
  <c r="AA74" i="63731"/>
  <c r="AA76" i="63731" s="1"/>
  <c r="Z89" i="63731"/>
  <c r="Z90" i="63731" l="1"/>
  <c r="AB77" i="63731"/>
  <c r="AA90" i="63731"/>
  <c r="AC90" i="63731"/>
  <c r="AB90" i="63731"/>
  <c r="Z77" i="63731"/>
  <c r="AA77" i="63731"/>
  <c r="U13" i="63724" l="1"/>
  <c r="V118" i="4"/>
  <c r="V120" i="4" s="1"/>
  <c r="V48" i="4" s="1"/>
  <c r="V226" i="4" s="1"/>
  <c r="V12" i="63724"/>
  <c r="U118" i="4" l="1"/>
  <c r="U12" i="63724"/>
  <c r="AC60" i="63731"/>
  <c r="AC66" i="63731" s="1"/>
  <c r="V124" i="4"/>
  <c r="V50" i="4"/>
  <c r="V53" i="4" s="1"/>
  <c r="Y118" i="4"/>
  <c r="U120" i="4" l="1"/>
  <c r="U48" i="4" s="1"/>
  <c r="U50" i="4" s="1"/>
  <c r="AC59" i="63731"/>
  <c r="V87" i="4"/>
  <c r="V93" i="4" s="1"/>
  <c r="AH13" i="63724" l="1"/>
  <c r="AG13" i="63724" s="1"/>
  <c r="AN12" i="63724"/>
  <c r="AQ12" i="63724" s="1"/>
  <c r="AT12" i="63724" s="1"/>
  <c r="AW12" i="63724" s="1"/>
  <c r="AZ12" i="63724" s="1"/>
  <c r="BC12" i="63724" s="1"/>
  <c r="BF12" i="63724" s="1"/>
  <c r="AC69" i="63731"/>
  <c r="U87" i="4"/>
  <c r="AC65" i="63731"/>
  <c r="AC67" i="63731" s="1"/>
  <c r="V77" i="4"/>
  <c r="G24" i="63727" s="1"/>
  <c r="U52" i="4"/>
  <c r="AE118" i="4"/>
  <c r="V57" i="4"/>
  <c r="BF13" i="63724" l="1"/>
  <c r="BF118" i="4" s="1"/>
  <c r="BI12" i="63724"/>
  <c r="BI13" i="63724" s="1"/>
  <c r="BI118" i="4" s="1"/>
  <c r="V59" i="4"/>
  <c r="AD118" i="4"/>
  <c r="V207" i="4"/>
  <c r="M111" i="63736"/>
  <c r="V63" i="4"/>
  <c r="M120" i="63736"/>
  <c r="O120" i="63736" s="1"/>
  <c r="V64" i="4"/>
  <c r="U57" i="4"/>
  <c r="V58" i="4"/>
  <c r="U91" i="4"/>
  <c r="AC89" i="63731"/>
  <c r="AC74" i="63731"/>
  <c r="AC76" i="63731" s="1"/>
  <c r="AH118" i="4"/>
  <c r="AG118" i="4" s="1"/>
  <c r="U53" i="4"/>
  <c r="AN13" i="63724" l="1"/>
  <c r="AK13" i="63724"/>
  <c r="V208" i="4"/>
  <c r="V215" i="4"/>
  <c r="V210" i="4"/>
  <c r="V212" i="4" s="1"/>
  <c r="V209" i="4"/>
  <c r="V211" i="4" s="1"/>
  <c r="W57" i="4"/>
  <c r="AC77" i="63731"/>
  <c r="AC31" i="63731"/>
  <c r="M113" i="63736"/>
  <c r="O113" i="63736" s="1"/>
  <c r="L120" i="63736"/>
  <c r="N120" i="63736" s="1"/>
  <c r="L111" i="63736"/>
  <c r="U63" i="4"/>
  <c r="U58" i="4"/>
  <c r="U64" i="4"/>
  <c r="M122" i="63736"/>
  <c r="U94" i="4"/>
  <c r="U112" i="4" s="1"/>
  <c r="U115" i="4" s="1"/>
  <c r="O111" i="63736"/>
  <c r="AK118" i="4" l="1"/>
  <c r="AJ118" i="4" s="1"/>
  <c r="W207" i="4"/>
  <c r="W63" i="4"/>
  <c r="W64" i="4"/>
  <c r="W58" i="4"/>
  <c r="V66" i="4"/>
  <c r="U209" i="4"/>
  <c r="L113" i="63736"/>
  <c r="N113" i="63736" s="1"/>
  <c r="N111" i="63736"/>
  <c r="AQ13" i="63724"/>
  <c r="AN118" i="4"/>
  <c r="M112" i="63736"/>
  <c r="O112" i="63736" s="1"/>
  <c r="W209" i="4" l="1"/>
  <c r="W66" i="4" s="1"/>
  <c r="W208" i="4"/>
  <c r="V65" i="4"/>
  <c r="V68" i="4"/>
  <c r="L112" i="63736"/>
  <c r="N112" i="63736" s="1"/>
  <c r="U66" i="4"/>
  <c r="M115" i="63736"/>
  <c r="O115" i="63736" s="1"/>
  <c r="V67" i="4"/>
  <c r="U72" i="4"/>
  <c r="AT13" i="63724"/>
  <c r="AQ118" i="4"/>
  <c r="L116" i="63736" l="1"/>
  <c r="N116" i="63736" s="1"/>
  <c r="L115" i="63736"/>
  <c r="N115" i="63736" s="1"/>
  <c r="AT118" i="4"/>
  <c r="AW13" i="63724"/>
  <c r="AZ13" i="63724" l="1"/>
  <c r="AW118" i="4"/>
  <c r="AZ118" i="4" l="1"/>
  <c r="BC13" i="63724" l="1"/>
  <c r="BC118" i="4" s="1"/>
  <c r="U11" i="4"/>
  <c r="U12" i="4" s="1"/>
  <c r="M107" i="63736"/>
  <c r="O107" i="63736" s="1"/>
  <c r="V31" i="4"/>
  <c r="V13" i="4"/>
  <c r="M118" i="63736" s="1"/>
  <c r="O118" i="63736" s="1"/>
  <c r="U8" i="4" l="1"/>
  <c r="U9" i="4" s="1"/>
  <c r="H107" i="63736"/>
  <c r="J107" i="63736" s="1"/>
  <c r="V233" i="4"/>
  <c r="V235" i="4" s="1"/>
  <c r="U13" i="4"/>
  <c r="L118" i="63736" s="1"/>
  <c r="U30" i="4"/>
  <c r="U40" i="4" s="1"/>
  <c r="L107" i="63736"/>
  <c r="U41" i="4" l="1"/>
  <c r="U42" i="4"/>
  <c r="H118" i="63736"/>
  <c r="N118" i="63736" s="1"/>
  <c r="N107" i="63736"/>
  <c r="V241" i="4"/>
  <c r="V237" i="4"/>
  <c r="V236" i="4"/>
  <c r="V29" i="4"/>
  <c r="V28" i="4"/>
  <c r="U27" i="4"/>
  <c r="U31" i="4"/>
  <c r="U233" i="4"/>
  <c r="U235" i="4" s="1"/>
  <c r="J118" i="63736" l="1"/>
  <c r="V242" i="4"/>
  <c r="V243" i="4"/>
  <c r="U28" i="4"/>
  <c r="U29" i="4"/>
  <c r="U241" i="4"/>
  <c r="U236" i="4"/>
  <c r="U237" i="4"/>
  <c r="U242" i="4" l="1"/>
  <c r="U243" i="4"/>
  <c r="T213" i="4"/>
  <c r="U213" i="4" s="1"/>
  <c r="V72" i="4"/>
  <c r="V74" i="4"/>
  <c r="U74" i="4" s="1"/>
  <c r="V73" i="4" l="1"/>
  <c r="AC105" i="63731"/>
  <c r="AC107" i="63731" s="1"/>
  <c r="V75" i="4"/>
  <c r="M116" i="63736"/>
  <c r="O116" i="63736" s="1"/>
  <c r="U105" i="4" l="1"/>
  <c r="U176" i="4"/>
  <c r="V178" i="4"/>
  <c r="V217" i="4" l="1"/>
  <c r="V199" i="4"/>
  <c r="V200" i="4" s="1"/>
  <c r="V202" i="4" s="1"/>
  <c r="V216" i="4"/>
  <c r="V230" i="4"/>
  <c r="V203" i="4"/>
  <c r="U108" i="4"/>
  <c r="U178" i="4"/>
  <c r="U109" i="4" l="1"/>
  <c r="U133" i="4" l="1"/>
  <c r="U15" i="63724" s="1"/>
  <c r="V15" i="63724"/>
  <c r="V137" i="4"/>
  <c r="V153" i="4" l="1"/>
  <c r="V204" i="4" s="1"/>
  <c r="M125" i="63736"/>
  <c r="M127" i="63736" s="1"/>
  <c r="D41" i="63731"/>
  <c r="W113" i="4"/>
  <c r="M124" i="63736"/>
  <c r="M126" i="63736" s="1"/>
  <c r="Y113" i="4"/>
  <c r="Y117" i="4"/>
  <c r="U114" i="4"/>
  <c r="X14" i="63724"/>
  <c r="X117" i="4" s="1"/>
  <c r="U137" i="4"/>
  <c r="V184" i="4" l="1"/>
  <c r="U153" i="4"/>
  <c r="V179" i="4"/>
  <c r="AD90" i="63731" l="1"/>
  <c r="W74" i="4" l="1"/>
  <c r="W72" i="4"/>
  <c r="W108" i="4" l="1"/>
  <c r="W178" i="4"/>
  <c r="W199" i="4" l="1"/>
  <c r="W200" i="4" s="1"/>
  <c r="W202" i="4" s="1"/>
  <c r="W203" i="4"/>
  <c r="W109" i="4"/>
  <c r="W137" i="4" l="1"/>
  <c r="W114" i="4"/>
  <c r="W183" i="4" l="1"/>
  <c r="X113" i="4"/>
  <c r="W153" i="4"/>
  <c r="W204" i="4" s="1"/>
  <c r="W184" i="4" l="1"/>
  <c r="W180" i="4"/>
  <c r="W179" i="4"/>
  <c r="W31" i="63723" l="1"/>
  <c r="W29" i="63723" s="1"/>
  <c r="W38" i="63723"/>
  <c r="X33" i="63723"/>
  <c r="X42" i="63723"/>
  <c r="X48" i="63723" l="1"/>
  <c r="X13" i="63724" l="1"/>
  <c r="X118" i="4" s="1"/>
  <c r="W12" i="63724"/>
  <c r="V45" i="63726" l="1"/>
  <c r="G66" i="63731" l="1"/>
  <c r="G67" i="63731" l="1"/>
  <c r="G74" i="63731" s="1"/>
  <c r="H66" i="63731"/>
  <c r="G76" i="63731" l="1"/>
  <c r="H77" i="63731" s="1"/>
  <c r="I66" i="63731"/>
  <c r="H67" i="63731"/>
  <c r="G89" i="63731" l="1"/>
  <c r="H90" i="63731" s="1"/>
  <c r="I67" i="63731"/>
  <c r="I74" i="63731" s="1"/>
  <c r="I76" i="63731" s="1"/>
  <c r="J66" i="63731"/>
  <c r="H74" i="63731"/>
  <c r="H76" i="63731" s="1"/>
  <c r="J67" i="63731" l="1"/>
  <c r="J74" i="63731" s="1"/>
  <c r="J76" i="63731" s="1"/>
  <c r="K66" i="63731"/>
  <c r="J77" i="63731"/>
  <c r="I89" i="63731"/>
  <c r="J90" i="63731" s="1"/>
  <c r="I77" i="63731"/>
  <c r="H89" i="63731"/>
  <c r="I90" i="63731" s="1"/>
  <c r="J89" i="63731" l="1"/>
  <c r="K90" i="63731" s="1"/>
  <c r="K77" i="63731"/>
  <c r="L66" i="63731"/>
  <c r="L67" i="63731" l="1"/>
  <c r="M66" i="63731"/>
  <c r="L74" i="63731" l="1"/>
  <c r="L76" i="63731" s="1"/>
  <c r="L89" i="63731" l="1"/>
  <c r="M90" i="63731" s="1"/>
  <c r="M77" i="63731"/>
  <c r="O66" i="63731"/>
  <c r="P66" i="63731" l="1"/>
  <c r="Q66" i="63731" l="1"/>
  <c r="R66" i="63731" l="1"/>
  <c r="T66" i="63731" l="1"/>
  <c r="U66" i="63731" l="1"/>
  <c r="V66" i="63731" l="1"/>
  <c r="G374" i="2" l="1"/>
  <c r="N66" i="63731"/>
  <c r="S66" i="63731"/>
  <c r="K67" i="63731"/>
  <c r="K74" i="63731" l="1"/>
  <c r="K76" i="63731" s="1"/>
  <c r="G37" i="2"/>
  <c r="G15" i="63682" s="1"/>
  <c r="G58" i="2"/>
  <c r="F374" i="2" l="1"/>
  <c r="G294" i="2"/>
  <c r="G304" i="2" s="1"/>
  <c r="G356" i="2"/>
  <c r="G247" i="2"/>
  <c r="G69" i="2"/>
  <c r="K89" i="63731"/>
  <c r="L90" i="63731" s="1"/>
  <c r="L77" i="63731"/>
  <c r="G45" i="63682"/>
  <c r="N22" i="63682"/>
  <c r="N20" i="63682" s="1"/>
  <c r="N66" i="63682"/>
  <c r="N65" i="63682"/>
  <c r="N62" i="63682"/>
  <c r="N64" i="63682"/>
  <c r="G73" i="63682"/>
  <c r="G74" i="63682"/>
  <c r="G43" i="63682"/>
  <c r="G44" i="63682"/>
  <c r="O67" i="63731" l="1"/>
  <c r="F37" i="2"/>
  <c r="F15" i="63682" s="1"/>
  <c r="F58" i="2"/>
  <c r="N67" i="63731"/>
  <c r="U67" i="63731"/>
  <c r="M67" i="63731"/>
  <c r="S67" i="63731"/>
  <c r="P67" i="63731"/>
  <c r="Q67" i="63731"/>
  <c r="G333" i="2"/>
  <c r="G328" i="2"/>
  <c r="G338" i="2" s="1"/>
  <c r="G348" i="2" s="1"/>
  <c r="G330" i="2"/>
  <c r="G329" i="2"/>
  <c r="R67" i="63731"/>
  <c r="G68" i="2"/>
  <c r="G248" i="2"/>
  <c r="G254" i="2" s="1"/>
  <c r="R74" i="63731" l="1"/>
  <c r="R76" i="63731" s="1"/>
  <c r="Q74" i="63731"/>
  <c r="Q76" i="63731" s="1"/>
  <c r="M74" i="63731"/>
  <c r="M76" i="63731" s="1"/>
  <c r="T67" i="63731"/>
  <c r="F294" i="2"/>
  <c r="F304" i="2" s="1"/>
  <c r="F247" i="2"/>
  <c r="F356" i="2"/>
  <c r="F69" i="2"/>
  <c r="P74" i="63731"/>
  <c r="P76" i="63731" s="1"/>
  <c r="U74" i="63731"/>
  <c r="U76" i="63731" s="1"/>
  <c r="M64" i="63682"/>
  <c r="M22" i="63682"/>
  <c r="M20" i="63682" s="1"/>
  <c r="F74" i="63682"/>
  <c r="F45" i="63682"/>
  <c r="M66" i="63682"/>
  <c r="W118" i="63682"/>
  <c r="M62" i="63682"/>
  <c r="F73" i="63682"/>
  <c r="M65" i="63682"/>
  <c r="F43" i="63682"/>
  <c r="F44" i="63682"/>
  <c r="G60" i="63682"/>
  <c r="G31" i="2"/>
  <c r="G32" i="2" s="1"/>
  <c r="G277" i="2"/>
  <c r="S74" i="63731"/>
  <c r="S76" i="63731" s="1"/>
  <c r="N74" i="63731"/>
  <c r="N76" i="63731" s="1"/>
  <c r="O74" i="63731"/>
  <c r="O76" i="63731" s="1"/>
  <c r="S77" i="63731" l="1"/>
  <c r="R89" i="63731"/>
  <c r="S90" i="63731" s="1"/>
  <c r="V77" i="63731"/>
  <c r="U89" i="63731"/>
  <c r="V90" i="63731" s="1"/>
  <c r="N89" i="63731"/>
  <c r="O90" i="63731" s="1"/>
  <c r="O77" i="63731"/>
  <c r="S89" i="63731"/>
  <c r="T90" i="63731" s="1"/>
  <c r="T77" i="63731"/>
  <c r="Q77" i="63731"/>
  <c r="P89" i="63731"/>
  <c r="Q90" i="63731" s="1"/>
  <c r="M89" i="63731"/>
  <c r="N90" i="63731" s="1"/>
  <c r="N77" i="63731"/>
  <c r="F68" i="2"/>
  <c r="F248" i="2"/>
  <c r="F254" i="2" s="1"/>
  <c r="O89" i="63731"/>
  <c r="P90" i="63731" s="1"/>
  <c r="P77" i="63731"/>
  <c r="T74" i="63731"/>
  <c r="T76" i="63731" s="1"/>
  <c r="Q89" i="63731"/>
  <c r="R90" i="63731" s="1"/>
  <c r="R77" i="63731"/>
  <c r="G62" i="63682"/>
  <c r="G70" i="63682" s="1"/>
  <c r="G59" i="63682"/>
  <c r="F333" i="2"/>
  <c r="F329" i="2"/>
  <c r="F328" i="2"/>
  <c r="F338" i="2" s="1"/>
  <c r="F348" i="2" s="1"/>
  <c r="F330" i="2"/>
  <c r="T89" i="63731" l="1"/>
  <c r="U90" i="63731" s="1"/>
  <c r="U77" i="63731"/>
  <c r="F60" i="63682"/>
  <c r="F277" i="2"/>
  <c r="F31" i="2"/>
  <c r="F32" i="2" s="1"/>
  <c r="F62" i="63682" l="1"/>
  <c r="F59" i="63682"/>
  <c r="W102" i="63682" l="1"/>
  <c r="W103" i="63682" s="1"/>
  <c r="F70" i="63682"/>
  <c r="W129" i="63682" s="1"/>
  <c r="W130" i="63682" s="1"/>
  <c r="V67" i="63731" l="1"/>
  <c r="V74" i="63731" l="1"/>
  <c r="V76" i="63731" s="1"/>
  <c r="V89" i="63731" s="1"/>
  <c r="J75" i="63682" l="1"/>
  <c r="J76" i="63682" s="1"/>
  <c r="J71" i="63682" l="1"/>
  <c r="Y43" i="63726" l="1"/>
  <c r="N41" i="63743" s="1" a="1"/>
  <c r="N41" i="63743" s="1"/>
  <c r="AB43" i="63726"/>
  <c r="O41" i="63743" s="1" a="1"/>
  <c r="O41" i="63743" s="1"/>
  <c r="X42" i="63726"/>
  <c r="Y37" i="63726"/>
  <c r="Y58" i="63726"/>
  <c r="N32" i="63743" l="1" a="1"/>
  <c r="N32" i="63743" s="1"/>
  <c r="AA43" i="63726"/>
  <c r="X58" i="63726"/>
  <c r="Y73" i="63726"/>
  <c r="Y64" i="63726"/>
  <c r="X71" i="63726"/>
  <c r="Y44" i="4"/>
  <c r="Y102" i="63726"/>
  <c r="Y6" i="4"/>
  <c r="AB6" i="4"/>
  <c r="Y38" i="63726"/>
  <c r="AB38" i="63726"/>
  <c r="X43" i="63726"/>
  <c r="W74" i="63726"/>
  <c r="Y59" i="63726"/>
  <c r="AB60" i="63726"/>
  <c r="AB59" i="63726"/>
  <c r="AB104" i="63726" l="1"/>
  <c r="Y132" i="63726"/>
  <c r="Y137" i="63726" s="1"/>
  <c r="Y131" i="63726"/>
  <c r="Y136" i="63726" s="1"/>
  <c r="Y130" i="63726"/>
  <c r="Y129" i="63726"/>
  <c r="AA59" i="63726"/>
  <c r="AA60" i="63726"/>
  <c r="X110" i="63726"/>
  <c r="X111" i="63726" s="1"/>
  <c r="N56" i="63743" a="1"/>
  <c r="N56" i="63743" s="1"/>
  <c r="N37" i="63743" a="1"/>
  <c r="N37" i="63743" s="1"/>
  <c r="F11" i="63743" a="1"/>
  <c r="F11" i="63743" s="1"/>
  <c r="X102" i="63726"/>
  <c r="O56" i="63743" a="1"/>
  <c r="O56" i="63743" s="1"/>
  <c r="X59" i="63726"/>
  <c r="X64" i="63726"/>
  <c r="Y108" i="63726"/>
  <c r="N52" i="63743" s="1" a="1"/>
  <c r="N52" i="63743" s="1"/>
  <c r="Y46" i="4"/>
  <c r="N60" i="63743" s="1" a="1"/>
  <c r="N60" i="63743" s="1"/>
  <c r="AB103" i="63726"/>
  <c r="O45" i="63743" s="1" a="1"/>
  <c r="O45" i="63743" s="1"/>
  <c r="AB106" i="63726"/>
  <c r="Y103" i="63726"/>
  <c r="N45" i="63743" s="1" a="1"/>
  <c r="N45" i="63743" s="1"/>
  <c r="X73" i="63726"/>
  <c r="X72" i="63726"/>
  <c r="Y201" i="4"/>
  <c r="X74" i="63726"/>
  <c r="Y45" i="4"/>
  <c r="N66" i="63743" s="1" a="1"/>
  <c r="N66" i="63743" s="1"/>
  <c r="W44" i="63723"/>
  <c r="X44" i="63723" s="1"/>
  <c r="Y112" i="63726"/>
  <c r="X11" i="63723"/>
  <c r="X58" i="63723"/>
  <c r="X8" i="63723" s="1"/>
  <c r="Y96" i="4"/>
  <c r="F28" i="63743" s="1" a="1"/>
  <c r="F28" i="63743" s="1"/>
  <c r="X18" i="4"/>
  <c r="AA19" i="4" s="1"/>
  <c r="AB19" i="4"/>
  <c r="AB16" i="4"/>
  <c r="X15" i="4"/>
  <c r="AA16" i="4" s="1"/>
  <c r="AB22" i="4"/>
  <c r="X21" i="4"/>
  <c r="AA22" i="4" s="1"/>
  <c r="X11" i="4"/>
  <c r="X134" i="4"/>
  <c r="X160" i="4"/>
  <c r="G58" i="63743" a="1"/>
  <c r="G58" i="63743" s="1"/>
  <c r="X59" i="63723"/>
  <c r="Y97" i="4"/>
  <c r="F29" i="63743" s="1" a="1"/>
  <c r="F29" i="63743" s="1"/>
  <c r="X37" i="63723"/>
  <c r="AB25" i="4"/>
  <c r="X24" i="4"/>
  <c r="AA25" i="4" s="1"/>
  <c r="Y135" i="63726" l="1"/>
  <c r="X44" i="4"/>
  <c r="X46" i="4" s="1"/>
  <c r="AA103" i="63726"/>
  <c r="AA104" i="63726"/>
  <c r="X112" i="63726"/>
  <c r="X108" i="63726"/>
  <c r="X5" i="4"/>
  <c r="X26" i="4" s="1"/>
  <c r="F39" i="63743"/>
  <c r="X12" i="4"/>
  <c r="X103" i="63726"/>
  <c r="X146" i="4"/>
  <c r="AB146" i="4"/>
  <c r="AA146" i="4" s="1"/>
  <c r="Y228" i="4"/>
  <c r="AD61" i="63731"/>
  <c r="AD71" i="63731" s="1"/>
  <c r="W67" i="63723"/>
  <c r="W43" i="63723"/>
  <c r="X43" i="63723" s="1"/>
  <c r="X45" i="63723" s="1"/>
  <c r="X148" i="4" s="1"/>
  <c r="AB107" i="63726"/>
  <c r="AB108" i="63726"/>
  <c r="AB63" i="63726"/>
  <c r="O40" i="63743" s="1" a="1"/>
  <c r="O40" i="63743" s="1"/>
  <c r="Y126" i="4"/>
  <c r="Y13" i="63723"/>
  <c r="AB7" i="63723" s="1"/>
  <c r="AB13" i="63723" s="1"/>
  <c r="AB5" i="63723" s="1"/>
  <c r="X49" i="63723"/>
  <c r="X51" i="63723" s="1"/>
  <c r="X166" i="4" s="1"/>
  <c r="AE160" i="4"/>
  <c r="H58" i="63743" s="1" a="1"/>
  <c r="H58" i="63743" s="1"/>
  <c r="X19" i="4"/>
  <c r="X16" i="4"/>
  <c r="X30" i="63723"/>
  <c r="AB42" i="63723"/>
  <c r="X22" i="4"/>
  <c r="Y101" i="4"/>
  <c r="Y112" i="4" s="1"/>
  <c r="Y115" i="4" s="1"/>
  <c r="AD82" i="63731"/>
  <c r="X96" i="4"/>
  <c r="X34" i="63723"/>
  <c r="X39" i="63723" s="1"/>
  <c r="X31" i="63723" s="1"/>
  <c r="Y250" i="4"/>
  <c r="AD62" i="63731"/>
  <c r="Y88" i="4"/>
  <c r="X36" i="4"/>
  <c r="Y33" i="4"/>
  <c r="X13" i="63723"/>
  <c r="X5" i="63723" s="1"/>
  <c r="X25" i="4"/>
  <c r="AD84" i="63731"/>
  <c r="X97" i="4"/>
  <c r="X4" i="63723"/>
  <c r="Z4" i="63723"/>
  <c r="X43" i="4" l="1"/>
  <c r="X38" i="4"/>
  <c r="X37" i="4"/>
  <c r="AA37" i="4"/>
  <c r="AA6" i="4"/>
  <c r="X17" i="4"/>
  <c r="X223" i="4"/>
  <c r="X67" i="63723"/>
  <c r="X66" i="63723"/>
  <c r="X8" i="4"/>
  <c r="X9" i="4" s="1"/>
  <c r="X13" i="4"/>
  <c r="X23" i="4"/>
  <c r="X20" i="4"/>
  <c r="X187" i="4"/>
  <c r="X45" i="4"/>
  <c r="AB13" i="4"/>
  <c r="O65" i="63743" s="1" a="1"/>
  <c r="O65" i="63743" s="1"/>
  <c r="X6" i="4"/>
  <c r="AB12" i="4"/>
  <c r="O58" i="63743" s="1" a="1"/>
  <c r="O58" i="63743" s="1"/>
  <c r="F31" i="63743" a="1"/>
  <c r="F31" i="63743" s="1"/>
  <c r="F30" i="63743" s="1"/>
  <c r="F9" i="63743" a="1"/>
  <c r="F9" i="63743" s="1"/>
  <c r="G8" i="63743" a="1"/>
  <c r="G8" i="63743" s="1"/>
  <c r="Y30" i="4"/>
  <c r="W34" i="4"/>
  <c r="AE146" i="4"/>
  <c r="Y225" i="4"/>
  <c r="Y125" i="4"/>
  <c r="Y224" i="4"/>
  <c r="Y5" i="63723"/>
  <c r="Y140" i="4" s="1"/>
  <c r="F47" i="63743" s="1" a="1"/>
  <c r="F47" i="63743" s="1"/>
  <c r="Z7" i="63723"/>
  <c r="AC4" i="63723"/>
  <c r="AE4" i="63723"/>
  <c r="Z33" i="63723"/>
  <c r="Y31" i="63723"/>
  <c r="AB33" i="63723"/>
  <c r="AD160" i="4"/>
  <c r="X169" i="4"/>
  <c r="I79" i="63736"/>
  <c r="AB48" i="63723"/>
  <c r="AB55" i="63723" s="1"/>
  <c r="Y162" i="4"/>
  <c r="F60" i="63743" s="1" a="1"/>
  <c r="F60" i="63743" s="1"/>
  <c r="F59" i="63743" s="1"/>
  <c r="X158" i="4"/>
  <c r="X250" i="4"/>
  <c r="X101" i="4"/>
  <c r="X126" i="4"/>
  <c r="X135" i="4"/>
  <c r="X3" i="63723"/>
  <c r="AD86" i="63731"/>
  <c r="AC30" i="63723"/>
  <c r="AE30" i="63723"/>
  <c r="AE7" i="63723"/>
  <c r="AE13" i="63723" s="1"/>
  <c r="AF7" i="63723" s="1"/>
  <c r="AC7" i="63723"/>
  <c r="X33" i="4"/>
  <c r="Y81" i="4"/>
  <c r="X88" i="4"/>
  <c r="X29" i="63723"/>
  <c r="AB39" i="63723" l="1"/>
  <c r="AB31" i="63723" s="1"/>
  <c r="Y31" i="4"/>
  <c r="N59" i="63743" s="1" a="1"/>
  <c r="N59" i="63743" s="1"/>
  <c r="Y40" i="4"/>
  <c r="G44" i="63743" a="1"/>
  <c r="G44" i="63743" s="1"/>
  <c r="G7" i="63743" a="1"/>
  <c r="G7" i="63743" s="1"/>
  <c r="AD146" i="4"/>
  <c r="AH146" i="4"/>
  <c r="AG146" i="4" s="1"/>
  <c r="G57" i="63743" a="1"/>
  <c r="G57" i="63743" s="1"/>
  <c r="AB9" i="4"/>
  <c r="O57" i="63743" s="1" a="1"/>
  <c r="O57" i="63743" s="1"/>
  <c r="AB140" i="4"/>
  <c r="AD30" i="63723"/>
  <c r="Y169" i="4"/>
  <c r="AD4" i="63723"/>
  <c r="X188" i="4"/>
  <c r="X162" i="4"/>
  <c r="X125" i="4"/>
  <c r="X224" i="4"/>
  <c r="X81" i="4"/>
  <c r="X186" i="4"/>
  <c r="X30" i="4"/>
  <c r="X140" i="4"/>
  <c r="AE5" i="63723"/>
  <c r="AH7" i="63723"/>
  <c r="Y144" i="4"/>
  <c r="AE33" i="63723" l="1"/>
  <c r="AE39" i="63723" s="1"/>
  <c r="AF33" i="63723" s="1"/>
  <c r="AC33" i="63723"/>
  <c r="Y41" i="4"/>
  <c r="Y42" i="4"/>
  <c r="G47" i="63743" a="1"/>
  <c r="G47" i="63743" s="1"/>
  <c r="AA140" i="4"/>
  <c r="Y151" i="4"/>
  <c r="F49" i="63743" a="1"/>
  <c r="F49" i="63743" s="1"/>
  <c r="F65" i="63743" a="1"/>
  <c r="F65" i="63743" s="1"/>
  <c r="F64" i="63743" s="1"/>
  <c r="AK146" i="4"/>
  <c r="AJ146" i="4" s="1"/>
  <c r="AB162" i="4"/>
  <c r="Y171" i="4"/>
  <c r="X27" i="4"/>
  <c r="X31" i="4"/>
  <c r="X40" i="4"/>
  <c r="Y82" i="4"/>
  <c r="Y85" i="4" s="1"/>
  <c r="AB28" i="4"/>
  <c r="AE3" i="63723"/>
  <c r="AE140" i="4"/>
  <c r="H47" i="63743" s="1" a="1"/>
  <c r="H47" i="63743" s="1"/>
  <c r="AB144" i="4"/>
  <c r="AA144" i="4" s="1"/>
  <c r="X144" i="4"/>
  <c r="X151" i="4" s="1"/>
  <c r="X171" i="4"/>
  <c r="AH33" i="63723" l="1"/>
  <c r="AE31" i="63723"/>
  <c r="AE29" i="63723" s="1"/>
  <c r="X41" i="4"/>
  <c r="X42" i="4"/>
  <c r="G49" i="63743" a="1"/>
  <c r="G49" i="63743" s="1"/>
  <c r="AB151" i="4"/>
  <c r="G60" i="63743" a="1"/>
  <c r="G60" i="63743" s="1"/>
  <c r="G59" i="63743" s="1"/>
  <c r="Y185" i="4"/>
  <c r="F66" i="63743" a="1"/>
  <c r="F66" i="63743" s="1"/>
  <c r="F53" i="63743" a="1"/>
  <c r="F53" i="63743" s="1"/>
  <c r="F52" i="63743" s="1"/>
  <c r="AN146" i="4"/>
  <c r="AQ146" i="4" s="1"/>
  <c r="AT146" i="4" s="1"/>
  <c r="AW146" i="4" s="1"/>
  <c r="AZ146" i="4" s="1"/>
  <c r="BC146" i="4" s="1"/>
  <c r="BF146" i="4" s="1"/>
  <c r="BI146" i="4" s="1"/>
  <c r="X29" i="4"/>
  <c r="X28" i="4"/>
  <c r="AD140" i="4"/>
  <c r="Z120" i="4"/>
  <c r="AE144" i="4" l="1"/>
  <c r="H49" i="63743" s="1" a="1"/>
  <c r="H49" i="63743" s="1"/>
  <c r="Z245" i="4"/>
  <c r="Z246" i="4" s="1"/>
  <c r="Z248" i="4" s="1"/>
  <c r="AB82" i="4"/>
  <c r="AD144" i="4" l="1"/>
  <c r="Z253" i="4"/>
  <c r="Z252" i="4" s="1"/>
  <c r="Z239" i="4"/>
  <c r="Z169" i="4"/>
  <c r="X54" i="63723" l="1"/>
  <c r="Y119" i="4"/>
  <c r="Y245" i="4" l="1"/>
  <c r="Y233" i="4" s="1"/>
  <c r="Y235" i="4" s="1"/>
  <c r="Y120" i="4"/>
  <c r="Y48" i="4" s="1"/>
  <c r="AE55" i="63723"/>
  <c r="X119" i="4"/>
  <c r="Y246" i="4" l="1"/>
  <c r="Y248" i="4" s="1"/>
  <c r="Y226" i="4"/>
  <c r="F13" i="63743" a="1"/>
  <c r="F13" i="63743" s="1"/>
  <c r="AD60" i="63731"/>
  <c r="AD66" i="63731" s="1"/>
  <c r="Y50" i="4"/>
  <c r="F14" i="63743" s="1" a="1"/>
  <c r="F14" i="63743" s="1"/>
  <c r="Y124" i="4"/>
  <c r="AB119" i="4"/>
  <c r="AA119" i="4" s="1"/>
  <c r="Y236" i="4"/>
  <c r="Y237" i="4"/>
  <c r="X245" i="4"/>
  <c r="X120" i="4"/>
  <c r="X48" i="4" s="1"/>
  <c r="AE43" i="63723"/>
  <c r="AH55" i="63723"/>
  <c r="Y239" i="4" l="1"/>
  <c r="Y241" i="4" s="1"/>
  <c r="Y243" i="4" s="1"/>
  <c r="Y253" i="4"/>
  <c r="Y252" i="4" s="1"/>
  <c r="Y87" i="4"/>
  <c r="Y93" i="4" s="1"/>
  <c r="F25" i="63743" s="1" a="1"/>
  <c r="F25" i="63743" s="1"/>
  <c r="AD59" i="63731"/>
  <c r="Y53" i="4"/>
  <c r="Y57" i="4"/>
  <c r="AB106" i="4"/>
  <c r="AE63" i="63731" a="1"/>
  <c r="AE63" i="63731" s="1"/>
  <c r="AE49" i="63723"/>
  <c r="AD49" i="63723" s="1"/>
  <c r="AD43" i="63723"/>
  <c r="AK55" i="63723"/>
  <c r="X50" i="4"/>
  <c r="X233" i="4"/>
  <c r="X235" i="4" s="1"/>
  <c r="X246" i="4"/>
  <c r="AD65" i="63731"/>
  <c r="Y77" i="4"/>
  <c r="X52" i="4"/>
  <c r="Y242" i="4" l="1"/>
  <c r="AA106" i="4"/>
  <c r="AA108" i="4" s="1"/>
  <c r="AB112" i="4"/>
  <c r="AB115" i="4" s="1"/>
  <c r="X87" i="4"/>
  <c r="X248" i="4"/>
  <c r="F23" i="63743" a="1"/>
  <c r="F23" i="63743" s="1"/>
  <c r="AD67" i="63731"/>
  <c r="AD69" i="63731"/>
  <c r="X93" i="4"/>
  <c r="F17" i="63743" a="1"/>
  <c r="F17" i="63743" s="1"/>
  <c r="AB245" i="4"/>
  <c r="AB246" i="4" s="1"/>
  <c r="AB248" i="4" s="1"/>
  <c r="G34" i="63743" a="1"/>
  <c r="G34" i="63743" s="1"/>
  <c r="Y64" i="4"/>
  <c r="Y207" i="4"/>
  <c r="Y63" i="4"/>
  <c r="Y58" i="4"/>
  <c r="X57" i="4"/>
  <c r="X91" i="4"/>
  <c r="AN55" i="63723"/>
  <c r="X253" i="4"/>
  <c r="X252" i="4" s="1"/>
  <c r="X239" i="4"/>
  <c r="X241" i="4" s="1"/>
  <c r="X53" i="4"/>
  <c r="X237" i="4"/>
  <c r="X236" i="4"/>
  <c r="AA245" i="4" l="1"/>
  <c r="AA246" i="4" s="1"/>
  <c r="AD89" i="63731"/>
  <c r="AD31" i="63731" s="1"/>
  <c r="AD74" i="63731"/>
  <c r="AD76" i="63731" s="1"/>
  <c r="AD77" i="63731" s="1"/>
  <c r="X64" i="4"/>
  <c r="N61" i="63743" a="1"/>
  <c r="N61" i="63743" s="1"/>
  <c r="X63" i="4"/>
  <c r="Y210" i="4"/>
  <c r="Y212" i="4" s="1"/>
  <c r="Y208" i="4"/>
  <c r="Y209" i="4"/>
  <c r="Y211" i="4" s="1"/>
  <c r="Y215" i="4"/>
  <c r="X58" i="4"/>
  <c r="X94" i="4"/>
  <c r="X112" i="4" s="1"/>
  <c r="X115" i="4" s="1"/>
  <c r="X243" i="4"/>
  <c r="X242" i="4"/>
  <c r="AB253" i="4"/>
  <c r="AB252" i="4" s="1"/>
  <c r="AB239" i="4"/>
  <c r="AQ55" i="63723"/>
  <c r="AA253" i="4" l="1"/>
  <c r="AA252" i="4" s="1"/>
  <c r="AA239" i="4"/>
  <c r="AA248" i="4"/>
  <c r="Y66" i="4"/>
  <c r="X209" i="4"/>
  <c r="X66" i="4" s="1"/>
  <c r="AT55" i="63723"/>
  <c r="F19" i="63743" l="1" a="1"/>
  <c r="F19" i="63743" s="1"/>
  <c r="N20" i="63743" s="1"/>
  <c r="Y67" i="4"/>
  <c r="AW55" i="63723"/>
  <c r="X71" i="4"/>
  <c r="X72" i="4" s="1"/>
  <c r="Y72" i="4"/>
  <c r="Y74" i="4"/>
  <c r="Y75" i="4" s="1"/>
  <c r="F20" i="63743" l="1" a="1"/>
  <c r="F20" i="63743" s="1"/>
  <c r="X213" i="4"/>
  <c r="AZ55" i="63723"/>
  <c r="Y73" i="4"/>
  <c r="AD105" i="63731"/>
  <c r="AD107" i="63731" s="1"/>
  <c r="X176" i="4" l="1"/>
  <c r="Y178" i="4"/>
  <c r="F67" i="63743" s="1" a="1"/>
  <c r="F67" i="63743" s="1"/>
  <c r="Y108" i="4"/>
  <c r="F36" i="63743" s="1" a="1"/>
  <c r="F36" i="63743" s="1"/>
  <c r="F35" i="63743" s="1"/>
  <c r="X105" i="4"/>
  <c r="BC55" i="63723"/>
  <c r="Y217" i="4" l="1"/>
  <c r="Y199" i="4"/>
  <c r="Y200" i="4" s="1"/>
  <c r="Y202" i="4" s="1"/>
  <c r="Y203" i="4"/>
  <c r="Y109" i="4"/>
  <c r="F37" i="63743" s="1" a="1"/>
  <c r="F37" i="63743" s="1"/>
  <c r="BF55" i="63723"/>
  <c r="BI55" i="63723" s="1"/>
  <c r="X178" i="4"/>
  <c r="X108" i="4"/>
  <c r="X109" i="4" l="1"/>
  <c r="Y15" i="63724"/>
  <c r="AE15" i="63724" l="1"/>
  <c r="X133" i="4"/>
  <c r="AA14" i="63724" s="1"/>
  <c r="AA117" i="4" s="1"/>
  <c r="AA120" i="4" s="1"/>
  <c r="AA48" i="4" s="1"/>
  <c r="Y137" i="4"/>
  <c r="F46" i="63743" s="1" a="1"/>
  <c r="F46" i="63743" s="1"/>
  <c r="F45" i="63743" s="1"/>
  <c r="AE14" i="63724" l="1"/>
  <c r="AE117" i="4" s="1"/>
  <c r="AH15" i="63724"/>
  <c r="Y123" i="4"/>
  <c r="Y229" i="4"/>
  <c r="Y230" i="4" s="1"/>
  <c r="Y183" i="4"/>
  <c r="Y216" i="4"/>
  <c r="AB117" i="4"/>
  <c r="Y153" i="4"/>
  <c r="Y179" i="4" s="1"/>
  <c r="X114" i="4"/>
  <c r="X137" i="4"/>
  <c r="AB113" i="4"/>
  <c r="Z113" i="4"/>
  <c r="Y204" i="4" l="1"/>
  <c r="F54" i="63743" a="1"/>
  <c r="F54" i="63743" s="1"/>
  <c r="Y184" i="4"/>
  <c r="AK15" i="63724"/>
  <c r="AN15" i="63724" s="1"/>
  <c r="AQ15" i="63724" s="1"/>
  <c r="AT15" i="63724" s="1"/>
  <c r="AW15" i="63724" s="1"/>
  <c r="AZ15" i="63724" s="1"/>
  <c r="BC15" i="63724" s="1"/>
  <c r="BF15" i="63724" s="1"/>
  <c r="BI15" i="63724" s="1"/>
  <c r="AH14" i="63724"/>
  <c r="X153" i="4"/>
  <c r="Y180" i="4"/>
  <c r="AH117" i="4" l="1"/>
  <c r="X180" i="4"/>
  <c r="Z72" i="4" l="1"/>
  <c r="Z74" i="4"/>
  <c r="AD81" i="63726" l="1"/>
  <c r="AE62" i="63726"/>
  <c r="AE63" i="63726" s="1"/>
  <c r="AE106" i="63726" l="1"/>
  <c r="AE107" i="63726" s="1"/>
  <c r="P40" i="63743" a="1"/>
  <c r="P40" i="63743" s="1"/>
  <c r="AE11" i="4" l="1"/>
  <c r="AE108" i="63726"/>
  <c r="AE12" i="4" l="1"/>
  <c r="P58" i="63743" s="1" a="1"/>
  <c r="P58" i="63743" s="1"/>
  <c r="H8" i="63743" a="1"/>
  <c r="H8" i="63743" s="1"/>
  <c r="AE8" i="4"/>
  <c r="H7" i="63743" s="1" a="1"/>
  <c r="H7" i="63743" s="1"/>
  <c r="AE13" i="4"/>
  <c r="P65" i="63743" l="1" a="1"/>
  <c r="P65" i="63743" s="1"/>
  <c r="AE135" i="4"/>
  <c r="H44" i="63743" s="1" a="1"/>
  <c r="H44" i="63743" s="1"/>
  <c r="AE9" i="4"/>
  <c r="P57" i="63743" s="1" a="1"/>
  <c r="P57" i="63743" s="1"/>
  <c r="AE158" i="4"/>
  <c r="H57" i="63743" s="1" a="1"/>
  <c r="H57" i="63743" s="1"/>
  <c r="AE186" i="4" l="1"/>
  <c r="AD135" i="4"/>
  <c r="AE188" i="4"/>
  <c r="AD158" i="4"/>
  <c r="AE162" i="4"/>
  <c r="H60" i="63743" s="1" a="1"/>
  <c r="H60" i="63743" s="1"/>
  <c r="H59" i="63743" s="1"/>
  <c r="AE189" i="4"/>
  <c r="AE191" i="4" s="1"/>
  <c r="AD162" i="4" l="1"/>
  <c r="AE190" i="4"/>
  <c r="AE82" i="4" s="1"/>
  <c r="AE93" i="4" l="1"/>
  <c r="H25" i="63743" s="1" a="1"/>
  <c r="H25" i="63743" s="1"/>
  <c r="AF69" i="63731" l="1"/>
  <c r="Z58" i="63726" l="1"/>
  <c r="AC59" i="63726" s="1"/>
  <c r="Z52" i="63726"/>
  <c r="Z57" i="63726"/>
  <c r="AH56" i="63726" l="1"/>
  <c r="Z64" i="63726"/>
  <c r="Z102" i="63726"/>
  <c r="AE60" i="63726"/>
  <c r="AE104" i="63726" s="1"/>
  <c r="Z59" i="63726"/>
  <c r="AI56" i="63726" l="1"/>
  <c r="AK56" i="63726"/>
  <c r="Q35" i="63743" a="1"/>
  <c r="Q35" i="63743" s="1"/>
  <c r="AH58" i="63726"/>
  <c r="AH57" i="63726"/>
  <c r="Q43" i="63743" s="1" a="1"/>
  <c r="Q43" i="63743" s="1"/>
  <c r="AF56" i="63726"/>
  <c r="AN56" i="63726"/>
  <c r="AC104" i="63726"/>
  <c r="AD60" i="63726"/>
  <c r="AH60" i="63726"/>
  <c r="AH104" i="63726" s="1"/>
  <c r="Z5" i="4"/>
  <c r="Z103" i="63726"/>
  <c r="Z63" i="63726"/>
  <c r="Z115" i="4" l="1"/>
  <c r="Z38" i="4"/>
  <c r="Z42" i="4"/>
  <c r="Z193" i="4"/>
  <c r="AH91" i="63726"/>
  <c r="Q32" i="63743" a="1"/>
  <c r="Q32" i="63743" s="1"/>
  <c r="AK57" i="63726"/>
  <c r="AJ56" i="63726"/>
  <c r="AI58" i="63726"/>
  <c r="AI57" i="63726"/>
  <c r="AG56" i="63726"/>
  <c r="AG58" i="63726" s="1"/>
  <c r="AK58" i="63726"/>
  <c r="AH102" i="63726"/>
  <c r="Q37" i="63743" s="1" a="1"/>
  <c r="Q37" i="63743" s="1"/>
  <c r="AH59" i="63726"/>
  <c r="AQ60" i="63726"/>
  <c r="AH62" i="63726"/>
  <c r="AF58" i="63726"/>
  <c r="AI60" i="63726" s="1"/>
  <c r="AQ56" i="63726"/>
  <c r="AD104" i="63726"/>
  <c r="Z188" i="4"/>
  <c r="Z187" i="4"/>
  <c r="Z23" i="4"/>
  <c r="Z11" i="4"/>
  <c r="Z186" i="4"/>
  <c r="Z66" i="63723"/>
  <c r="Z65" i="63723"/>
  <c r="AC65" i="63723" s="1"/>
  <c r="AF65" i="63723" s="1"/>
  <c r="AI65" i="63723" s="1"/>
  <c r="Z20" i="4"/>
  <c r="Z62" i="63723"/>
  <c r="AC62" i="63723" s="1"/>
  <c r="AF62" i="63723" s="1"/>
  <c r="AI62" i="63723" s="1"/>
  <c r="AL62" i="63723" s="1"/>
  <c r="AO62" i="63723" s="1"/>
  <c r="AR62" i="63723" s="1"/>
  <c r="AU62" i="63723" s="1"/>
  <c r="AX62" i="63723" s="1"/>
  <c r="BA62" i="63723" s="1"/>
  <c r="BD62" i="63723" s="1"/>
  <c r="BG62" i="63723" s="1"/>
  <c r="Z29" i="4"/>
  <c r="Z61" i="63723"/>
  <c r="Z26" i="4"/>
  <c r="Z17" i="4"/>
  <c r="Z191" i="4"/>
  <c r="Z67" i="63723"/>
  <c r="AN57" i="63726"/>
  <c r="AN58" i="63726"/>
  <c r="AW60" i="63726" s="1"/>
  <c r="Z223" i="4"/>
  <c r="Z125" i="4"/>
  <c r="Z6" i="4"/>
  <c r="Z108" i="63726"/>
  <c r="Z107" i="63726"/>
  <c r="Z196" i="4" l="1"/>
  <c r="AH63" i="63726"/>
  <c r="Q40" i="63743" s="1" a="1"/>
  <c r="Q40" i="63743" s="1"/>
  <c r="AL63" i="63723"/>
  <c r="AC61" i="63723"/>
  <c r="Z63" i="63723"/>
  <c r="AA11" i="4"/>
  <c r="AA66" i="63723"/>
  <c r="AA67" i="63723"/>
  <c r="AT60" i="63726"/>
  <c r="R32" i="63743" a="1"/>
  <c r="R32" i="63743" s="1"/>
  <c r="AK62" i="63726"/>
  <c r="AI62" i="63726"/>
  <c r="AI59" i="63726"/>
  <c r="AI102" i="63726"/>
  <c r="AJ60" i="63726"/>
  <c r="AJ57" i="63726"/>
  <c r="AJ58" i="63726"/>
  <c r="AK102" i="63726"/>
  <c r="AK91" i="63726"/>
  <c r="AK59" i="63726"/>
  <c r="AH103" i="63726"/>
  <c r="Q45" i="63743" s="1" a="1"/>
  <c r="Q45" i="63743" s="1"/>
  <c r="AH5" i="4"/>
  <c r="AQ104" i="63726"/>
  <c r="AH106" i="63726"/>
  <c r="Z12" i="4"/>
  <c r="R35" i="63743" a="1"/>
  <c r="R35" i="63743" s="1"/>
  <c r="AG102" i="63726"/>
  <c r="AT56" i="63726"/>
  <c r="AF102" i="63726"/>
  <c r="AI104" i="63726" s="1"/>
  <c r="AF62" i="63726"/>
  <c r="AD27" i="4"/>
  <c r="AD24" i="4"/>
  <c r="AD15" i="4"/>
  <c r="AI23" i="4"/>
  <c r="AQ57" i="63726"/>
  <c r="R43" i="63743" s="1" a="1"/>
  <c r="R43" i="63743" s="1"/>
  <c r="AQ58" i="63726"/>
  <c r="AN102" i="63726"/>
  <c r="AN91" i="63726"/>
  <c r="AN59" i="63726"/>
  <c r="AN62" i="63726"/>
  <c r="Z8" i="63723"/>
  <c r="Z12" i="63723" s="1"/>
  <c r="Z13" i="4"/>
  <c r="Z28" i="4"/>
  <c r="Z34" i="63723"/>
  <c r="AA34" i="63723" s="1"/>
  <c r="AK106" i="63726" l="1"/>
  <c r="AK11" i="4" s="1"/>
  <c r="AK63" i="63726"/>
  <c r="R40" i="63743" s="1" a="1"/>
  <c r="R40" i="63743" s="1"/>
  <c r="AN63" i="63726"/>
  <c r="AI63" i="63726"/>
  <c r="AL63" i="63726"/>
  <c r="AO63" i="63723"/>
  <c r="AH24" i="4"/>
  <c r="AH25" i="4" s="1"/>
  <c r="AF61" i="63723"/>
  <c r="AC63" i="63723"/>
  <c r="AT104" i="63726"/>
  <c r="AA8" i="4"/>
  <c r="AA9" i="4" s="1"/>
  <c r="AA13" i="4"/>
  <c r="AA12" i="4"/>
  <c r="AJ62" i="63726"/>
  <c r="AJ104" i="63726"/>
  <c r="AI5" i="4"/>
  <c r="AI103" i="63726"/>
  <c r="AJ102" i="63726"/>
  <c r="AJ59" i="63726"/>
  <c r="AI106" i="63726"/>
  <c r="AK103" i="63726"/>
  <c r="AK5" i="4"/>
  <c r="AK24" i="4" s="1"/>
  <c r="AH108" i="63726"/>
  <c r="AH11" i="4"/>
  <c r="AH12" i="4" s="1"/>
  <c r="Q58" i="63743" s="1" a="1"/>
  <c r="Q58" i="63743" s="1"/>
  <c r="AH15" i="4"/>
  <c r="AH16" i="4" s="1"/>
  <c r="AH134" i="4"/>
  <c r="I43" i="63743" s="1" a="1"/>
  <c r="I43" i="63743" s="1"/>
  <c r="AH11" i="63723"/>
  <c r="AF11" i="63723" s="1"/>
  <c r="AF4" i="63723" s="1"/>
  <c r="AH18" i="4"/>
  <c r="AH160" i="4"/>
  <c r="AH27" i="4"/>
  <c r="AH28" i="4" s="1"/>
  <c r="AH58" i="63723"/>
  <c r="AH8" i="63723" s="1"/>
  <c r="I6" i="63743" a="1"/>
  <c r="I6" i="63743" s="1"/>
  <c r="AH37" i="63723"/>
  <c r="AH30" i="63723" s="1"/>
  <c r="AH59" i="63723"/>
  <c r="AH223" i="4"/>
  <c r="AH21" i="4"/>
  <c r="AH44" i="63723"/>
  <c r="AH6" i="4"/>
  <c r="AZ60" i="63726"/>
  <c r="AW56" i="63726"/>
  <c r="AF106" i="63726"/>
  <c r="AG62" i="63726"/>
  <c r="AG5" i="4"/>
  <c r="AF5" i="4"/>
  <c r="AN106" i="63726"/>
  <c r="AT57" i="63726"/>
  <c r="AT58" i="63726"/>
  <c r="BC60" i="63726" s="1"/>
  <c r="AQ59" i="63726"/>
  <c r="AQ91" i="63726"/>
  <c r="AQ102" i="63726"/>
  <c r="AQ62" i="63726"/>
  <c r="AD96" i="4"/>
  <c r="AN5" i="4"/>
  <c r="AN103" i="63726"/>
  <c r="AW104" i="63726"/>
  <c r="Z5" i="63723"/>
  <c r="AD16" i="4"/>
  <c r="Z9" i="4"/>
  <c r="AD25" i="4"/>
  <c r="Z126" i="4"/>
  <c r="AF44" i="63723" l="1"/>
  <c r="AG44" i="63723" s="1"/>
  <c r="AH43" i="63723"/>
  <c r="AH49" i="63723" s="1"/>
  <c r="AQ63" i="63726"/>
  <c r="AQ106" i="63726"/>
  <c r="AK108" i="63726"/>
  <c r="AJ64" i="63726"/>
  <c r="AM64" i="63726" s="1"/>
  <c r="AP64" i="63726" s="1"/>
  <c r="AS64" i="63726" s="1"/>
  <c r="AV64" i="63726" s="1"/>
  <c r="AY64" i="63726" s="1"/>
  <c r="BB64" i="63726" s="1"/>
  <c r="BE64" i="63726" s="1"/>
  <c r="BH64" i="63726" s="1"/>
  <c r="AM63" i="63726"/>
  <c r="AJ63" i="63726"/>
  <c r="AR63" i="63723"/>
  <c r="AK13" i="4"/>
  <c r="AK18" i="4"/>
  <c r="AI61" i="63723"/>
  <c r="AI63" i="63723" s="1"/>
  <c r="AF63" i="63723"/>
  <c r="AG134" i="4"/>
  <c r="AH34" i="63723"/>
  <c r="AH39" i="63723" s="1"/>
  <c r="AJ106" i="63726"/>
  <c r="AJ11" i="4" s="1"/>
  <c r="AK223" i="4"/>
  <c r="AK134" i="4"/>
  <c r="AH8" i="4"/>
  <c r="I7" i="63743" s="1" a="1"/>
  <c r="I7" i="63743" s="1"/>
  <c r="AK6" i="4"/>
  <c r="AI11" i="4"/>
  <c r="AI107" i="63726"/>
  <c r="AI108" i="63726"/>
  <c r="AI24" i="4"/>
  <c r="AJ24" i="4" s="1"/>
  <c r="AI18" i="4"/>
  <c r="AI134" i="4"/>
  <c r="AI187" i="4" s="1"/>
  <c r="AI223" i="4"/>
  <c r="AI27" i="4"/>
  <c r="AI59" i="63723"/>
  <c r="AJ5" i="4"/>
  <c r="AJ223" i="4" s="1"/>
  <c r="AJ103" i="63726"/>
  <c r="AI21" i="4"/>
  <c r="AI6" i="4"/>
  <c r="AK15" i="4"/>
  <c r="AK16" i="4" s="1"/>
  <c r="AK59" i="63723"/>
  <c r="AG30" i="63723"/>
  <c r="AK58" i="63723"/>
  <c r="I8" i="63743" a="1"/>
  <c r="I8" i="63743" s="1"/>
  <c r="AK11" i="63723"/>
  <c r="AK27" i="4"/>
  <c r="AK21" i="4"/>
  <c r="AK22" i="4" s="1"/>
  <c r="AH13" i="4"/>
  <c r="AK8" i="4"/>
  <c r="AK37" i="63723"/>
  <c r="AK44" i="63723"/>
  <c r="AK12" i="4"/>
  <c r="AH4" i="63723"/>
  <c r="AG11" i="63723"/>
  <c r="AH187" i="4"/>
  <c r="I58" i="63743" a="1"/>
  <c r="I58" i="63743" s="1"/>
  <c r="AH30" i="4"/>
  <c r="AH13" i="63723"/>
  <c r="AG160" i="4"/>
  <c r="AH97" i="4"/>
  <c r="I29" i="63743" s="1" a="1"/>
  <c r="I29" i="63743" s="1"/>
  <c r="AH22" i="4"/>
  <c r="AK160" i="4"/>
  <c r="Q56" i="63743" a="1"/>
  <c r="Q56" i="63743" s="1"/>
  <c r="AH36" i="4"/>
  <c r="AH38" i="4" s="1"/>
  <c r="AF37" i="63723"/>
  <c r="AG37" i="63723" s="1"/>
  <c r="AG66" i="63723" s="1"/>
  <c r="AH96" i="4"/>
  <c r="I28" i="63743" s="1" a="1"/>
  <c r="I28" i="63743" s="1"/>
  <c r="AK25" i="4"/>
  <c r="R37" i="63743" a="1"/>
  <c r="R37" i="63743" s="1"/>
  <c r="AF21" i="4"/>
  <c r="AG106" i="63726"/>
  <c r="AG64" i="63726"/>
  <c r="AF24" i="4"/>
  <c r="AF18" i="4"/>
  <c r="AF134" i="4"/>
  <c r="AF223" i="4"/>
  <c r="AF27" i="4"/>
  <c r="AF59" i="63723"/>
  <c r="AF58" i="63723"/>
  <c r="AG223" i="4"/>
  <c r="AF11" i="4"/>
  <c r="AF108" i="63726"/>
  <c r="AD21" i="4"/>
  <c r="AD97" i="4"/>
  <c r="AC101" i="4"/>
  <c r="AC109" i="4" s="1"/>
  <c r="AT59" i="63726"/>
  <c r="AT102" i="63726"/>
  <c r="AT91" i="63726"/>
  <c r="AT62" i="63726"/>
  <c r="AT63" i="63726" s="1"/>
  <c r="AN108" i="63726"/>
  <c r="AN107" i="63726"/>
  <c r="AN11" i="4"/>
  <c r="AN12" i="4" s="1"/>
  <c r="AW57" i="63726"/>
  <c r="AW58" i="63726"/>
  <c r="AN24" i="4"/>
  <c r="AN25" i="4" s="1"/>
  <c r="AN58" i="63723"/>
  <c r="AN18" i="4"/>
  <c r="AN134" i="4"/>
  <c r="AN11" i="63723"/>
  <c r="AN223" i="4"/>
  <c r="AN27" i="4"/>
  <c r="AN59" i="63723"/>
  <c r="AN6" i="4"/>
  <c r="AN37" i="63723"/>
  <c r="AN21" i="4"/>
  <c r="AN15" i="4"/>
  <c r="AN44" i="63723"/>
  <c r="AN43" i="63723" s="1"/>
  <c r="AN49" i="63723" s="1"/>
  <c r="AQ103" i="63726"/>
  <c r="AQ5" i="4"/>
  <c r="AZ104" i="63726"/>
  <c r="Z3" i="63723"/>
  <c r="Q65" i="63743" l="1" a="1"/>
  <c r="Q65" i="63743" s="1"/>
  <c r="AF43" i="63723"/>
  <c r="AG43" i="63723" s="1"/>
  <c r="AH37" i="4"/>
  <c r="AU63" i="63723"/>
  <c r="AJ107" i="63726"/>
  <c r="AK19" i="4"/>
  <c r="AJ18" i="4"/>
  <c r="AJ20" i="4" s="1"/>
  <c r="AN19" i="4"/>
  <c r="AG187" i="4"/>
  <c r="AI58" i="63723"/>
  <c r="AI8" i="63723" s="1"/>
  <c r="AK187" i="4"/>
  <c r="AJ108" i="63726"/>
  <c r="AH33" i="4"/>
  <c r="I9" i="63743" s="1" a="1"/>
  <c r="I9" i="63743" s="1"/>
  <c r="AH9" i="4"/>
  <c r="Q57" i="63743" s="1" a="1"/>
  <c r="Q57" i="63743" s="1"/>
  <c r="AH158" i="4"/>
  <c r="I57" i="63743" s="1" a="1"/>
  <c r="I57" i="63743" s="1"/>
  <c r="AH135" i="4"/>
  <c r="AH186" i="4" s="1"/>
  <c r="AJ134" i="4"/>
  <c r="AJ187" i="4" s="1"/>
  <c r="AI28" i="4"/>
  <c r="AK30" i="4"/>
  <c r="AJ26" i="4"/>
  <c r="AN28" i="4"/>
  <c r="AJ59" i="63723"/>
  <c r="AI34" i="63723"/>
  <c r="AI97" i="4"/>
  <c r="AJ8" i="4"/>
  <c r="AJ13" i="4"/>
  <c r="AK9" i="4"/>
  <c r="AI19" i="4"/>
  <c r="AK34" i="63723"/>
  <c r="AK97" i="4"/>
  <c r="AI13" i="4"/>
  <c r="AI8" i="4"/>
  <c r="AI25" i="4"/>
  <c r="AJ6" i="4"/>
  <c r="AG21" i="4"/>
  <c r="AI22" i="4"/>
  <c r="AI12" i="4"/>
  <c r="AK28" i="4"/>
  <c r="AJ27" i="4"/>
  <c r="AJ160" i="4"/>
  <c r="AJ21" i="4"/>
  <c r="AK43" i="63723"/>
  <c r="AI44" i="63723"/>
  <c r="AK30" i="63723"/>
  <c r="AN30" i="63723" s="1"/>
  <c r="AI37" i="63723"/>
  <c r="AJ37" i="63723" s="1"/>
  <c r="AJ66" i="63723" s="1"/>
  <c r="AI11" i="63723"/>
  <c r="AH31" i="63723"/>
  <c r="AH29" i="63723" s="1"/>
  <c r="AI33" i="63723"/>
  <c r="AK7" i="63723"/>
  <c r="AI7" i="63723"/>
  <c r="AG4" i="63723"/>
  <c r="AK96" i="4"/>
  <c r="AK8" i="63723"/>
  <c r="AG62" i="63731"/>
  <c r="I24" i="63743" a="1"/>
  <c r="I24" i="63743" s="1"/>
  <c r="AK36" i="4"/>
  <c r="AK4" i="63723"/>
  <c r="AK33" i="63723"/>
  <c r="AN22" i="4"/>
  <c r="AK158" i="4"/>
  <c r="AK162" i="4" s="1"/>
  <c r="AK135" i="4"/>
  <c r="AN160" i="4"/>
  <c r="AQ160" i="4" s="1"/>
  <c r="J58" i="63743" s="1" a="1"/>
  <c r="J58" i="63743" s="1"/>
  <c r="AH88" i="4"/>
  <c r="AH125" i="4" s="1"/>
  <c r="AF66" i="63723"/>
  <c r="AH250" i="4"/>
  <c r="AG84" i="63731"/>
  <c r="AF30" i="63723"/>
  <c r="AH40" i="4"/>
  <c r="AH42" i="4" s="1"/>
  <c r="AH5" i="63723"/>
  <c r="AH3" i="63723" s="1"/>
  <c r="AF36" i="4"/>
  <c r="AF38" i="4" s="1"/>
  <c r="AG82" i="63731"/>
  <c r="AH126" i="4"/>
  <c r="AH101" i="4"/>
  <c r="I31" i="63743" s="1" a="1"/>
  <c r="I31" i="63743" s="1"/>
  <c r="I30" i="63743" s="1"/>
  <c r="I10" i="63743" a="1"/>
  <c r="I10" i="63743" s="1"/>
  <c r="J6" i="63743" a="1"/>
  <c r="J6" i="63743" s="1"/>
  <c r="AZ56" i="63726"/>
  <c r="AZ58" i="63726" s="1"/>
  <c r="BI60" i="63726" s="1"/>
  <c r="AD22" i="4"/>
  <c r="AG36" i="4"/>
  <c r="AG38" i="4" s="1"/>
  <c r="AF22" i="4"/>
  <c r="AF49" i="63723"/>
  <c r="AG11" i="4"/>
  <c r="AG108" i="63726"/>
  <c r="AG18" i="4"/>
  <c r="AF187" i="4"/>
  <c r="AF97" i="4"/>
  <c r="AF34" i="63723"/>
  <c r="AG59" i="63723"/>
  <c r="AF25" i="4"/>
  <c r="AG24" i="4"/>
  <c r="AJ25" i="4" s="1"/>
  <c r="AF28" i="4"/>
  <c r="AG27" i="4"/>
  <c r="AG28" i="4" s="1"/>
  <c r="AF8" i="4"/>
  <c r="AF13" i="4"/>
  <c r="AG58" i="63723"/>
  <c r="AG8" i="63723" s="1"/>
  <c r="AF96" i="4"/>
  <c r="AF8" i="63723"/>
  <c r="AF13" i="63723" s="1"/>
  <c r="AD101" i="4"/>
  <c r="BC104" i="63726"/>
  <c r="AW91" i="63726"/>
  <c r="AW102" i="63726"/>
  <c r="AW59" i="63726"/>
  <c r="AW62" i="63726"/>
  <c r="AW63" i="63726" s="1"/>
  <c r="AC162" i="4"/>
  <c r="AN97" i="4"/>
  <c r="AI84" i="63731" s="1"/>
  <c r="AN34" i="63723"/>
  <c r="AN8" i="63723"/>
  <c r="AN96" i="4"/>
  <c r="AT5" i="4"/>
  <c r="AT103" i="63726"/>
  <c r="BC56" i="63726"/>
  <c r="AQ6" i="4"/>
  <c r="R56" i="63743" s="1" a="1"/>
  <c r="R56" i="63743" s="1"/>
  <c r="AQ24" i="4"/>
  <c r="AQ25" i="4" s="1"/>
  <c r="AQ18" i="4"/>
  <c r="AQ11" i="63723"/>
  <c r="AQ223" i="4"/>
  <c r="AQ59" i="63723"/>
  <c r="AQ134" i="4"/>
  <c r="J43" i="63743" s="1" a="1"/>
  <c r="J43" i="63743" s="1"/>
  <c r="AQ27" i="4"/>
  <c r="AQ28" i="4" s="1"/>
  <c r="AQ58" i="63723"/>
  <c r="AQ37" i="63723"/>
  <c r="AQ15" i="4"/>
  <c r="AQ44" i="63723"/>
  <c r="AQ21" i="4"/>
  <c r="AN16" i="4"/>
  <c r="AN30" i="4"/>
  <c r="AQ108" i="63726"/>
  <c r="AQ11" i="4"/>
  <c r="AQ107" i="63726"/>
  <c r="AN36" i="4"/>
  <c r="AN187" i="4"/>
  <c r="BF60" i="63726"/>
  <c r="AN8" i="4"/>
  <c r="AN13" i="4"/>
  <c r="AT106" i="63726"/>
  <c r="Z171" i="4"/>
  <c r="Z71" i="63726"/>
  <c r="AC189" i="4" l="1"/>
  <c r="AI96" i="4"/>
  <c r="AI101" i="4" s="1"/>
  <c r="AJ58" i="63723"/>
  <c r="AJ8" i="63723" s="1"/>
  <c r="AN37" i="4"/>
  <c r="AN38" i="4"/>
  <c r="AK37" i="4"/>
  <c r="AK38" i="4"/>
  <c r="AG37" i="4"/>
  <c r="AF37" i="4"/>
  <c r="AJ19" i="4"/>
  <c r="AX63" i="63723"/>
  <c r="Z67" i="63726"/>
  <c r="AH81" i="4"/>
  <c r="AN33" i="4"/>
  <c r="AN44" i="4" s="1"/>
  <c r="AN31" i="4"/>
  <c r="AK33" i="4"/>
  <c r="AK31" i="4"/>
  <c r="AH44" i="4"/>
  <c r="AG22" i="4"/>
  <c r="AH84" i="63731"/>
  <c r="AG135" i="4"/>
  <c r="I44" i="63743" a="1"/>
  <c r="I44" i="63743" s="1"/>
  <c r="AH188" i="4"/>
  <c r="AG158" i="4"/>
  <c r="AH189" i="4"/>
  <c r="AH190" i="4" s="1"/>
  <c r="AH162" i="4"/>
  <c r="I60" i="63743" s="1" a="1"/>
  <c r="I60" i="63743" s="1"/>
  <c r="I59" i="63743" s="1"/>
  <c r="AH144" i="4"/>
  <c r="AK88" i="4"/>
  <c r="AK125" i="4" s="1"/>
  <c r="AG23" i="4"/>
  <c r="AJ34" i="63723"/>
  <c r="AK126" i="4"/>
  <c r="AI39" i="63723"/>
  <c r="AJ33" i="63723" s="1"/>
  <c r="AJ97" i="4"/>
  <c r="AK39" i="63723"/>
  <c r="AK31" i="63723" s="1"/>
  <c r="AK144" i="4" s="1"/>
  <c r="AJ144" i="4" s="1"/>
  <c r="AI135" i="4"/>
  <c r="AI158" i="4"/>
  <c r="AH62" i="63731"/>
  <c r="AJ12" i="4"/>
  <c r="AK250" i="4"/>
  <c r="AJ135" i="4"/>
  <c r="AJ186" i="4" s="1"/>
  <c r="AI36" i="4"/>
  <c r="AI38" i="4" s="1"/>
  <c r="AK13" i="63723"/>
  <c r="AN7" i="63723" s="1"/>
  <c r="AN13" i="63723" s="1"/>
  <c r="AJ28" i="4"/>
  <c r="AJ158" i="4"/>
  <c r="AI9" i="4"/>
  <c r="AJ23" i="4"/>
  <c r="AJ22" i="4"/>
  <c r="AJ4" i="63723"/>
  <c r="AI13" i="63723"/>
  <c r="AI66" i="63723"/>
  <c r="AI30" i="63723"/>
  <c r="AJ30" i="63723"/>
  <c r="AH82" i="63731"/>
  <c r="AK101" i="4"/>
  <c r="AJ44" i="63723"/>
  <c r="AI43" i="63723"/>
  <c r="AJ43" i="63723" s="1"/>
  <c r="AI4" i="63723"/>
  <c r="AJ11" i="63723"/>
  <c r="AK49" i="63723"/>
  <c r="AN4" i="63723"/>
  <c r="AQ4" i="63723" s="1"/>
  <c r="AK40" i="4"/>
  <c r="AQ30" i="63723"/>
  <c r="AK189" i="4"/>
  <c r="AK188" i="4"/>
  <c r="AH225" i="4"/>
  <c r="AK186" i="4"/>
  <c r="AH140" i="4"/>
  <c r="I47" i="63743" s="1" a="1"/>
  <c r="I47" i="63743" s="1"/>
  <c r="AG86" i="63731"/>
  <c r="AF88" i="4"/>
  <c r="AF125" i="4" s="1"/>
  <c r="AF225" i="4"/>
  <c r="AZ57" i="63726"/>
  <c r="AF250" i="4"/>
  <c r="J8" i="63743" a="1"/>
  <c r="J8" i="63743" s="1"/>
  <c r="AQ12" i="4"/>
  <c r="R58" i="63743" s="1" a="1"/>
  <c r="R58" i="63743" s="1"/>
  <c r="AG49" i="63723"/>
  <c r="AG250" i="4"/>
  <c r="AQ43" i="63723"/>
  <c r="AQ49" i="63723" s="1"/>
  <c r="AG97" i="4"/>
  <c r="AQ19" i="4"/>
  <c r="AQ22" i="4"/>
  <c r="AF126" i="4"/>
  <c r="AF101" i="4"/>
  <c r="AG96" i="4"/>
  <c r="AG25" i="4"/>
  <c r="AG26" i="4"/>
  <c r="AG34" i="63723"/>
  <c r="AF39" i="63723"/>
  <c r="AF135" i="4"/>
  <c r="AF158" i="4"/>
  <c r="AF9" i="4"/>
  <c r="AG7" i="63723"/>
  <c r="AG13" i="63723" s="1"/>
  <c r="AG5" i="63723" s="1"/>
  <c r="AG3" i="63723" s="1"/>
  <c r="AF5" i="63723"/>
  <c r="AG20" i="4"/>
  <c r="AG8" i="4"/>
  <c r="AJ9" i="4" s="1"/>
  <c r="AG13" i="4"/>
  <c r="BF56" i="63726"/>
  <c r="BF57" i="63726" s="1"/>
  <c r="BI56" i="63726"/>
  <c r="AW5" i="4"/>
  <c r="AW134" i="4" s="1"/>
  <c r="Z185" i="4"/>
  <c r="AQ36" i="4"/>
  <c r="AQ38" i="4" s="1"/>
  <c r="AI82" i="63731"/>
  <c r="AI86" i="63731" s="1"/>
  <c r="AN126" i="4"/>
  <c r="AN101" i="4"/>
  <c r="AQ13" i="4"/>
  <c r="R65" i="63743" s="1" a="1"/>
  <c r="R65" i="63743" s="1"/>
  <c r="AQ8" i="4"/>
  <c r="J7" i="63743" s="1" a="1"/>
  <c r="J7" i="63743" s="1"/>
  <c r="AQ96" i="4"/>
  <c r="J28" i="63743" s="1" a="1"/>
  <c r="J28" i="63743" s="1"/>
  <c r="AQ8" i="63723"/>
  <c r="AN158" i="4"/>
  <c r="AN9" i="4"/>
  <c r="AN135" i="4"/>
  <c r="AT223" i="4"/>
  <c r="AT134" i="4"/>
  <c r="AT11" i="63723"/>
  <c r="AT6" i="4"/>
  <c r="AT58" i="63723"/>
  <c r="AT59" i="63723"/>
  <c r="AT27" i="4"/>
  <c r="AT28" i="4" s="1"/>
  <c r="AT24" i="4"/>
  <c r="AT25" i="4" s="1"/>
  <c r="AT18" i="4"/>
  <c r="AT19" i="4" s="1"/>
  <c r="AT15" i="4"/>
  <c r="AT37" i="63723"/>
  <c r="AT44" i="63723"/>
  <c r="AT43" i="63723" s="1"/>
  <c r="AT49" i="63723" s="1"/>
  <c r="AT21" i="4"/>
  <c r="AT22" i="4" s="1"/>
  <c r="AT11" i="4"/>
  <c r="AT12" i="4" s="1"/>
  <c r="AT107" i="63726"/>
  <c r="AT108" i="63726"/>
  <c r="AC190" i="4"/>
  <c r="AQ187" i="4"/>
  <c r="AW103" i="63726"/>
  <c r="AZ102" i="63726"/>
  <c r="AZ91" i="63726"/>
  <c r="AZ59" i="63726"/>
  <c r="AZ62" i="63726"/>
  <c r="AZ63" i="63726" s="1"/>
  <c r="AW106" i="63726"/>
  <c r="AT160" i="4"/>
  <c r="AQ16" i="4"/>
  <c r="AQ30" i="4"/>
  <c r="AQ31" i="4" s="1"/>
  <c r="BC57" i="63726"/>
  <c r="BC58" i="63726"/>
  <c r="BF104" i="63726"/>
  <c r="AN250" i="4"/>
  <c r="AI62" i="63731"/>
  <c r="AN88" i="4"/>
  <c r="AN40" i="4"/>
  <c r="AQ34" i="63723"/>
  <c r="AQ97" i="4"/>
  <c r="J29" i="63743" s="1" a="1"/>
  <c r="J29" i="63743" s="1"/>
  <c r="Z111" i="63726"/>
  <c r="Z112" i="63726"/>
  <c r="AJ96" i="4" l="1"/>
  <c r="AJ126" i="4" s="1"/>
  <c r="AI126" i="4"/>
  <c r="AN41" i="4"/>
  <c r="AN42" i="4"/>
  <c r="AK41" i="4"/>
  <c r="AK42" i="4"/>
  <c r="AQ37" i="4"/>
  <c r="AL37" i="4"/>
  <c r="AI37" i="4"/>
  <c r="BA63" i="63723"/>
  <c r="AK81" i="4"/>
  <c r="AK225" i="4"/>
  <c r="AH201" i="4"/>
  <c r="I11" i="63743" a="1"/>
  <c r="I11" i="63743" s="1"/>
  <c r="AH191" i="4"/>
  <c r="AH224" i="4"/>
  <c r="AH45" i="4"/>
  <c r="Q66" i="63743" s="1" a="1"/>
  <c r="Q66" i="63743" s="1"/>
  <c r="AH110" i="63726"/>
  <c r="AG162" i="4"/>
  <c r="AN81" i="4"/>
  <c r="AK44" i="4"/>
  <c r="AK190" i="4"/>
  <c r="AK93" i="4" s="1"/>
  <c r="AG186" i="4"/>
  <c r="AH86" i="63731"/>
  <c r="I49" i="63743" a="1"/>
  <c r="I49" i="63743" s="1"/>
  <c r="AG188" i="4"/>
  <c r="AG144" i="4"/>
  <c r="AK29" i="63723"/>
  <c r="AI225" i="4"/>
  <c r="AJ39" i="63723"/>
  <c r="AJ31" i="63723" s="1"/>
  <c r="AJ29" i="63723" s="1"/>
  <c r="AN33" i="63723"/>
  <c r="AN39" i="63723" s="1"/>
  <c r="AN31" i="63723" s="1"/>
  <c r="AN29" i="63723" s="1"/>
  <c r="AI31" i="63723"/>
  <c r="AI29" i="63723" s="1"/>
  <c r="AI88" i="4"/>
  <c r="AI125" i="4" s="1"/>
  <c r="AK5" i="63723"/>
  <c r="AK140" i="4" s="1"/>
  <c r="AJ140" i="4" s="1"/>
  <c r="AI250" i="4"/>
  <c r="AI188" i="4"/>
  <c r="AI186" i="4"/>
  <c r="AJ188" i="4"/>
  <c r="AJ162" i="4"/>
  <c r="AG140" i="4"/>
  <c r="AJ36" i="4"/>
  <c r="AJ38" i="4" s="1"/>
  <c r="AI49" i="63723"/>
  <c r="AI5" i="63723"/>
  <c r="AJ7" i="63723"/>
  <c r="AJ13" i="63723" s="1"/>
  <c r="AJ5" i="63723" s="1"/>
  <c r="AJ3" i="63723" s="1"/>
  <c r="AT30" i="63723"/>
  <c r="AK191" i="4"/>
  <c r="AG88" i="4"/>
  <c r="J10" i="63743" a="1"/>
  <c r="J10" i="63743" s="1"/>
  <c r="J24" i="63743" a="1"/>
  <c r="J24" i="63743" s="1"/>
  <c r="AT4" i="63723"/>
  <c r="AW160" i="4"/>
  <c r="BF58" i="63726"/>
  <c r="BF91" i="63726" s="1"/>
  <c r="AJ84" i="63731"/>
  <c r="AW24" i="4"/>
  <c r="AW25" i="4" s="1"/>
  <c r="AF3" i="63723"/>
  <c r="AF140" i="4"/>
  <c r="AF31" i="63723"/>
  <c r="AG33" i="63723"/>
  <c r="AG39" i="63723" s="1"/>
  <c r="AG31" i="63723" s="1"/>
  <c r="AG29" i="63723" s="1"/>
  <c r="AG101" i="4"/>
  <c r="AG126" i="4"/>
  <c r="AW58" i="63723"/>
  <c r="AW96" i="4" s="1"/>
  <c r="AF188" i="4"/>
  <c r="AF186" i="4"/>
  <c r="AW18" i="4"/>
  <c r="AW19" i="4" s="1"/>
  <c r="AW59" i="63723"/>
  <c r="AW97" i="4" s="1"/>
  <c r="AL84" i="63731" s="1"/>
  <c r="AW44" i="63723"/>
  <c r="AW43" i="63723" s="1"/>
  <c r="AW49" i="63723" s="1"/>
  <c r="AW21" i="4"/>
  <c r="AW22" i="4" s="1"/>
  <c r="AW27" i="4"/>
  <c r="AW28" i="4" s="1"/>
  <c r="AW15" i="4"/>
  <c r="AW16" i="4" s="1"/>
  <c r="AW37" i="63723"/>
  <c r="AW11" i="63723"/>
  <c r="AW223" i="4"/>
  <c r="AW6" i="4"/>
  <c r="BI57" i="63726"/>
  <c r="BI58" i="63726"/>
  <c r="BI104" i="63726"/>
  <c r="AH93" i="4"/>
  <c r="I25" i="63743" s="1" a="1"/>
  <c r="I25" i="63743" s="1"/>
  <c r="AH82" i="4"/>
  <c r="AH83" i="4" s="1"/>
  <c r="AH85" i="4" s="1"/>
  <c r="BC59" i="63726"/>
  <c r="BC91" i="63726"/>
  <c r="BC102" i="63726"/>
  <c r="BC62" i="63726"/>
  <c r="BC63" i="63726" s="1"/>
  <c r="AW11" i="4"/>
  <c r="AW12" i="4" s="1"/>
  <c r="AW108" i="63726"/>
  <c r="AW107" i="63726"/>
  <c r="AN186" i="4"/>
  <c r="AN189" i="4"/>
  <c r="AQ101" i="4"/>
  <c r="J31" i="63743" s="1" a="1"/>
  <c r="J31" i="63743" s="1"/>
  <c r="J30" i="63743" s="1"/>
  <c r="AJ82" i="63731"/>
  <c r="AQ126" i="4"/>
  <c r="AQ135" i="4"/>
  <c r="J44" i="63743" s="1" a="1"/>
  <c r="J44" i="63743" s="1"/>
  <c r="AQ158" i="4"/>
  <c r="J57" i="63743" s="1" a="1"/>
  <c r="J57" i="63743" s="1"/>
  <c r="AQ9" i="4"/>
  <c r="R57" i="63743" s="1" a="1"/>
  <c r="R57" i="63743" s="1"/>
  <c r="AQ7" i="63723"/>
  <c r="AQ13" i="63723" s="1"/>
  <c r="AN5" i="63723"/>
  <c r="AT96" i="4"/>
  <c r="AT8" i="63723"/>
  <c r="AN162" i="4"/>
  <c r="AN188" i="4"/>
  <c r="AN125" i="4"/>
  <c r="AN225" i="4"/>
  <c r="AT97" i="4"/>
  <c r="AK84" i="63731" s="1"/>
  <c r="AT34" i="63723"/>
  <c r="R59" i="63743" a="1"/>
  <c r="R59" i="63743" s="1"/>
  <c r="AZ106" i="63726"/>
  <c r="AN45" i="4"/>
  <c r="AN201" i="4"/>
  <c r="AN224" i="4"/>
  <c r="AN110" i="63726"/>
  <c r="AT16" i="4"/>
  <c r="AT30" i="4"/>
  <c r="AQ33" i="4"/>
  <c r="J9" i="63743" s="1" a="1"/>
  <c r="J9" i="63743" s="1"/>
  <c r="AT8" i="4"/>
  <c r="AT13" i="4"/>
  <c r="AW187" i="4"/>
  <c r="AT36" i="4"/>
  <c r="AZ103" i="63726"/>
  <c r="AZ5" i="4"/>
  <c r="AC82" i="4"/>
  <c r="AT187" i="4"/>
  <c r="AQ250" i="4"/>
  <c r="AQ88" i="4"/>
  <c r="AJ62" i="63731"/>
  <c r="AQ40" i="4"/>
  <c r="Z73" i="63726"/>
  <c r="Z72" i="63726"/>
  <c r="AJ101" i="4" l="1"/>
  <c r="AK82" i="4"/>
  <c r="AK83" i="4" s="1"/>
  <c r="AK85" i="4" s="1"/>
  <c r="AQ41" i="4"/>
  <c r="AQ42" i="4"/>
  <c r="AT37" i="4"/>
  <c r="AT38" i="4"/>
  <c r="AM37" i="4"/>
  <c r="AJ37" i="4"/>
  <c r="BG63" i="63723"/>
  <c r="BD63" i="63723"/>
  <c r="AK45" i="4"/>
  <c r="Q52" i="63743" a="1"/>
  <c r="Q52" i="63743" s="1"/>
  <c r="AH112" i="63726"/>
  <c r="AH71" i="63726"/>
  <c r="AK46" i="4"/>
  <c r="AK110" i="63726"/>
  <c r="AK224" i="4"/>
  <c r="AK201" i="4"/>
  <c r="AT33" i="4"/>
  <c r="AT81" i="4" s="1"/>
  <c r="AT31" i="4"/>
  <c r="AN46" i="4"/>
  <c r="AW30" i="63723"/>
  <c r="AN144" i="4"/>
  <c r="AK3" i="63723"/>
  <c r="AI144" i="4"/>
  <c r="AQ33" i="63723"/>
  <c r="AQ39" i="63723" s="1"/>
  <c r="AT33" i="63723" s="1"/>
  <c r="AT39" i="63723" s="1"/>
  <c r="AJ88" i="4"/>
  <c r="AJ125" i="4" s="1"/>
  <c r="AJ49" i="63723"/>
  <c r="AJ250" i="4"/>
  <c r="AI3" i="63723"/>
  <c r="AI140" i="4"/>
  <c r="AG125" i="4"/>
  <c r="R45" i="63743" a="1"/>
  <c r="R45" i="63743" s="1"/>
  <c r="AW4" i="63723"/>
  <c r="AJ86" i="63731"/>
  <c r="BF62" i="63726"/>
  <c r="BF102" i="63726"/>
  <c r="AW34" i="63723"/>
  <c r="AZ160" i="4"/>
  <c r="AW8" i="63723"/>
  <c r="BF59" i="63726"/>
  <c r="AH69" i="63731"/>
  <c r="AW30" i="4"/>
  <c r="AF144" i="4"/>
  <c r="AF29" i="63723"/>
  <c r="AW36" i="4"/>
  <c r="AW38" i="4" s="1"/>
  <c r="BI62" i="63726"/>
  <c r="BI59" i="63726"/>
  <c r="BI102" i="63726"/>
  <c r="BI91" i="63726"/>
  <c r="AQ125" i="4"/>
  <c r="AQ225" i="4"/>
  <c r="AT135" i="4"/>
  <c r="AT158" i="4"/>
  <c r="AT9" i="4"/>
  <c r="AW126" i="4"/>
  <c r="AW101" i="4"/>
  <c r="AL82" i="63731"/>
  <c r="AL86" i="63731" s="1"/>
  <c r="AN112" i="63726"/>
  <c r="AN71" i="63726"/>
  <c r="AT101" i="4"/>
  <c r="AK82" i="63731"/>
  <c r="AK86" i="63731" s="1"/>
  <c r="AT126" i="4"/>
  <c r="AQ188" i="4"/>
  <c r="AQ162" i="4"/>
  <c r="J60" i="63743" s="1" a="1"/>
  <c r="J60" i="63743" s="1"/>
  <c r="J59" i="63743" s="1"/>
  <c r="AQ186" i="4"/>
  <c r="AQ189" i="4"/>
  <c r="AW8" i="4"/>
  <c r="AW13" i="4"/>
  <c r="AZ6" i="4"/>
  <c r="AZ24" i="4"/>
  <c r="AZ25" i="4" s="1"/>
  <c r="AZ11" i="63723"/>
  <c r="AZ59" i="63723"/>
  <c r="AZ134" i="4"/>
  <c r="AZ58" i="63723"/>
  <c r="AZ27" i="4"/>
  <c r="AZ28" i="4" s="1"/>
  <c r="AZ223" i="4"/>
  <c r="AZ18" i="4"/>
  <c r="AZ19" i="4" s="1"/>
  <c r="AZ21" i="4"/>
  <c r="AZ22" i="4" s="1"/>
  <c r="AZ15" i="4"/>
  <c r="AZ44" i="63723"/>
  <c r="AZ43" i="63723" s="1"/>
  <c r="AZ49" i="63723" s="1"/>
  <c r="AZ37" i="63723"/>
  <c r="AQ81" i="4"/>
  <c r="AQ44" i="4"/>
  <c r="AQ46" i="4" s="1"/>
  <c r="AN191" i="4"/>
  <c r="AN190" i="4"/>
  <c r="BC106" i="63726"/>
  <c r="AN3" i="63723"/>
  <c r="AN140" i="4"/>
  <c r="BC5" i="4"/>
  <c r="BC103" i="63726"/>
  <c r="AG69" i="63731"/>
  <c r="AT250" i="4"/>
  <c r="AK62" i="63731"/>
  <c r="AT88" i="4"/>
  <c r="AT40" i="4"/>
  <c r="AZ107" i="63726"/>
  <c r="AZ108" i="63726"/>
  <c r="AZ11" i="4"/>
  <c r="AZ12" i="4" s="1"/>
  <c r="AT7" i="63723"/>
  <c r="AT13" i="63723" s="1"/>
  <c r="AQ5" i="63723"/>
  <c r="AF19" i="4"/>
  <c r="BF106" i="63726" l="1"/>
  <c r="BF11" i="4" s="1"/>
  <c r="BF63" i="63726"/>
  <c r="BI63" i="63726"/>
  <c r="AT41" i="4"/>
  <c r="AT42" i="4"/>
  <c r="AW88" i="4"/>
  <c r="AW125" i="4" s="1"/>
  <c r="AW37" i="4"/>
  <c r="AK71" i="63726"/>
  <c r="AK72" i="63726" s="1"/>
  <c r="Q48" i="63743" a="1"/>
  <c r="Q48" i="63743" s="1"/>
  <c r="AH73" i="63726"/>
  <c r="D6" i="63727"/>
  <c r="AH67" i="63726"/>
  <c r="AK112" i="63726"/>
  <c r="AN111" i="63726"/>
  <c r="AK111" i="63726"/>
  <c r="AT44" i="4"/>
  <c r="AT45" i="4" s="1"/>
  <c r="AW33" i="4"/>
  <c r="AW44" i="4" s="1"/>
  <c r="AW31" i="4"/>
  <c r="AZ30" i="63723"/>
  <c r="AQ31" i="63723"/>
  <c r="AQ144" i="4" s="1"/>
  <c r="J49" i="63743" s="1" a="1"/>
  <c r="J49" i="63743" s="1"/>
  <c r="AZ4" i="63723"/>
  <c r="J11" i="63743" a="1"/>
  <c r="J11" i="63743" s="1"/>
  <c r="BF103" i="63726"/>
  <c r="BF5" i="4"/>
  <c r="BF59" i="63723" s="1"/>
  <c r="AW250" i="4"/>
  <c r="AL62" i="63731"/>
  <c r="AW40" i="4"/>
  <c r="BI5" i="4"/>
  <c r="BI103" i="63726"/>
  <c r="BI106" i="63726"/>
  <c r="AZ8" i="4"/>
  <c r="AZ13" i="4"/>
  <c r="AQ191" i="4"/>
  <c r="AT162" i="4"/>
  <c r="AT188" i="4"/>
  <c r="AZ8" i="63723"/>
  <c r="AZ96" i="4"/>
  <c r="AT186" i="4"/>
  <c r="AT189" i="4"/>
  <c r="AT190" i="4" s="1"/>
  <c r="BC107" i="63726"/>
  <c r="BC11" i="4"/>
  <c r="BC12" i="4" s="1"/>
  <c r="BC108" i="63726"/>
  <c r="AZ30" i="4"/>
  <c r="AZ31" i="4" s="1"/>
  <c r="AZ16" i="4"/>
  <c r="AZ187" i="4"/>
  <c r="AN67" i="63726"/>
  <c r="AN73" i="63726"/>
  <c r="BC27" i="4"/>
  <c r="BC28" i="4" s="1"/>
  <c r="BC223" i="4"/>
  <c r="BC6" i="4"/>
  <c r="BC24" i="4"/>
  <c r="BC25" i="4" s="1"/>
  <c r="BC11" i="63723"/>
  <c r="BC59" i="63723"/>
  <c r="BC134" i="4"/>
  <c r="BC58" i="63723"/>
  <c r="BC18" i="4"/>
  <c r="BC19" i="4" s="1"/>
  <c r="BC21" i="4"/>
  <c r="BC22" i="4" s="1"/>
  <c r="BC15" i="4"/>
  <c r="BC37" i="63723"/>
  <c r="BC44" i="63723"/>
  <c r="BC43" i="63723" s="1"/>
  <c r="BC49" i="63723" s="1"/>
  <c r="AW33" i="63723"/>
  <c r="AW39" i="63723" s="1"/>
  <c r="AT31" i="63723"/>
  <c r="AQ140" i="4"/>
  <c r="J47" i="63743" s="1" a="1"/>
  <c r="J47" i="63743" s="1"/>
  <c r="AQ3" i="63723"/>
  <c r="AN93" i="4"/>
  <c r="AI69" i="63731" s="1"/>
  <c r="AN82" i="4"/>
  <c r="AN83" i="4" s="1"/>
  <c r="AN85" i="4" s="1"/>
  <c r="AZ34" i="63723"/>
  <c r="AZ97" i="4"/>
  <c r="AM84" i="63731" s="1"/>
  <c r="AW7" i="63723"/>
  <c r="AW13" i="63723" s="1"/>
  <c r="AT5" i="63723"/>
  <c r="AT125" i="4"/>
  <c r="AT225" i="4"/>
  <c r="AQ190" i="4"/>
  <c r="R60" i="63743" a="1"/>
  <c r="R60" i="63743" s="1"/>
  <c r="AQ110" i="63726"/>
  <c r="AQ45" i="4"/>
  <c r="R66" i="63743" s="1" a="1"/>
  <c r="R66" i="63743" s="1"/>
  <c r="AQ201" i="4"/>
  <c r="AQ224" i="4"/>
  <c r="AZ36" i="4"/>
  <c r="AW135" i="4"/>
  <c r="AW9" i="4"/>
  <c r="AW158" i="4"/>
  <c r="BC160" i="4"/>
  <c r="Z233" i="4"/>
  <c r="Z235" i="4" s="1"/>
  <c r="Z236" i="4" s="1"/>
  <c r="Z33" i="4"/>
  <c r="R52" i="63743" l="1" a="1"/>
  <c r="R52" i="63743" s="1"/>
  <c r="AQ71" i="63726"/>
  <c r="BF107" i="63726"/>
  <c r="BF108" i="63726"/>
  <c r="AW225" i="4"/>
  <c r="AZ37" i="4"/>
  <c r="AZ38" i="4"/>
  <c r="AW41" i="4"/>
  <c r="AW42" i="4"/>
  <c r="B6" i="63744"/>
  <c r="AK67" i="63726"/>
  <c r="AN68" i="63726" s="1"/>
  <c r="AN72" i="63726"/>
  <c r="AK73" i="63726"/>
  <c r="I6" i="63727"/>
  <c r="AW81" i="4"/>
  <c r="AT46" i="4"/>
  <c r="AT110" i="63726"/>
  <c r="AT71" i="63726" s="1"/>
  <c r="BC30" i="63723"/>
  <c r="AT201" i="4"/>
  <c r="AT224" i="4"/>
  <c r="AQ29" i="63723"/>
  <c r="BF12" i="4"/>
  <c r="Z81" i="4"/>
  <c r="Z85" i="4" s="1"/>
  <c r="BF15" i="4"/>
  <c r="BF16" i="4" s="1"/>
  <c r="BF11" i="63723"/>
  <c r="BF37" i="63723"/>
  <c r="BF223" i="4"/>
  <c r="BF44" i="63723"/>
  <c r="BF43" i="63723" s="1"/>
  <c r="BF49" i="63723" s="1"/>
  <c r="BF134" i="4"/>
  <c r="BF187" i="4" s="1"/>
  <c r="BF21" i="4"/>
  <c r="BF22" i="4" s="1"/>
  <c r="BF18" i="4"/>
  <c r="BF24" i="4"/>
  <c r="BF25" i="4" s="1"/>
  <c r="BF160" i="4"/>
  <c r="BI160" i="4" s="1"/>
  <c r="BF6" i="4"/>
  <c r="BF58" i="63723"/>
  <c r="BF96" i="4" s="1"/>
  <c r="BF27" i="4"/>
  <c r="BF28" i="4" s="1"/>
  <c r="BI134" i="4"/>
  <c r="BI187" i="4" s="1"/>
  <c r="BI59" i="63723"/>
  <c r="BI27" i="4"/>
  <c r="BI223" i="4"/>
  <c r="BI58" i="63723"/>
  <c r="BI37" i="63723"/>
  <c r="BI44" i="63723"/>
  <c r="BI43" i="63723" s="1"/>
  <c r="BI49" i="63723" s="1"/>
  <c r="BI24" i="4"/>
  <c r="BI11" i="63723"/>
  <c r="BI18" i="4"/>
  <c r="BI15" i="4"/>
  <c r="BI21" i="4"/>
  <c r="BI11" i="4"/>
  <c r="BI12" i="4" s="1"/>
  <c r="BI108" i="63726"/>
  <c r="BI107" i="63726"/>
  <c r="BI6" i="4"/>
  <c r="AZ33" i="4"/>
  <c r="AZ44" i="4" s="1"/>
  <c r="Z44" i="4"/>
  <c r="BC36" i="4"/>
  <c r="BC38" i="4" s="1"/>
  <c r="AQ93" i="4"/>
  <c r="J25" i="63743" s="1" a="1"/>
  <c r="J25" i="63743" s="1"/>
  <c r="AQ82" i="4"/>
  <c r="AQ83" i="4" s="1"/>
  <c r="AQ85" i="4" s="1"/>
  <c r="BC16" i="4"/>
  <c r="BC30" i="4"/>
  <c r="BC31" i="4" s="1"/>
  <c r="AW188" i="4"/>
  <c r="AW162" i="4"/>
  <c r="AW31" i="63723"/>
  <c r="AZ33" i="63723"/>
  <c r="AZ39" i="63723" s="1"/>
  <c r="AT191" i="4"/>
  <c r="BF13" i="4"/>
  <c r="BF8" i="4"/>
  <c r="AZ9" i="4"/>
  <c r="AZ135" i="4"/>
  <c r="AZ158" i="4"/>
  <c r="BC4" i="63723"/>
  <c r="AT82" i="4"/>
  <c r="AT83" i="4" s="1"/>
  <c r="AT85" i="4" s="1"/>
  <c r="AT93" i="4"/>
  <c r="AK69" i="63731" s="1"/>
  <c r="AW46" i="4"/>
  <c r="AW45" i="4"/>
  <c r="AW224" i="4"/>
  <c r="AW201" i="4"/>
  <c r="AW110" i="63726"/>
  <c r="BC8" i="63723"/>
  <c r="BC96" i="4"/>
  <c r="BC13" i="4"/>
  <c r="BC8" i="4"/>
  <c r="AT3" i="63723"/>
  <c r="AT140" i="4"/>
  <c r="AT144" i="4"/>
  <c r="AT29" i="63723"/>
  <c r="AW186" i="4"/>
  <c r="AW189" i="4"/>
  <c r="AZ40" i="4"/>
  <c r="AZ88" i="4"/>
  <c r="AM62" i="63731"/>
  <c r="AZ250" i="4"/>
  <c r="AQ111" i="63726"/>
  <c r="R53" i="63743" s="1" a="1"/>
  <c r="R53" i="63743" s="1"/>
  <c r="AQ112" i="63726"/>
  <c r="BC187" i="4"/>
  <c r="BF97" i="4"/>
  <c r="AO84" i="63731" s="1"/>
  <c r="BF34" i="63723"/>
  <c r="AW5" i="63723"/>
  <c r="AZ7" i="63723"/>
  <c r="AZ13" i="63723" s="1"/>
  <c r="BC34" i="63723"/>
  <c r="BC97" i="4"/>
  <c r="AN84" i="63731" s="1"/>
  <c r="AZ126" i="4"/>
  <c r="AM82" i="63731"/>
  <c r="AM86" i="63731" s="1"/>
  <c r="AZ101" i="4"/>
  <c r="Z241" i="4"/>
  <c r="Z242" i="4" s="1"/>
  <c r="Z237" i="4"/>
  <c r="AK68" i="63726" l="1"/>
  <c r="F10" i="63727"/>
  <c r="F9" i="63727" s="1"/>
  <c r="C9" i="63744" s="1"/>
  <c r="AZ41" i="4"/>
  <c r="AZ42" i="4"/>
  <c r="BC88" i="4"/>
  <c r="BC225" i="4" s="1"/>
  <c r="BC37" i="4"/>
  <c r="D6" i="63744"/>
  <c r="AT112" i="63726"/>
  <c r="AT111" i="63726"/>
  <c r="BF30" i="63723"/>
  <c r="BI30" i="63723" s="1"/>
  <c r="BF4" i="63723"/>
  <c r="BI4" i="63723" s="1"/>
  <c r="BI28" i="4"/>
  <c r="R48" i="63743" a="1"/>
  <c r="R48" i="63743" s="1"/>
  <c r="Z201" i="4"/>
  <c r="BI16" i="4"/>
  <c r="BF36" i="4"/>
  <c r="BF38" i="4" s="1"/>
  <c r="BF8" i="63723"/>
  <c r="BI25" i="4"/>
  <c r="BF30" i="4"/>
  <c r="BF19" i="4"/>
  <c r="BI22" i="4"/>
  <c r="BI19" i="4"/>
  <c r="AZ81" i="4"/>
  <c r="AJ69" i="63731"/>
  <c r="BI36" i="4"/>
  <c r="BI38" i="4" s="1"/>
  <c r="Z46" i="4"/>
  <c r="Z224" i="4"/>
  <c r="BI34" i="63723"/>
  <c r="BI97" i="4"/>
  <c r="AP84" i="63731" s="1"/>
  <c r="BI13" i="4"/>
  <c r="BI8" i="4"/>
  <c r="BI9" i="4" s="1"/>
  <c r="Z50" i="4"/>
  <c r="Z53" i="4" s="1"/>
  <c r="Z45" i="4"/>
  <c r="BI30" i="4"/>
  <c r="BI8" i="63723"/>
  <c r="BI96" i="4"/>
  <c r="AN62" i="63731"/>
  <c r="BC250" i="4"/>
  <c r="BC40" i="4"/>
  <c r="BC33" i="4"/>
  <c r="BC81" i="4" s="1"/>
  <c r="AT73" i="63726"/>
  <c r="AT67" i="63726"/>
  <c r="AT72" i="63726"/>
  <c r="BF135" i="4"/>
  <c r="BF9" i="4"/>
  <c r="BF158" i="4"/>
  <c r="AW144" i="4"/>
  <c r="AW29" i="63723"/>
  <c r="AW191" i="4"/>
  <c r="AW190" i="4"/>
  <c r="AZ162" i="4"/>
  <c r="AZ188" i="4"/>
  <c r="BF126" i="4"/>
  <c r="BF101" i="4"/>
  <c r="AO82" i="63731"/>
  <c r="AO86" i="63731" s="1"/>
  <c r="AZ186" i="4"/>
  <c r="AZ189" i="4"/>
  <c r="AZ190" i="4" s="1"/>
  <c r="AZ225" i="4"/>
  <c r="AZ125" i="4"/>
  <c r="BC126" i="4"/>
  <c r="AN82" i="63731"/>
  <c r="AN86" i="63731" s="1"/>
  <c r="BC101" i="4"/>
  <c r="AQ67" i="63726"/>
  <c r="AQ68" i="63726" s="1"/>
  <c r="AQ72" i="63726"/>
  <c r="R49" i="63743" s="1" a="1"/>
  <c r="R49" i="63743" s="1"/>
  <c r="AQ73" i="63726"/>
  <c r="Z243" i="4"/>
  <c r="BC7" i="63723"/>
  <c r="BC13" i="63723" s="1"/>
  <c r="AZ5" i="63723"/>
  <c r="AW140" i="4"/>
  <c r="AW3" i="63723"/>
  <c r="BC158" i="4"/>
  <c r="BC9" i="4"/>
  <c r="BC135" i="4"/>
  <c r="AW71" i="63726"/>
  <c r="AW112" i="63726"/>
  <c r="AW111" i="63726"/>
  <c r="AZ31" i="63723"/>
  <c r="BC33" i="63723"/>
  <c r="BC39" i="63723" s="1"/>
  <c r="AZ46" i="4"/>
  <c r="AZ110" i="63726"/>
  <c r="AZ201" i="4"/>
  <c r="AZ45" i="4"/>
  <c r="AZ224" i="4"/>
  <c r="BC125" i="4" l="1"/>
  <c r="BC41" i="4"/>
  <c r="BC42" i="4"/>
  <c r="BI88" i="4"/>
  <c r="BI125" i="4" s="1"/>
  <c r="BI37" i="4"/>
  <c r="AO62" i="63731"/>
  <c r="BF37" i="4"/>
  <c r="BI31" i="4"/>
  <c r="BF33" i="4"/>
  <c r="BF44" i="4" s="1"/>
  <c r="BF45" i="4" s="1"/>
  <c r="BF31" i="4"/>
  <c r="BF250" i="4"/>
  <c r="BF88" i="4"/>
  <c r="BF125" i="4" s="1"/>
  <c r="BF40" i="4"/>
  <c r="AP62" i="63731"/>
  <c r="Z87" i="4"/>
  <c r="Z93" i="4" s="1"/>
  <c r="BI250" i="4"/>
  <c r="Z57" i="4"/>
  <c r="BI101" i="4"/>
  <c r="BI126" i="4"/>
  <c r="AP82" i="63731"/>
  <c r="AP86" i="63731" s="1"/>
  <c r="BI40" i="4"/>
  <c r="BI42" i="4" s="1"/>
  <c r="BI33" i="4"/>
  <c r="BI158" i="4"/>
  <c r="BI135" i="4"/>
  <c r="BC44" i="4"/>
  <c r="BC46" i="4" s="1"/>
  <c r="AT68" i="63726"/>
  <c r="AZ144" i="4"/>
  <c r="AZ29" i="63723"/>
  <c r="BC162" i="4"/>
  <c r="BC188" i="4"/>
  <c r="BF7" i="63723"/>
  <c r="BF13" i="63723" s="1"/>
  <c r="BC5" i="63723"/>
  <c r="AZ191" i="4"/>
  <c r="AW82" i="4"/>
  <c r="AW83" i="4" s="1"/>
  <c r="AW85" i="4" s="1"/>
  <c r="AW93" i="4"/>
  <c r="AL69" i="63731" s="1"/>
  <c r="AZ71" i="63726"/>
  <c r="AZ111" i="63726"/>
  <c r="AZ112" i="63726"/>
  <c r="AW73" i="63726"/>
  <c r="AW72" i="63726"/>
  <c r="AW67" i="63726"/>
  <c r="AW68" i="63726" s="1"/>
  <c r="BF162" i="4"/>
  <c r="BF188" i="4"/>
  <c r="BC186" i="4"/>
  <c r="BC189" i="4"/>
  <c r="AZ93" i="4"/>
  <c r="AM69" i="63731" s="1"/>
  <c r="AZ82" i="4"/>
  <c r="AZ83" i="4" s="1"/>
  <c r="AZ85" i="4" s="1"/>
  <c r="BF33" i="63723"/>
  <c r="BF39" i="63723" s="1"/>
  <c r="BC31" i="63723"/>
  <c r="AZ3" i="63723"/>
  <c r="AZ140" i="4"/>
  <c r="BF186" i="4"/>
  <c r="BF189" i="4"/>
  <c r="BF41" i="4" l="1"/>
  <c r="BF42" i="4"/>
  <c r="BI225" i="4"/>
  <c r="BI41" i="4"/>
  <c r="BF81" i="4"/>
  <c r="BF225" i="4"/>
  <c r="BF110" i="63726"/>
  <c r="BF71" i="63726" s="1"/>
  <c r="BF224" i="4"/>
  <c r="BF201" i="4"/>
  <c r="Z207" i="4"/>
  <c r="Z209" i="4" s="1"/>
  <c r="Z63" i="4"/>
  <c r="Z58" i="4"/>
  <c r="Z64" i="4"/>
  <c r="BI81" i="4"/>
  <c r="BI44" i="4"/>
  <c r="BI186" i="4"/>
  <c r="BI189" i="4"/>
  <c r="BI191" i="4" s="1"/>
  <c r="BI188" i="4"/>
  <c r="BI162" i="4"/>
  <c r="BF31" i="63723"/>
  <c r="BF29" i="63723" s="1"/>
  <c r="BI33" i="63723"/>
  <c r="BI39" i="63723" s="1"/>
  <c r="BI31" i="63723" s="1"/>
  <c r="BF5" i="63723"/>
  <c r="BF140" i="4" s="1"/>
  <c r="BI7" i="63723"/>
  <c r="BI13" i="63723" s="1"/>
  <c r="BI5" i="63723" s="1"/>
  <c r="BF191" i="4"/>
  <c r="BC45" i="4"/>
  <c r="BC201" i="4"/>
  <c r="BC110" i="63726"/>
  <c r="BC71" i="63726" s="1"/>
  <c r="BC224" i="4"/>
  <c r="BF46" i="4"/>
  <c r="BC29" i="63723"/>
  <c r="BC144" i="4"/>
  <c r="AZ67" i="63726"/>
  <c r="AZ68" i="63726" s="1"/>
  <c r="AZ73" i="63726"/>
  <c r="AZ72" i="63726"/>
  <c r="BC3" i="63723"/>
  <c r="BC140" i="4"/>
  <c r="BC191" i="4"/>
  <c r="BF190" i="4"/>
  <c r="BC190" i="4"/>
  <c r="Z109" i="4"/>
  <c r="Z208" i="4" l="1"/>
  <c r="BF112" i="63726"/>
  <c r="BF144" i="4"/>
  <c r="BF3" i="63723"/>
  <c r="BI190" i="4"/>
  <c r="BI45" i="4"/>
  <c r="BI224" i="4"/>
  <c r="BI110" i="63726"/>
  <c r="BI201" i="4"/>
  <c r="BI46" i="4"/>
  <c r="BI3" i="63723"/>
  <c r="BI140" i="4"/>
  <c r="BI29" i="63723"/>
  <c r="BI144" i="4"/>
  <c r="BC111" i="63726"/>
  <c r="BF111" i="63726"/>
  <c r="BC112" i="63726"/>
  <c r="BF67" i="63726"/>
  <c r="BF73" i="63726"/>
  <c r="BF72" i="63726"/>
  <c r="BC67" i="63726"/>
  <c r="BC68" i="63726" s="1"/>
  <c r="BC73" i="63726"/>
  <c r="BC72" i="63726"/>
  <c r="BF82" i="4"/>
  <c r="BF83" i="4" s="1"/>
  <c r="BF85" i="4" s="1"/>
  <c r="BF93" i="4"/>
  <c r="AO69" i="63731" s="1"/>
  <c r="BC82" i="4"/>
  <c r="BC83" i="4" s="1"/>
  <c r="BC85" i="4" s="1"/>
  <c r="BC93" i="4"/>
  <c r="AN69" i="63731" s="1"/>
  <c r="Z178" i="4"/>
  <c r="Z66" i="4"/>
  <c r="BI93" i="4" l="1"/>
  <c r="AP69" i="63731" s="1"/>
  <c r="BI82" i="4"/>
  <c r="BI83" i="4" s="1"/>
  <c r="BI85" i="4" s="1"/>
  <c r="BI71" i="63726"/>
  <c r="BI112" i="63726"/>
  <c r="BI111" i="63726"/>
  <c r="BF68" i="63726"/>
  <c r="Z199" i="4"/>
  <c r="Z200" i="4" s="1"/>
  <c r="Z202" i="4" s="1"/>
  <c r="Z203" i="4"/>
  <c r="AC14" i="63724"/>
  <c r="Z183" i="4" l="1"/>
  <c r="BI73" i="63726"/>
  <c r="BI67" i="63726"/>
  <c r="BI68" i="63726" s="1"/>
  <c r="BI72" i="63726"/>
  <c r="AD14" i="63724"/>
  <c r="AD117" i="4" s="1"/>
  <c r="R41" i="63743" l="1" a="1"/>
  <c r="R41" i="63743" s="1"/>
  <c r="Z151" i="4" l="1"/>
  <c r="Z153" i="4" s="1"/>
  <c r="Z39" i="63723"/>
  <c r="AA33" i="63723" s="1"/>
  <c r="AA39" i="63723" s="1"/>
  <c r="AA31" i="63723" s="1"/>
  <c r="AA29" i="63723" s="1"/>
  <c r="Z204" i="4" l="1"/>
  <c r="Z184" i="4"/>
  <c r="Z180" i="4"/>
  <c r="Z179" i="4"/>
  <c r="Z31" i="63723"/>
  <c r="Z29" i="63723" s="1"/>
  <c r="Z38" i="63723"/>
  <c r="AC42" i="63723" l="1"/>
  <c r="AC45" i="63723" s="1"/>
  <c r="AD42" i="63723" s="1"/>
  <c r="AD45" i="63723" s="1"/>
  <c r="AD148" i="4" s="1"/>
  <c r="AE42" i="63723"/>
  <c r="AE45" i="63723" s="1"/>
  <c r="AB43" i="63723"/>
  <c r="AA43" i="63723" l="1"/>
  <c r="AA45" i="63723" s="1"/>
  <c r="AA148" i="4" s="1"/>
  <c r="AA151" i="4" s="1"/>
  <c r="AA153" i="4" s="1"/>
  <c r="AE148" i="4"/>
  <c r="AH42" i="63723"/>
  <c r="AH45" i="63723" s="1"/>
  <c r="AF42" i="63723"/>
  <c r="AF45" i="63723" s="1"/>
  <c r="G53" i="63743" a="1"/>
  <c r="G53" i="63743" s="1"/>
  <c r="G51" i="63743" a="1"/>
  <c r="G51" i="63743" s="1"/>
  <c r="AD151" i="4"/>
  <c r="AK42" i="63723" l="1"/>
  <c r="AK45" i="63723" s="1"/>
  <c r="AH148" i="4"/>
  <c r="AI42" i="63723"/>
  <c r="AI45" i="63723" s="1"/>
  <c r="H51" i="63743" a="1"/>
  <c r="H51" i="63743" s="1"/>
  <c r="AE151" i="4"/>
  <c r="AF148" i="4"/>
  <c r="AG42" i="63723"/>
  <c r="AG45" i="63723" s="1"/>
  <c r="AG148" i="4" s="1"/>
  <c r="AC151" i="4"/>
  <c r="G52" i="63743"/>
  <c r="AF151" i="4" l="1"/>
  <c r="AI148" i="4"/>
  <c r="AI151" i="4" s="1"/>
  <c r="AJ42" i="63723"/>
  <c r="AJ45" i="63723" s="1"/>
  <c r="AJ148" i="4" s="1"/>
  <c r="AJ151" i="4" s="1"/>
  <c r="AG151" i="4"/>
  <c r="H53" i="63743" a="1"/>
  <c r="H53" i="63743" s="1"/>
  <c r="H52" i="63743" s="1"/>
  <c r="AH151" i="4"/>
  <c r="I51" i="63743" a="1"/>
  <c r="I51" i="63743" s="1"/>
  <c r="AN42" i="63723"/>
  <c r="AN45" i="63723" s="1"/>
  <c r="AK148" i="4"/>
  <c r="I53" i="63743" l="1" a="1"/>
  <c r="I53" i="63743" s="1"/>
  <c r="I52" i="63743" s="1"/>
  <c r="AK151" i="4"/>
  <c r="J51" i="63743" a="1"/>
  <c r="J51" i="63743" s="1"/>
  <c r="AQ42" i="63723"/>
  <c r="AQ45" i="63723" s="1"/>
  <c r="AN148" i="4"/>
  <c r="AN151" i="4" s="1"/>
  <c r="J53" i="63743" l="1" a="1"/>
  <c r="J53" i="63743" s="1"/>
  <c r="J52" i="63743" s="1"/>
  <c r="AQ148" i="4"/>
  <c r="AQ151" i="4" s="1"/>
  <c r="AT42" i="63723"/>
  <c r="AT45" i="63723" s="1"/>
  <c r="AT148" i="4" l="1"/>
  <c r="AT151" i="4" s="1"/>
  <c r="AW42" i="63723"/>
  <c r="AW45" i="63723" s="1"/>
  <c r="AW148" i="4" l="1"/>
  <c r="AW151" i="4" s="1"/>
  <c r="AZ42" i="63723"/>
  <c r="AZ45" i="63723" s="1"/>
  <c r="BC42" i="63723" l="1"/>
  <c r="BC45" i="63723" s="1"/>
  <c r="AZ148" i="4"/>
  <c r="AZ151" i="4" s="1"/>
  <c r="BF42" i="63723" l="1"/>
  <c r="BF45" i="63723" s="1"/>
  <c r="BC148" i="4"/>
  <c r="BC151" i="4" s="1"/>
  <c r="BF148" i="4" l="1"/>
  <c r="BF151" i="4" s="1"/>
  <c r="BI42" i="63723"/>
  <c r="BI45" i="63723" s="1"/>
  <c r="BI148" i="4" s="1"/>
  <c r="BI151" i="4" s="1"/>
  <c r="AB166" i="4"/>
  <c r="AB169" i="4" s="1"/>
  <c r="AC48" i="63723"/>
  <c r="AC54" i="63723" s="1"/>
  <c r="AB49" i="63723"/>
  <c r="AE48" i="63723"/>
  <c r="AA49" i="63723" l="1"/>
  <c r="AA51" i="63723" s="1"/>
  <c r="AA166" i="4" s="1"/>
  <c r="AC50" i="63723"/>
  <c r="AC51" i="63723" s="1"/>
  <c r="G65" i="63743" a="1"/>
  <c r="G65" i="63743" s="1"/>
  <c r="AB171" i="4"/>
  <c r="AB185" i="4" s="1"/>
  <c r="AE54" i="63723"/>
  <c r="AE50" i="63723" s="1"/>
  <c r="G62" i="63743" a="1"/>
  <c r="G62" i="63743" s="1"/>
  <c r="AA169" i="4" l="1"/>
  <c r="AA171" i="4" s="1"/>
  <c r="AA180" i="4" s="1"/>
  <c r="AA114" i="4"/>
  <c r="AD54" i="63723"/>
  <c r="AE119" i="4"/>
  <c r="AE120" i="4" s="1"/>
  <c r="AD48" i="63723"/>
  <c r="G66" i="63743" a="1"/>
  <c r="G66" i="63743" s="1"/>
  <c r="AC120" i="4"/>
  <c r="G64" i="63743"/>
  <c r="AC245" i="4" l="1"/>
  <c r="AC233" i="4" s="1"/>
  <c r="AC169" i="4"/>
  <c r="AE48" i="4"/>
  <c r="AD119" i="4"/>
  <c r="AD50" i="63723"/>
  <c r="AD51" i="63723" s="1"/>
  <c r="AD166" i="4" s="1"/>
  <c r="AE106" i="4"/>
  <c r="AE245" i="4" s="1"/>
  <c r="AF63" i="63731" a="1"/>
  <c r="AF63" i="63731" s="1"/>
  <c r="AE51" i="63723"/>
  <c r="AC246" i="4" l="1"/>
  <c r="AC248" i="4" s="1"/>
  <c r="AD169" i="4"/>
  <c r="AF48" i="63723"/>
  <c r="AE166" i="4"/>
  <c r="AH48" i="63723"/>
  <c r="AE246" i="4"/>
  <c r="AE248" i="4" s="1"/>
  <c r="AD120" i="4"/>
  <c r="AD48" i="4" s="1"/>
  <c r="H13" i="63743" a="1"/>
  <c r="H13" i="63743" s="1"/>
  <c r="AF60" i="63731"/>
  <c r="AF66" i="63731" s="1"/>
  <c r="AE226" i="4"/>
  <c r="AC253" i="4"/>
  <c r="AC252" i="4" s="1"/>
  <c r="H34" i="63743" a="1"/>
  <c r="H34" i="63743" s="1"/>
  <c r="AD106" i="4"/>
  <c r="AC171" i="4"/>
  <c r="AC239" i="4" l="1"/>
  <c r="H62" i="63743" a="1"/>
  <c r="H62" i="63743" s="1"/>
  <c r="AE169" i="4"/>
  <c r="AD245" i="4"/>
  <c r="AF54" i="63723"/>
  <c r="AC185" i="4"/>
  <c r="AE239" i="4"/>
  <c r="AE253" i="4"/>
  <c r="AE252" i="4" s="1"/>
  <c r="AH54" i="63723"/>
  <c r="AD171" i="4"/>
  <c r="AE171" i="4" l="1"/>
  <c r="H65" i="63743" a="1"/>
  <c r="H65" i="63743" s="1"/>
  <c r="H64" i="63743" s="1"/>
  <c r="AD246" i="4"/>
  <c r="AF119" i="4"/>
  <c r="AF50" i="63723"/>
  <c r="D9" i="63727"/>
  <c r="B31" i="63727" s="1"/>
  <c r="F28" i="63727" s="1"/>
  <c r="AG54" i="63723"/>
  <c r="AH119" i="4"/>
  <c r="AH50" i="63723"/>
  <c r="AH51" i="63723" s="1"/>
  <c r="AE185" i="4" l="1"/>
  <c r="H66" i="63743" a="1"/>
  <c r="H66" i="63743" s="1"/>
  <c r="AH106" i="4"/>
  <c r="AH245" i="4" s="1"/>
  <c r="AG50" i="63723"/>
  <c r="AE52" i="63723"/>
  <c r="AG63" i="63731" a="1"/>
  <c r="AG63" i="63731" s="1"/>
  <c r="AF106" i="4"/>
  <c r="AF51" i="63723"/>
  <c r="AG119" i="4"/>
  <c r="AH120" i="4"/>
  <c r="AH48" i="4" s="1"/>
  <c r="AD239" i="4"/>
  <c r="AD253" i="4"/>
  <c r="AD252" i="4" s="1"/>
  <c r="I9" i="63727"/>
  <c r="B9" i="63744"/>
  <c r="AD248" i="4"/>
  <c r="AF245" i="4" l="1"/>
  <c r="AH246" i="4"/>
  <c r="AH248" i="4" s="1"/>
  <c r="AH233" i="4"/>
  <c r="AH235" i="4" s="1"/>
  <c r="AH166" i="4"/>
  <c r="AK48" i="63723"/>
  <c r="AI48" i="63723"/>
  <c r="AH226" i="4"/>
  <c r="I13" i="63743" a="1"/>
  <c r="I13" i="63743" s="1"/>
  <c r="AH124" i="4"/>
  <c r="AG60" i="63731"/>
  <c r="AG66" i="63731" s="1"/>
  <c r="AH50" i="4"/>
  <c r="AF166" i="4"/>
  <c r="AG48" i="63723"/>
  <c r="AG51" i="63723" s="1"/>
  <c r="AG166" i="4" s="1"/>
  <c r="D9" i="63744"/>
  <c r="I12" i="63727"/>
  <c r="I34" i="63743" a="1"/>
  <c r="I34" i="63743" s="1"/>
  <c r="AG106" i="4"/>
  <c r="AG169" i="4" l="1"/>
  <c r="AH239" i="4"/>
  <c r="AH241" i="4" s="1"/>
  <c r="AH253" i="4"/>
  <c r="AH252" i="4" s="1"/>
  <c r="J6" i="63727"/>
  <c r="J7" i="63727"/>
  <c r="D10" i="63744"/>
  <c r="J8" i="63727"/>
  <c r="AF169" i="4"/>
  <c r="AI54" i="63723"/>
  <c r="AF246" i="4"/>
  <c r="J9" i="63727"/>
  <c r="AG245" i="4"/>
  <c r="AK54" i="63723"/>
  <c r="I14" i="63743" a="1"/>
  <c r="I14" i="63743" s="1"/>
  <c r="AH87" i="4"/>
  <c r="AG59" i="63731"/>
  <c r="I62" i="63743" a="1"/>
  <c r="I62" i="63743" s="1"/>
  <c r="AH169" i="4"/>
  <c r="AH237" i="4"/>
  <c r="AH236" i="4"/>
  <c r="I23" i="63743" l="1" a="1"/>
  <c r="I23" i="63743" s="1"/>
  <c r="AH242" i="4"/>
  <c r="AH243" i="4"/>
  <c r="AG246" i="4"/>
  <c r="AG248" i="4" s="1"/>
  <c r="I65" i="63743" a="1"/>
  <c r="I65" i="63743" s="1"/>
  <c r="I64" i="63743" s="1"/>
  <c r="AH171" i="4"/>
  <c r="AI119" i="4"/>
  <c r="AI50" i="63723"/>
  <c r="AJ54" i="63723"/>
  <c r="AK119" i="4"/>
  <c r="AK50" i="63723"/>
  <c r="AF239" i="4"/>
  <c r="AF253" i="4"/>
  <c r="AF252" i="4" s="1"/>
  <c r="AG171" i="4"/>
  <c r="AF248" i="4"/>
  <c r="AK106" i="4" l="1"/>
  <c r="AK245" i="4" s="1"/>
  <c r="AJ50" i="63723"/>
  <c r="AH63" i="63731" a="1"/>
  <c r="AH63" i="63731" s="1"/>
  <c r="AH52" i="63723"/>
  <c r="AK51" i="63723"/>
  <c r="AJ119" i="4"/>
  <c r="AI120" i="4"/>
  <c r="AI48" i="4" s="1"/>
  <c r="AG253" i="4"/>
  <c r="AG252" i="4" s="1"/>
  <c r="AG239" i="4"/>
  <c r="AI106" i="4"/>
  <c r="AI245" i="4" s="1"/>
  <c r="AI51" i="63723"/>
  <c r="I66" i="63743" a="1"/>
  <c r="I66" i="63743" s="1"/>
  <c r="AH185" i="4"/>
  <c r="AI246" i="4" l="1"/>
  <c r="AK233" i="4"/>
  <c r="AK235" i="4" s="1"/>
  <c r="AK246" i="4"/>
  <c r="AK248" i="4" s="1"/>
  <c r="AJ106" i="4"/>
  <c r="AJ245" i="4" s="1"/>
  <c r="J34" i="63743" a="1"/>
  <c r="J34" i="63743" s="1"/>
  <c r="AJ48" i="63723"/>
  <c r="AJ51" i="63723" s="1"/>
  <c r="AJ166" i="4" s="1"/>
  <c r="AI166" i="4"/>
  <c r="AJ120" i="4"/>
  <c r="AJ48" i="4" s="1"/>
  <c r="AK166" i="4"/>
  <c r="AN48" i="63723"/>
  <c r="AI253" i="4" l="1"/>
  <c r="AI252" i="4" s="1"/>
  <c r="AI239" i="4"/>
  <c r="AI169" i="4"/>
  <c r="AJ169" i="4"/>
  <c r="AJ171" i="4" s="1"/>
  <c r="AN54" i="63723"/>
  <c r="AK253" i="4"/>
  <c r="AK252" i="4" s="1"/>
  <c r="AK239" i="4"/>
  <c r="AK241" i="4" s="1"/>
  <c r="AJ246" i="4"/>
  <c r="AI248" i="4"/>
  <c r="J62" i="63743" a="1"/>
  <c r="J62" i="63743" s="1"/>
  <c r="AK169" i="4"/>
  <c r="AK236" i="4"/>
  <c r="AK242" i="4" l="1"/>
  <c r="AJ239" i="4"/>
  <c r="AJ253" i="4"/>
  <c r="AJ252" i="4" s="1"/>
  <c r="AN119" i="4"/>
  <c r="AN50" i="63723"/>
  <c r="AJ248" i="4"/>
  <c r="AK171" i="4"/>
  <c r="J65" i="63743" a="1"/>
  <c r="J65" i="63743" s="1"/>
  <c r="J64" i="63743" s="1"/>
  <c r="AN106" i="4" l="1"/>
  <c r="AN245" i="4" s="1"/>
  <c r="AK52" i="63723"/>
  <c r="AI63" i="63731" a="1"/>
  <c r="AI63" i="63731" s="1"/>
  <c r="AN51" i="63723"/>
  <c r="J66" i="63743" a="1"/>
  <c r="J66" i="63743" s="1"/>
  <c r="AK185" i="4"/>
  <c r="AN233" i="4" l="1"/>
  <c r="AN235" i="4" s="1"/>
  <c r="AN246" i="4"/>
  <c r="AN248" i="4" s="1"/>
  <c r="AN166" i="4"/>
  <c r="AQ48" i="63723"/>
  <c r="AQ54" i="63723" l="1"/>
  <c r="AN169" i="4"/>
  <c r="AN171" i="4" s="1"/>
  <c r="AN185" i="4" s="1"/>
  <c r="AN236" i="4"/>
  <c r="AN253" i="4"/>
  <c r="AN252" i="4" s="1"/>
  <c r="AN239" i="4"/>
  <c r="AN241" i="4" s="1"/>
  <c r="AN242" i="4" l="1"/>
  <c r="AQ119" i="4"/>
  <c r="AQ50" i="63723"/>
  <c r="AJ63" i="63731" l="1" a="1"/>
  <c r="AJ63" i="63731" s="1"/>
  <c r="AQ106" i="4"/>
  <c r="AQ245" i="4" s="1"/>
  <c r="AN52" i="63723"/>
  <c r="AQ51" i="63723"/>
  <c r="AQ166" i="4" l="1"/>
  <c r="AT48" i="63723"/>
  <c r="AQ233" i="4"/>
  <c r="AQ235" i="4" s="1"/>
  <c r="AQ246" i="4"/>
  <c r="AQ248" i="4" s="1"/>
  <c r="AQ237" i="4" l="1"/>
  <c r="AQ236" i="4"/>
  <c r="AT54" i="63723"/>
  <c r="AQ169" i="4"/>
  <c r="AQ171" i="4" s="1"/>
  <c r="AQ185" i="4" s="1"/>
  <c r="AQ253" i="4"/>
  <c r="AQ252" i="4" s="1"/>
  <c r="AQ239" i="4"/>
  <c r="AQ241" i="4" s="1"/>
  <c r="AQ243" i="4" l="1"/>
  <c r="AQ242" i="4"/>
  <c r="AT119" i="4"/>
  <c r="AT50" i="63723"/>
  <c r="AK63" i="63731" l="1" a="1"/>
  <c r="AK63" i="63731" s="1"/>
  <c r="AT106" i="4"/>
  <c r="AT245" i="4" s="1"/>
  <c r="AQ52" i="63723"/>
  <c r="AT52" i="63723" s="1"/>
  <c r="AW52" i="63723" s="1"/>
  <c r="AZ52" i="63723" s="1"/>
  <c r="BC52" i="63723" s="1"/>
  <c r="BF52" i="63723" s="1"/>
  <c r="BI52" i="63723" s="1"/>
  <c r="AT51" i="63723"/>
  <c r="AT233" i="4" l="1"/>
  <c r="AT235" i="4" s="1"/>
  <c r="AT246" i="4"/>
  <c r="AW48" i="63723"/>
  <c r="AT166" i="4"/>
  <c r="AT239" i="4" l="1"/>
  <c r="AT241" i="4" s="1"/>
  <c r="AT253" i="4"/>
  <c r="AT252" i="4" s="1"/>
  <c r="AT237" i="4"/>
  <c r="AT236" i="4"/>
  <c r="AT169" i="4"/>
  <c r="AT171" i="4" s="1"/>
  <c r="AT185" i="4" s="1"/>
  <c r="AT248" i="4"/>
  <c r="AW54" i="63723"/>
  <c r="AT243" i="4" l="1"/>
  <c r="AT242" i="4"/>
  <c r="AW119" i="4"/>
  <c r="AW50" i="63723"/>
  <c r="AW106" i="4" l="1"/>
  <c r="AW245" i="4" s="1"/>
  <c r="AL63" i="63731" a="1"/>
  <c r="AL63" i="63731" s="1"/>
  <c r="AW51" i="63723"/>
  <c r="AW233" i="4" l="1"/>
  <c r="AW235" i="4" s="1"/>
  <c r="AW246" i="4"/>
  <c r="AZ48" i="63723"/>
  <c r="AW166" i="4"/>
  <c r="AW253" i="4" l="1"/>
  <c r="AW252" i="4" s="1"/>
  <c r="AW239" i="4"/>
  <c r="AW241" i="4" s="1"/>
  <c r="AW237" i="4"/>
  <c r="AW236" i="4"/>
  <c r="AW169" i="4"/>
  <c r="AW171" i="4" s="1"/>
  <c r="AW185" i="4" s="1"/>
  <c r="AZ54" i="63723"/>
  <c r="AW248" i="4"/>
  <c r="AZ119" i="4" l="1"/>
  <c r="AZ50" i="63723"/>
  <c r="AW242" i="4"/>
  <c r="AW243" i="4"/>
  <c r="AZ106" i="4" l="1"/>
  <c r="AZ245" i="4" s="1"/>
  <c r="AM63" i="63731" a="1"/>
  <c r="AM63" i="63731" s="1"/>
  <c r="AZ51" i="63723"/>
  <c r="AZ233" i="4" l="1"/>
  <c r="AZ235" i="4" s="1"/>
  <c r="AZ246" i="4"/>
  <c r="BC48" i="63723"/>
  <c r="AZ166" i="4"/>
  <c r="BC54" i="63723" l="1"/>
  <c r="AZ239" i="4"/>
  <c r="AZ241" i="4" s="1"/>
  <c r="AZ253" i="4"/>
  <c r="AZ252" i="4" s="1"/>
  <c r="AZ236" i="4"/>
  <c r="AZ237" i="4"/>
  <c r="AZ169" i="4"/>
  <c r="AZ171" i="4" s="1"/>
  <c r="AZ185" i="4" s="1"/>
  <c r="AZ248" i="4"/>
  <c r="AZ242" i="4" l="1"/>
  <c r="AZ243" i="4"/>
  <c r="BC119" i="4"/>
  <c r="BC50" i="63723"/>
  <c r="AN63" i="63731" l="1" a="1"/>
  <c r="AN63" i="63731" s="1"/>
  <c r="BC106" i="4"/>
  <c r="BC245" i="4" s="1"/>
  <c r="BC51" i="63723"/>
  <c r="BC233" i="4" l="1"/>
  <c r="BC235" i="4" s="1"/>
  <c r="BC246" i="4"/>
  <c r="BF48" i="63723"/>
  <c r="BC166" i="4"/>
  <c r="BC253" i="4" l="1"/>
  <c r="BC252" i="4" s="1"/>
  <c r="BC239" i="4"/>
  <c r="BC241" i="4" s="1"/>
  <c r="BC236" i="4"/>
  <c r="BC237" i="4"/>
  <c r="BC169" i="4"/>
  <c r="BC171" i="4" s="1"/>
  <c r="BC185" i="4" s="1"/>
  <c r="BF54" i="63723"/>
  <c r="BC248" i="4"/>
  <c r="BC242" i="4" l="1"/>
  <c r="BC243" i="4"/>
  <c r="BF119" i="4"/>
  <c r="BF50" i="63723"/>
  <c r="AO63" i="63731" l="1" a="1"/>
  <c r="AO63" i="63731" s="1"/>
  <c r="BF106" i="4"/>
  <c r="BF245" i="4" s="1"/>
  <c r="BF51" i="63723"/>
  <c r="BF233" i="4" l="1"/>
  <c r="BF235" i="4" s="1"/>
  <c r="BF246" i="4"/>
  <c r="BI48" i="63723"/>
  <c r="BF166" i="4"/>
  <c r="BF169" i="4" l="1"/>
  <c r="BF171" i="4" s="1"/>
  <c r="BF185" i="4" s="1"/>
  <c r="BI54" i="63723"/>
  <c r="BI50" i="63723" s="1"/>
  <c r="BI51" i="63723" s="1"/>
  <c r="BI166" i="4" s="1"/>
  <c r="BF239" i="4"/>
  <c r="BF241" i="4" s="1"/>
  <c r="BF253" i="4"/>
  <c r="BF252" i="4" s="1"/>
  <c r="BF248" i="4"/>
  <c r="BF237" i="4"/>
  <c r="BF236" i="4"/>
  <c r="BF242" i="4" l="1"/>
  <c r="BF243" i="4"/>
  <c r="BI119" i="4"/>
  <c r="AP63" i="63731" l="1" a="1"/>
  <c r="AP63" i="63731" s="1"/>
  <c r="BI106" i="4"/>
  <c r="BI245" i="4" s="1"/>
  <c r="BI233" i="4" l="1"/>
  <c r="BI235" i="4" s="1"/>
  <c r="BI246" i="4"/>
  <c r="BI169" i="4"/>
  <c r="BI171" i="4" s="1"/>
  <c r="BI185" i="4" s="1"/>
  <c r="BI236" i="4" l="1"/>
  <c r="BI237" i="4"/>
  <c r="BI239" i="4"/>
  <c r="BI241" i="4" s="1"/>
  <c r="BI253" i="4"/>
  <c r="BI252" i="4" s="1"/>
  <c r="BI248" i="4"/>
  <c r="BI242" i="4" l="1"/>
  <c r="BI243" i="4"/>
  <c r="O52" i="63743" a="1"/>
  <c r="O52" i="63743" s="1"/>
  <c r="AB112" i="63726"/>
  <c r="AB71" i="63726"/>
  <c r="O48" i="63743" s="1" a="1"/>
  <c r="O48" i="63743" s="1"/>
  <c r="AB111" i="63726"/>
  <c r="O53" i="63743" s="1" a="1"/>
  <c r="O53" i="63743" s="1"/>
  <c r="AB44" i="4"/>
  <c r="AB73" i="63726" l="1"/>
  <c r="AB224" i="4"/>
  <c r="AB201" i="4"/>
  <c r="G16" i="63743" a="1"/>
  <c r="G16" i="63743" s="1"/>
  <c r="AE65" i="63731"/>
  <c r="G11" i="63743" a="1"/>
  <c r="G11" i="63743" s="1"/>
  <c r="AB33" i="4"/>
  <c r="AA33" i="4" s="1"/>
  <c r="AA30" i="4" s="1"/>
  <c r="AB46" i="4"/>
  <c r="AB45" i="4"/>
  <c r="O66" i="63743" s="1" a="1"/>
  <c r="O66" i="63743" s="1"/>
  <c r="AB67" i="63726"/>
  <c r="AB72" i="63726"/>
  <c r="AA71" i="63726"/>
  <c r="AA233" i="4" l="1"/>
  <c r="AA235" i="4" s="1"/>
  <c r="AA31" i="4"/>
  <c r="AA27" i="4"/>
  <c r="AA40" i="4"/>
  <c r="O49" i="63743" a="1"/>
  <c r="O49" i="63743" s="1"/>
  <c r="O60" i="63743" a="1"/>
  <c r="O60" i="63743" s="1"/>
  <c r="G26" i="63743" a="1"/>
  <c r="G26" i="63743" s="1"/>
  <c r="AA72" i="63726"/>
  <c r="AA73" i="63726"/>
  <c r="AA110" i="63726"/>
  <c r="AB68" i="63726"/>
  <c r="G9" i="63743" a="1"/>
  <c r="G9" i="63743" s="1"/>
  <c r="AB81" i="4"/>
  <c r="AA81" i="4" s="1"/>
  <c r="AB30" i="4"/>
  <c r="AA44" i="4" l="1"/>
  <c r="AA112" i="63726"/>
  <c r="AA41" i="4"/>
  <c r="AA42" i="4"/>
  <c r="AA28" i="4"/>
  <c r="AA29" i="4"/>
  <c r="AD28" i="4"/>
  <c r="AA237" i="4"/>
  <c r="AA236" i="4"/>
  <c r="AA241" i="4"/>
  <c r="AB40" i="4"/>
  <c r="AB31" i="4"/>
  <c r="O59" i="63743" s="1" a="1"/>
  <c r="O59" i="63743" s="1"/>
  <c r="AB233" i="4"/>
  <c r="AB235" i="4" s="1"/>
  <c r="AB85" i="4"/>
  <c r="AA111" i="63726"/>
  <c r="AA45" i="4" l="1"/>
  <c r="AA43" i="4"/>
  <c r="AA46" i="4"/>
  <c r="AA50" i="4"/>
  <c r="AA53" i="4" s="1"/>
  <c r="AA224" i="4"/>
  <c r="AB41" i="4"/>
  <c r="AB42" i="4"/>
  <c r="AA243" i="4"/>
  <c r="AA242" i="4"/>
  <c r="AK237" i="4"/>
  <c r="AB237" i="4"/>
  <c r="AB241" i="4"/>
  <c r="AB236" i="4"/>
  <c r="AB243" i="4" l="1"/>
  <c r="AK243" i="4"/>
  <c r="AB242" i="4"/>
  <c r="AB74" i="4" l="1"/>
  <c r="AB72" i="4"/>
  <c r="AA213" i="4"/>
  <c r="AE105" i="63731" l="1"/>
  <c r="AE107" i="63731" s="1"/>
  <c r="AB73" i="4"/>
  <c r="G20" i="63743" a="1"/>
  <c r="G20" i="63743" s="1"/>
  <c r="AB108" i="4" l="1"/>
  <c r="G33" i="63743" a="1"/>
  <c r="G33" i="63743" s="1"/>
  <c r="G36" i="63743" l="1" a="1"/>
  <c r="G36" i="63743" s="1"/>
  <c r="G35" i="63743" s="1"/>
  <c r="AB109" i="4" l="1"/>
  <c r="G27" i="63743" a="1"/>
  <c r="G27" i="63743" s="1"/>
  <c r="G39" i="63743" s="1"/>
  <c r="G37" i="63743" l="1" a="1"/>
  <c r="G37" i="63743" s="1"/>
  <c r="AA109" i="4"/>
  <c r="O23" i="63743"/>
  <c r="AK14" i="63724" l="1"/>
  <c r="AK117" i="4" s="1"/>
  <c r="AB114" i="4"/>
  <c r="AB183" i="4" s="1"/>
  <c r="G42" i="63743" a="1"/>
  <c r="G42" i="63743" s="1"/>
  <c r="AB137" i="4"/>
  <c r="AB229" i="4" l="1"/>
  <c r="G46" i="63743" a="1"/>
  <c r="G46" i="63743" s="1"/>
  <c r="G45" i="63743" s="1"/>
  <c r="AB153" i="4"/>
  <c r="AB204" i="4" s="1"/>
  <c r="AC113" i="4"/>
  <c r="AB123" i="4"/>
  <c r="AE113" i="4"/>
  <c r="AK120" i="4"/>
  <c r="AK48" i="4" s="1"/>
  <c r="AB184" i="4" l="1"/>
  <c r="AK50" i="4"/>
  <c r="J13" i="63743" a="1"/>
  <c r="J13" i="63743" s="1"/>
  <c r="AK124" i="4"/>
  <c r="AH60" i="63731"/>
  <c r="AH66" i="63731" s="1"/>
  <c r="AK226" i="4"/>
  <c r="AB179" i="4"/>
  <c r="G54" i="63743" a="1"/>
  <c r="G54" i="63743" s="1"/>
  <c r="AH59" i="63731" l="1"/>
  <c r="AK87" i="4"/>
  <c r="J14" i="63743" a="1"/>
  <c r="J14" i="63743" s="1"/>
  <c r="J23" i="63743" l="1" a="1"/>
  <c r="J23" i="63743" s="1"/>
  <c r="AB118" i="4"/>
  <c r="AB12" i="63724"/>
  <c r="AB120" i="4" l="1"/>
  <c r="AB48" i="4" s="1"/>
  <c r="AB226" i="4" l="1"/>
  <c r="AB124" i="4" l="1"/>
  <c r="AB50" i="4"/>
  <c r="G13" i="63743" a="1"/>
  <c r="G13" i="63743" s="1"/>
  <c r="AE60" i="63731"/>
  <c r="AE66" i="63731" s="1"/>
  <c r="AE59" i="63731" l="1"/>
  <c r="AE67" i="63731" s="1"/>
  <c r="G14" i="63743" a="1"/>
  <c r="G14" i="63743" s="1"/>
  <c r="AB87" i="4"/>
  <c r="AA87" i="4" s="1"/>
  <c r="AB77" i="4"/>
  <c r="AB57" i="4"/>
  <c r="AB75" i="4" s="1"/>
  <c r="AE75" i="4" s="1"/>
  <c r="AH75" i="4" s="1"/>
  <c r="AK75" i="4" s="1"/>
  <c r="AN75" i="4" s="1"/>
  <c r="AQ75" i="4" s="1"/>
  <c r="AT75" i="4" s="1"/>
  <c r="AW75" i="4" s="1"/>
  <c r="AZ75" i="4" s="1"/>
  <c r="BC75" i="4" s="1"/>
  <c r="BF75" i="4" s="1"/>
  <c r="BI75" i="4" s="1"/>
  <c r="AB53" i="4"/>
  <c r="AB207" i="4" l="1"/>
  <c r="AA57" i="4"/>
  <c r="AB58" i="4"/>
  <c r="G17" i="63743" a="1"/>
  <c r="G17" i="63743" s="1"/>
  <c r="AB63" i="4"/>
  <c r="AB64" i="4"/>
  <c r="AE53" i="4"/>
  <c r="AB93" i="4"/>
  <c r="AA93" i="4" s="1"/>
  <c r="AA94" i="4" s="1"/>
  <c r="AA112" i="4" s="1"/>
  <c r="AA115" i="4" s="1"/>
  <c r="G23" i="63743" a="1"/>
  <c r="G23" i="63743" s="1"/>
  <c r="AA64" i="4" l="1"/>
  <c r="AA63" i="4"/>
  <c r="AA58" i="4"/>
  <c r="AB210" i="4"/>
  <c r="AB212" i="4" s="1"/>
  <c r="AB208" i="4"/>
  <c r="AB209" i="4"/>
  <c r="AB215" i="4"/>
  <c r="AH53" i="4"/>
  <c r="G25" i="63743" a="1"/>
  <c r="G25" i="63743" s="1"/>
  <c r="AE69" i="63731"/>
  <c r="O61" i="63743" a="1"/>
  <c r="O61" i="63743" s="1"/>
  <c r="AB211" i="4" l="1"/>
  <c r="AA209" i="4"/>
  <c r="AA66" i="4" s="1"/>
  <c r="AE89" i="63731"/>
  <c r="AE74" i="63731"/>
  <c r="AE76" i="63731" s="1"/>
  <c r="AF53" i="4"/>
  <c r="AK53" i="4"/>
  <c r="AH52" i="4"/>
  <c r="AB178" i="4"/>
  <c r="AB66" i="4"/>
  <c r="AB199" i="4" l="1"/>
  <c r="AB200" i="4" s="1"/>
  <c r="AB202" i="4" s="1"/>
  <c r="AB217" i="4"/>
  <c r="AB216" i="4"/>
  <c r="AB230" i="4"/>
  <c r="AB203" i="4"/>
  <c r="G67" i="63743" a="1"/>
  <c r="G67" i="63743" s="1"/>
  <c r="AB180" i="4"/>
  <c r="AH77" i="4"/>
  <c r="AH227" i="4"/>
  <c r="AH91" i="4"/>
  <c r="AH57" i="4"/>
  <c r="AG65" i="63731"/>
  <c r="I16" i="63743" a="1"/>
  <c r="I16" i="63743" s="1"/>
  <c r="AB67" i="4"/>
  <c r="G19" i="63743" a="1"/>
  <c r="G19" i="63743" s="1"/>
  <c r="O20" i="63743" s="1"/>
  <c r="AN53" i="4"/>
  <c r="AK52" i="4"/>
  <c r="AI53" i="4"/>
  <c r="AE77" i="63731"/>
  <c r="AE31" i="63731"/>
  <c r="AE90" i="63731"/>
  <c r="AK227" i="4" l="1"/>
  <c r="AH65" i="63731"/>
  <c r="AK57" i="4"/>
  <c r="AK77" i="4"/>
  <c r="AK91" i="4"/>
  <c r="J16" i="63743" a="1"/>
  <c r="J16" i="63743" s="1"/>
  <c r="AH94" i="4"/>
  <c r="AH112" i="4" s="1"/>
  <c r="AH115" i="4" s="1"/>
  <c r="I26" i="63743" a="1"/>
  <c r="I26" i="63743" s="1"/>
  <c r="AQ53" i="4"/>
  <c r="AG67" i="63731"/>
  <c r="AG74" i="63731" s="1"/>
  <c r="AH63" i="4"/>
  <c r="I17" i="63743" a="1"/>
  <c r="I17" i="63743" s="1"/>
  <c r="AH207" i="4"/>
  <c r="I27" i="63743" l="1" a="1"/>
  <c r="I27" i="63743" s="1"/>
  <c r="I39" i="63743" s="1"/>
  <c r="J17" i="63743" a="1"/>
  <c r="J17" i="63743" s="1"/>
  <c r="AK207" i="4"/>
  <c r="AK64" i="4"/>
  <c r="AK58" i="4"/>
  <c r="R61" i="63743" s="1" a="1"/>
  <c r="R61" i="63743" s="1"/>
  <c r="AK63" i="4"/>
  <c r="AH67" i="63731"/>
  <c r="AH74" i="63731" s="1"/>
  <c r="AG89" i="63731"/>
  <c r="AG76" i="63731"/>
  <c r="AH209" i="4"/>
  <c r="AH215" i="4"/>
  <c r="AH210" i="4"/>
  <c r="AT53" i="4"/>
  <c r="AK94" i="4"/>
  <c r="J26" i="63743" a="1"/>
  <c r="J26" i="63743" s="1"/>
  <c r="AK112" i="4" l="1"/>
  <c r="AK115" i="4" s="1"/>
  <c r="AW53" i="4"/>
  <c r="AH66" i="4"/>
  <c r="J27" i="63743" a="1"/>
  <c r="J27" i="63743" s="1"/>
  <c r="J39" i="63743" s="1"/>
  <c r="AG31" i="63731"/>
  <c r="AG34" i="63731" s="1"/>
  <c r="Q23" i="63743"/>
  <c r="AH89" i="63731"/>
  <c r="AH76" i="63731"/>
  <c r="AK209" i="4"/>
  <c r="AK210" i="4"/>
  <c r="AK212" i="4" s="1"/>
  <c r="AK215" i="4"/>
  <c r="AK208" i="4"/>
  <c r="AH77" i="63731" l="1"/>
  <c r="AZ53" i="4"/>
  <c r="AH31" i="63731"/>
  <c r="AH34" i="63731" s="1"/>
  <c r="R23" i="63743"/>
  <c r="AK211" i="4"/>
  <c r="AK66" i="4"/>
  <c r="AH70" i="4"/>
  <c r="AH71" i="4" s="1"/>
  <c r="AG71" i="4" s="1"/>
  <c r="AG72" i="4" s="1"/>
  <c r="I36" i="63727"/>
  <c r="I19" i="63743" a="1"/>
  <c r="I19" i="63743" s="1"/>
  <c r="Q20" i="63743" s="1"/>
  <c r="AH90" i="63731"/>
  <c r="AH213" i="4" l="1"/>
  <c r="AH72" i="4"/>
  <c r="AF70" i="4"/>
  <c r="AF213" i="4"/>
  <c r="AH74" i="4"/>
  <c r="BC53" i="4"/>
  <c r="J19" i="63743" a="1"/>
  <c r="J19" i="63743" s="1"/>
  <c r="R20" i="63743" s="1"/>
  <c r="AK70" i="4"/>
  <c r="AK71" i="4" s="1"/>
  <c r="AJ71" i="4" s="1"/>
  <c r="AJ72" i="4" s="1"/>
  <c r="AK67" i="4"/>
  <c r="AH105" i="4" l="1"/>
  <c r="I20" i="63743" a="1"/>
  <c r="I20" i="63743" s="1"/>
  <c r="AG105" i="63731"/>
  <c r="AG107" i="63731" s="1"/>
  <c r="AG110" i="63731" s="1"/>
  <c r="AG213" i="4"/>
  <c r="AK72" i="4"/>
  <c r="AK213" i="4"/>
  <c r="AI70" i="4"/>
  <c r="AK74" i="4"/>
  <c r="AI213" i="4"/>
  <c r="AF72" i="4"/>
  <c r="AF74" i="4"/>
  <c r="BF53" i="4"/>
  <c r="AK105" i="4" l="1"/>
  <c r="AF105" i="4"/>
  <c r="AG105" i="4" s="1"/>
  <c r="AH105" i="63731"/>
  <c r="AH107" i="63731" s="1"/>
  <c r="AH110" i="63731" s="1"/>
  <c r="J20" i="63743" a="1"/>
  <c r="J20" i="63743" s="1"/>
  <c r="AK73" i="4"/>
  <c r="BI53" i="4"/>
  <c r="AI72" i="4"/>
  <c r="AI74" i="4"/>
  <c r="AI105" i="4" s="1"/>
  <c r="AI108" i="4" s="1"/>
  <c r="AJ213" i="4"/>
  <c r="AH108" i="4"/>
  <c r="I33" i="63743" a="1"/>
  <c r="I33" i="63743" s="1"/>
  <c r="I36" i="63743" l="1" a="1"/>
  <c r="I36" i="63743" s="1"/>
  <c r="I35" i="63743" s="1"/>
  <c r="AH109" i="4"/>
  <c r="AG108" i="4"/>
  <c r="AJ105" i="4"/>
  <c r="AJ108" i="4" s="1"/>
  <c r="J33" i="63743" a="1"/>
  <c r="J33" i="63743" s="1"/>
  <c r="AK108" i="4"/>
  <c r="AF108" i="4"/>
  <c r="I37" i="63743" l="1" a="1"/>
  <c r="I37" i="63743" s="1"/>
  <c r="J36" i="63743" a="1"/>
  <c r="J36" i="63743" s="1"/>
  <c r="J35" i="63743" s="1"/>
  <c r="AK109" i="4"/>
  <c r="J37" i="63743" l="1" a="1"/>
  <c r="J37" i="63743" s="1"/>
  <c r="AE18" i="4" l="1"/>
  <c r="AD18" i="4" l="1"/>
  <c r="AE19" i="4"/>
  <c r="AH19" i="4"/>
  <c r="AE30" i="4"/>
  <c r="AE31" i="4" s="1"/>
  <c r="AD30" i="4" l="1"/>
  <c r="AE33" i="4"/>
  <c r="AE44" i="4" s="1"/>
  <c r="AE233" i="4"/>
  <c r="AE235" i="4" s="1"/>
  <c r="AH31" i="4"/>
  <c r="Q59" i="63743" s="1" a="1"/>
  <c r="Q59" i="63743" s="1"/>
  <c r="AE40" i="4"/>
  <c r="AE42" i="4" s="1"/>
  <c r="P59" i="63743" a="1"/>
  <c r="P59" i="63743" s="1"/>
  <c r="AD19" i="4"/>
  <c r="AG19" i="4"/>
  <c r="AE41" i="4" l="1"/>
  <c r="AH41" i="4"/>
  <c r="AE241" i="4"/>
  <c r="AE236" i="4"/>
  <c r="AN237" i="4"/>
  <c r="AE237" i="4"/>
  <c r="AE81" i="4"/>
  <c r="AE110" i="63726"/>
  <c r="AE111" i="63726" s="1"/>
  <c r="H9" i="63743" a="1"/>
  <c r="H9" i="63743" s="1"/>
  <c r="AD233" i="4"/>
  <c r="AD31" i="4"/>
  <c r="AD40" i="4"/>
  <c r="AD41" i="4" l="1"/>
  <c r="AE83" i="4"/>
  <c r="AE85" i="4" s="1"/>
  <c r="AE46" i="4"/>
  <c r="P60" i="63743" s="1" a="1"/>
  <c r="P60" i="63743" s="1"/>
  <c r="AE50" i="4"/>
  <c r="AE201" i="4"/>
  <c r="AE224" i="4"/>
  <c r="AH46" i="4"/>
  <c r="Q60" i="63743" s="1" a="1"/>
  <c r="Q60" i="63743" s="1"/>
  <c r="H11" i="63743" a="1"/>
  <c r="H11" i="63743" s="1"/>
  <c r="AE45" i="4"/>
  <c r="AE124" i="4"/>
  <c r="AE243" i="4"/>
  <c r="AE242" i="4"/>
  <c r="AN243" i="4"/>
  <c r="P66" i="63743" l="1" a="1"/>
  <c r="P66" i="63743" s="1"/>
  <c r="AH111" i="63726"/>
  <c r="Q53" i="63743" s="1" a="1"/>
  <c r="Q53" i="63743" s="1"/>
  <c r="AE112" i="63726"/>
  <c r="P53" i="63743" a="1"/>
  <c r="P53" i="63743" s="1"/>
  <c r="AE71" i="63726"/>
  <c r="AE72" i="63726" s="1"/>
  <c r="P52" i="63743" a="1"/>
  <c r="P52" i="63743" s="1"/>
  <c r="H14" i="63743" a="1"/>
  <c r="H14" i="63743" s="1"/>
  <c r="AE87" i="4"/>
  <c r="AF59" i="63731"/>
  <c r="AE52" i="4"/>
  <c r="AE57" i="4" s="1"/>
  <c r="AE58" i="4" l="1"/>
  <c r="AE63" i="4"/>
  <c r="AE64" i="4"/>
  <c r="AE207" i="4"/>
  <c r="AH64" i="4"/>
  <c r="AH58" i="4"/>
  <c r="H17" i="63743" a="1"/>
  <c r="H17" i="63743" s="1"/>
  <c r="AE77" i="4"/>
  <c r="AE227" i="4"/>
  <c r="AF65" i="63731"/>
  <c r="AD52" i="4"/>
  <c r="AE91" i="4"/>
  <c r="AE94" i="4" s="1"/>
  <c r="AE112" i="4" s="1"/>
  <c r="AE115" i="4" s="1"/>
  <c r="H16" i="63743" a="1"/>
  <c r="H16" i="63743" s="1"/>
  <c r="H23" i="63743" a="1"/>
  <c r="H23" i="63743" s="1"/>
  <c r="AE73" i="63726"/>
  <c r="AE67" i="63726"/>
  <c r="AH72" i="63726"/>
  <c r="P48" i="63743" a="1"/>
  <c r="P48" i="63743" s="1"/>
  <c r="H27" i="63743" l="1" a="1"/>
  <c r="H27" i="63743" s="1"/>
  <c r="H39" i="63743" s="1"/>
  <c r="AH208" i="4"/>
  <c r="AE215" i="4"/>
  <c r="AE208" i="4"/>
  <c r="AE210" i="4"/>
  <c r="AE209" i="4"/>
  <c r="AH68" i="63726"/>
  <c r="AE68" i="63726"/>
  <c r="AF67" i="63731"/>
  <c r="AF74" i="63731" s="1"/>
  <c r="Q61" i="63743" a="1"/>
  <c r="Q61" i="63743" s="1"/>
  <c r="P49" i="63743" a="1"/>
  <c r="P49" i="63743" s="1"/>
  <c r="P61" i="63743" a="1"/>
  <c r="P61" i="63743" s="1"/>
  <c r="Q49" i="63743" a="1"/>
  <c r="Q49" i="63743" s="1"/>
  <c r="H26" i="63743" a="1"/>
  <c r="H26" i="63743" s="1"/>
  <c r="AD91" i="4"/>
  <c r="AH211" i="4" l="1"/>
  <c r="AE66" i="4"/>
  <c r="AE70" i="4" s="1"/>
  <c r="AC74" i="4" s="1"/>
  <c r="AE211" i="4"/>
  <c r="AH212" i="4"/>
  <c r="AE212" i="4"/>
  <c r="AF76" i="63731"/>
  <c r="AF89" i="63731"/>
  <c r="P23" i="63743"/>
  <c r="AE67" i="4" l="1"/>
  <c r="H19" i="63743" a="1"/>
  <c r="H19" i="63743" s="1"/>
  <c r="P20" i="63743" s="1"/>
  <c r="AH67" i="4"/>
  <c r="AF31" i="63731"/>
  <c r="AG90" i="63731"/>
  <c r="AF90" i="63731"/>
  <c r="AF77" i="63731"/>
  <c r="AG77" i="63731"/>
  <c r="AC213" i="4" l="1"/>
  <c r="AE71" i="4"/>
  <c r="AD71" i="4" s="1"/>
  <c r="AD72" i="4" s="1"/>
  <c r="AC72" i="4" l="1"/>
  <c r="AE74" i="4"/>
  <c r="AE72" i="4"/>
  <c r="AE213" i="4"/>
  <c r="AD213" i="4" l="1"/>
  <c r="H20" i="63743" a="1"/>
  <c r="H20" i="63743" s="1"/>
  <c r="I33" i="63727"/>
  <c r="AH73" i="4"/>
  <c r="AF105" i="63731"/>
  <c r="AF107" i="63731" s="1"/>
  <c r="AE73" i="4"/>
  <c r="AE105" i="4"/>
  <c r="AE176" i="4"/>
  <c r="AD105" i="4" l="1"/>
  <c r="AE108" i="4"/>
  <c r="H33" i="63743" a="1"/>
  <c r="H33" i="63743" s="1"/>
  <c r="AC178" i="4"/>
  <c r="AD176" i="4"/>
  <c r="AH176" i="4"/>
  <c r="AE178" i="4"/>
  <c r="AD178" i="4" l="1"/>
  <c r="H36" i="63743" a="1"/>
  <c r="H36" i="63743" s="1"/>
  <c r="H35" i="63743" s="1"/>
  <c r="AE109" i="4"/>
  <c r="AG176" i="4"/>
  <c r="AK176" i="4"/>
  <c r="AH178" i="4"/>
  <c r="AD108" i="4"/>
  <c r="H67" i="63743" a="1"/>
  <c r="H67" i="63743" s="1"/>
  <c r="AE217" i="4"/>
  <c r="AE203" i="4"/>
  <c r="AK178" i="4" l="1"/>
  <c r="AJ176" i="4"/>
  <c r="AJ178" i="4" s="1"/>
  <c r="I67" i="63743" a="1"/>
  <c r="I67" i="63743" s="1"/>
  <c r="AH203" i="4"/>
  <c r="AH217" i="4"/>
  <c r="H37" i="63743" a="1"/>
  <c r="H37" i="63743" s="1"/>
  <c r="AE133" i="4"/>
  <c r="AG178" i="4"/>
  <c r="I14" i="63727" l="1"/>
  <c r="G28" i="63727" s="1"/>
  <c r="AE114" i="4"/>
  <c r="J67" i="63743" a="1"/>
  <c r="J67" i="63743" s="1"/>
  <c r="AK203" i="4"/>
  <c r="AK217" i="4"/>
  <c r="AD133" i="4"/>
  <c r="AD114" i="4" s="1"/>
  <c r="AN14" i="63724"/>
  <c r="AN117" i="4" s="1"/>
  <c r="AN120" i="4" s="1"/>
  <c r="AN48" i="4" s="1"/>
  <c r="AE137" i="4"/>
  <c r="H42" i="63743" a="1"/>
  <c r="H42" i="63743" s="1"/>
  <c r="AH133" i="4"/>
  <c r="AH114" i="4" s="1"/>
  <c r="AE199" i="4"/>
  <c r="AE200" i="4" s="1"/>
  <c r="AE202" i="4" s="1"/>
  <c r="I16" i="63727" l="1"/>
  <c r="I19" i="63727" s="1"/>
  <c r="I28" i="63727"/>
  <c r="AE229" i="4"/>
  <c r="AE230" i="4" s="1"/>
  <c r="AE123" i="4"/>
  <c r="AE183" i="4"/>
  <c r="AH113" i="4"/>
  <c r="AF113" i="4"/>
  <c r="AE216" i="4"/>
  <c r="V10" i="63743"/>
  <c r="R15" i="63743" s="1"/>
  <c r="D12" i="63744"/>
  <c r="D13" i="63744" s="1"/>
  <c r="AD137" i="4"/>
  <c r="AH137" i="4"/>
  <c r="AG133" i="4"/>
  <c r="AG114" i="4" s="1"/>
  <c r="AQ14" i="63724"/>
  <c r="AQ117" i="4" s="1"/>
  <c r="AQ120" i="4" s="1"/>
  <c r="AQ48" i="4" s="1"/>
  <c r="AK133" i="4"/>
  <c r="AK114" i="4" s="1"/>
  <c r="I42" i="63743" a="1"/>
  <c r="I42" i="63743" s="1"/>
  <c r="AH199" i="4"/>
  <c r="AH200" i="4" s="1"/>
  <c r="AH202" i="4" s="1"/>
  <c r="AI60" i="63731"/>
  <c r="AI66" i="63731" s="1"/>
  <c r="AN226" i="4"/>
  <c r="AN50" i="4"/>
  <c r="AN124" i="4"/>
  <c r="H46" i="63743" a="1"/>
  <c r="H46" i="63743" s="1"/>
  <c r="H45" i="63743" s="1"/>
  <c r="AE153" i="4"/>
  <c r="AE179" i="4" s="1"/>
  <c r="AG137" i="4" l="1"/>
  <c r="H54" i="63743" a="1"/>
  <c r="H54" i="63743" s="1"/>
  <c r="AE180" i="4"/>
  <c r="AE204" i="4"/>
  <c r="AD153" i="4"/>
  <c r="N22" i="63743"/>
  <c r="P21" i="63743"/>
  <c r="N21" i="63743"/>
  <c r="R22" i="63743"/>
  <c r="Q22" i="63743"/>
  <c r="Q21" i="63743"/>
  <c r="R21" i="63743"/>
  <c r="N23" i="63743"/>
  <c r="O21" i="63743"/>
  <c r="P22" i="63743"/>
  <c r="O22" i="63743"/>
  <c r="AH153" i="4"/>
  <c r="AH184" i="4" s="1"/>
  <c r="I46" i="63743" a="1"/>
  <c r="I46" i="63743" s="1"/>
  <c r="I45" i="63743" s="1"/>
  <c r="AI59" i="63731"/>
  <c r="AN52" i="4"/>
  <c r="AN87" i="4"/>
  <c r="J42" i="63743" a="1"/>
  <c r="J42" i="63743" s="1"/>
  <c r="AT14" i="63724"/>
  <c r="AT117" i="4" s="1"/>
  <c r="AT120" i="4" s="1"/>
  <c r="AT48" i="4" s="1"/>
  <c r="AJ133" i="4"/>
  <c r="AJ114" i="4" s="1"/>
  <c r="AK137" i="4"/>
  <c r="AK199" i="4"/>
  <c r="AK200" i="4" s="1"/>
  <c r="AK202" i="4" s="1"/>
  <c r="D23" i="63744"/>
  <c r="N9" i="63743"/>
  <c r="AQ226" i="4"/>
  <c r="AQ50" i="4"/>
  <c r="AQ124" i="4"/>
  <c r="AJ60" i="63731"/>
  <c r="AJ66" i="63731" s="1"/>
  <c r="N8" i="63743"/>
  <c r="D15" i="63744"/>
  <c r="AE184" i="4"/>
  <c r="AI113" i="4"/>
  <c r="AH229" i="4"/>
  <c r="AH230" i="4" s="1"/>
  <c r="AH123" i="4"/>
  <c r="AH183" i="4"/>
  <c r="AH216" i="4"/>
  <c r="AK113" i="4"/>
  <c r="AN77" i="4" l="1"/>
  <c r="AI65" i="63731"/>
  <c r="AN227" i="4"/>
  <c r="AN91" i="4"/>
  <c r="AN94" i="4" s="1"/>
  <c r="AN112" i="4" s="1"/>
  <c r="AN115" i="4" s="1"/>
  <c r="AD180" i="4"/>
  <c r="AT226" i="4"/>
  <c r="AT50" i="4"/>
  <c r="AK60" i="63731"/>
  <c r="AK66" i="63731" s="1"/>
  <c r="AT124" i="4"/>
  <c r="AG153" i="4"/>
  <c r="AN113" i="4"/>
  <c r="AK229" i="4"/>
  <c r="AK230" i="4" s="1"/>
  <c r="AK216" i="4"/>
  <c r="AK123" i="4"/>
  <c r="AK183" i="4"/>
  <c r="AK153" i="4"/>
  <c r="AK184" i="4" s="1"/>
  <c r="J46" i="63743" a="1"/>
  <c r="J46" i="63743" s="1"/>
  <c r="J45" i="63743" s="1"/>
  <c r="AN57" i="4"/>
  <c r="AQ52" i="4"/>
  <c r="AQ57" i="4" s="1"/>
  <c r="AJ59" i="63731"/>
  <c r="AQ87" i="4"/>
  <c r="AJ137" i="4"/>
  <c r="AJ153" i="4" s="1"/>
  <c r="AJ180" i="4" s="1"/>
  <c r="AH179" i="4"/>
  <c r="I54" i="63743" a="1"/>
  <c r="I54" i="63743" s="1"/>
  <c r="AH204" i="4"/>
  <c r="AH180" i="4"/>
  <c r="AQ64" i="4" l="1"/>
  <c r="AQ58" i="4"/>
  <c r="AQ63" i="4"/>
  <c r="AQ207" i="4"/>
  <c r="AG180" i="4"/>
  <c r="AN58" i="4"/>
  <c r="AN207" i="4"/>
  <c r="AN64" i="4"/>
  <c r="AN63" i="4"/>
  <c r="AI67" i="63731"/>
  <c r="J54" i="63743" a="1"/>
  <c r="J54" i="63743" s="1"/>
  <c r="AK204" i="4"/>
  <c r="AK180" i="4"/>
  <c r="AK179" i="4"/>
  <c r="AQ77" i="4"/>
  <c r="AQ91" i="4"/>
  <c r="AQ94" i="4" s="1"/>
  <c r="AQ112" i="4" s="1"/>
  <c r="AQ115" i="4" s="1"/>
  <c r="AJ65" i="63731"/>
  <c r="AJ67" i="63731" s="1"/>
  <c r="AQ227" i="4"/>
  <c r="AT52" i="4"/>
  <c r="AK59" i="63731"/>
  <c r="AT87" i="4"/>
  <c r="AJ89" i="63731" l="1"/>
  <c r="AI89" i="63731"/>
  <c r="AI74" i="63731"/>
  <c r="AI76" i="63731" s="1"/>
  <c r="AQ215" i="4"/>
  <c r="AQ209" i="4"/>
  <c r="AQ210" i="4"/>
  <c r="AQ208" i="4"/>
  <c r="AJ74" i="63731"/>
  <c r="AJ76" i="63731" s="1"/>
  <c r="AT91" i="4"/>
  <c r="AT94" i="4" s="1"/>
  <c r="AT112" i="4" s="1"/>
  <c r="AT115" i="4" s="1"/>
  <c r="AK65" i="63731"/>
  <c r="AT227" i="4"/>
  <c r="AT77" i="4"/>
  <c r="AT57" i="4"/>
  <c r="AN210" i="4"/>
  <c r="AN212" i="4" s="1"/>
  <c r="AN208" i="4"/>
  <c r="AN209" i="4"/>
  <c r="AN215" i="4"/>
  <c r="AQ211" i="4" l="1"/>
  <c r="AQ66" i="4"/>
  <c r="AI77" i="63731"/>
  <c r="AJ77" i="63731"/>
  <c r="AN66" i="4"/>
  <c r="AN211" i="4"/>
  <c r="AJ31" i="63731"/>
  <c r="AJ34" i="63731" s="1"/>
  <c r="AK67" i="63731"/>
  <c r="AK74" i="63731" s="1"/>
  <c r="AT64" i="4"/>
  <c r="AT63" i="4"/>
  <c r="AT207" i="4"/>
  <c r="AT58" i="4"/>
  <c r="AQ212" i="4"/>
  <c r="AI31" i="63731"/>
  <c r="AI34" i="63731" s="1"/>
  <c r="AJ90" i="63731"/>
  <c r="AI90" i="63731"/>
  <c r="AQ70" i="4" l="1"/>
  <c r="AQ71" i="4" s="1"/>
  <c r="AQ67" i="4"/>
  <c r="AK76" i="63731"/>
  <c r="AK89" i="63731"/>
  <c r="AT208" i="4"/>
  <c r="AT210" i="4"/>
  <c r="AT212" i="4" s="1"/>
  <c r="AT209" i="4"/>
  <c r="AT215" i="4"/>
  <c r="AN70" i="4"/>
  <c r="AN71" i="4" s="1"/>
  <c r="AN67" i="4"/>
  <c r="AN213" i="4" l="1"/>
  <c r="AN72" i="4"/>
  <c r="AN74" i="4"/>
  <c r="AQ72" i="4"/>
  <c r="AQ213" i="4"/>
  <c r="AQ74" i="4"/>
  <c r="AQ105" i="4" s="1"/>
  <c r="AQ108" i="4" s="1"/>
  <c r="AQ109" i="4" s="1"/>
  <c r="AK77" i="63731"/>
  <c r="AK31" i="63731"/>
  <c r="AK34" i="63731" s="1"/>
  <c r="AK90" i="63731"/>
  <c r="AT66" i="4"/>
  <c r="AT211" i="4"/>
  <c r="AQ73" i="4" l="1"/>
  <c r="AJ105" i="63731"/>
  <c r="AJ107" i="63731" s="1"/>
  <c r="AJ110" i="63731" s="1"/>
  <c r="AN105" i="4"/>
  <c r="AN108" i="4" s="1"/>
  <c r="AN109" i="4" s="1"/>
  <c r="AN133" i="4" s="1"/>
  <c r="AN114" i="4" s="1"/>
  <c r="AN176" i="4"/>
  <c r="AT67" i="4"/>
  <c r="AT70" i="4"/>
  <c r="AI105" i="63731"/>
  <c r="AI107" i="63731" s="1"/>
  <c r="AI110" i="63731" s="1"/>
  <c r="AN73" i="4"/>
  <c r="AT71" i="4" l="1"/>
  <c r="AT72" i="4" s="1"/>
  <c r="AQ176" i="4"/>
  <c r="AN178" i="4"/>
  <c r="AW14" i="63724"/>
  <c r="AW117" i="4" s="1"/>
  <c r="AW120" i="4" s="1"/>
  <c r="AW48" i="4" s="1"/>
  <c r="AQ133" i="4"/>
  <c r="AQ114" i="4" s="1"/>
  <c r="AN137" i="4"/>
  <c r="AK105" i="63731" l="1"/>
  <c r="AK107" i="63731" s="1"/>
  <c r="AK110" i="63731" s="1"/>
  <c r="AT73" i="4"/>
  <c r="AN123" i="4"/>
  <c r="AQ113" i="4"/>
  <c r="AN216" i="4"/>
  <c r="AN229" i="4"/>
  <c r="AN230" i="4" s="1"/>
  <c r="AN183" i="4"/>
  <c r="AQ178" i="4"/>
  <c r="AT213" i="4"/>
  <c r="AQ137" i="4"/>
  <c r="AZ14" i="63724"/>
  <c r="AZ117" i="4" s="1"/>
  <c r="AZ120" i="4" s="1"/>
  <c r="AZ48" i="4" s="1"/>
  <c r="AT74" i="4"/>
  <c r="AT105" i="4" s="1"/>
  <c r="AT108" i="4" s="1"/>
  <c r="AT109" i="4" s="1"/>
  <c r="AT133" i="4" s="1"/>
  <c r="AT114" i="4" s="1"/>
  <c r="AN153" i="4"/>
  <c r="AN184" i="4" s="1"/>
  <c r="AW226" i="4"/>
  <c r="AW50" i="4"/>
  <c r="AL60" i="63731"/>
  <c r="AL66" i="63731" s="1"/>
  <c r="AW124" i="4"/>
  <c r="AN217" i="4"/>
  <c r="AN199" i="4"/>
  <c r="AN200" i="4" s="1"/>
  <c r="AN202" i="4" s="1"/>
  <c r="AN203" i="4"/>
  <c r="AQ153" i="4" l="1"/>
  <c r="AN180" i="4"/>
  <c r="AN179" i="4"/>
  <c r="AN204" i="4"/>
  <c r="BC14" i="63724"/>
  <c r="BC117" i="4" s="1"/>
  <c r="BC120" i="4" s="1"/>
  <c r="BC48" i="4" s="1"/>
  <c r="AT137" i="4"/>
  <c r="AQ217" i="4"/>
  <c r="AQ199" i="4"/>
  <c r="AQ200" i="4" s="1"/>
  <c r="AQ202" i="4" s="1"/>
  <c r="AQ203" i="4"/>
  <c r="AZ50" i="4"/>
  <c r="AZ226" i="4"/>
  <c r="AM60" i="63731"/>
  <c r="AM66" i="63731" s="1"/>
  <c r="AZ124" i="4"/>
  <c r="AT176" i="4"/>
  <c r="AW87" i="4"/>
  <c r="AL59" i="63731"/>
  <c r="AW52" i="4"/>
  <c r="AW57" i="4" s="1"/>
  <c r="AQ123" i="4"/>
  <c r="AT113" i="4"/>
  <c r="AQ216" i="4"/>
  <c r="AQ183" i="4"/>
  <c r="AQ229" i="4"/>
  <c r="AQ230" i="4" s="1"/>
  <c r="AT183" i="4" l="1"/>
  <c r="AW113" i="4"/>
  <c r="AT229" i="4"/>
  <c r="AT123" i="4"/>
  <c r="AT178" i="4"/>
  <c r="AT216" i="4" s="1"/>
  <c r="AW63" i="4"/>
  <c r="AW64" i="4"/>
  <c r="AW207" i="4"/>
  <c r="AW58" i="4"/>
  <c r="AT153" i="4"/>
  <c r="AT184" i="4" s="1"/>
  <c r="AL65" i="63731"/>
  <c r="AL67" i="63731" s="1"/>
  <c r="AW77" i="4"/>
  <c r="AW91" i="4"/>
  <c r="AW94" i="4" s="1"/>
  <c r="AW112" i="4" s="1"/>
  <c r="AW115" i="4" s="1"/>
  <c r="AW227" i="4"/>
  <c r="AQ180" i="4"/>
  <c r="AQ204" i="4"/>
  <c r="AQ179" i="4"/>
  <c r="AZ52" i="4"/>
  <c r="AZ87" i="4"/>
  <c r="AM59" i="63731"/>
  <c r="BC226" i="4"/>
  <c r="BC124" i="4"/>
  <c r="AN60" i="63731"/>
  <c r="AN66" i="63731" s="1"/>
  <c r="BC50" i="4"/>
  <c r="AQ184" i="4"/>
  <c r="AT230" i="4" l="1"/>
  <c r="AL89" i="63731"/>
  <c r="AZ77" i="4"/>
  <c r="AZ227" i="4"/>
  <c r="AM65" i="63731"/>
  <c r="AM67" i="63731" s="1"/>
  <c r="AZ91" i="4"/>
  <c r="AZ94" i="4" s="1"/>
  <c r="AZ112" i="4" s="1"/>
  <c r="AZ115" i="4" s="1"/>
  <c r="AL74" i="63731"/>
  <c r="AL76" i="63731" s="1"/>
  <c r="AW209" i="4"/>
  <c r="AW215" i="4"/>
  <c r="AW208" i="4"/>
  <c r="AW210" i="4"/>
  <c r="AW212" i="4" s="1"/>
  <c r="AT179" i="4"/>
  <c r="AT204" i="4"/>
  <c r="AT180" i="4"/>
  <c r="BC87" i="4"/>
  <c r="BC52" i="4"/>
  <c r="BC57" i="4" s="1"/>
  <c r="AN59" i="63731"/>
  <c r="AZ57" i="4"/>
  <c r="AT199" i="4"/>
  <c r="AT200" i="4" s="1"/>
  <c r="AT202" i="4" s="1"/>
  <c r="AT217" i="4"/>
  <c r="AT203" i="4"/>
  <c r="AM89" i="63731" l="1"/>
  <c r="AM90" i="63731" s="1"/>
  <c r="AL77" i="63731"/>
  <c r="AZ63" i="4"/>
  <c r="AZ64" i="4"/>
  <c r="AZ207" i="4"/>
  <c r="AZ58" i="4"/>
  <c r="BC58" i="4"/>
  <c r="BC207" i="4"/>
  <c r="BC63" i="4"/>
  <c r="BC64" i="4"/>
  <c r="AW211" i="4"/>
  <c r="AW66" i="4"/>
  <c r="AL31" i="63731"/>
  <c r="AL34" i="63731" s="1"/>
  <c r="AL90" i="63731"/>
  <c r="AN65" i="63731"/>
  <c r="BC77" i="4"/>
  <c r="BC91" i="4"/>
  <c r="BC94" i="4" s="1"/>
  <c r="BC112" i="4" s="1"/>
  <c r="BC115" i="4" s="1"/>
  <c r="BC227" i="4"/>
  <c r="AM74" i="63731"/>
  <c r="AM76" i="63731" s="1"/>
  <c r="AM77" i="63731" l="1"/>
  <c r="BC210" i="4"/>
  <c r="BC209" i="4"/>
  <c r="BC215" i="4"/>
  <c r="BC208" i="4"/>
  <c r="AN67" i="63731"/>
  <c r="AN74" i="63731" s="1"/>
  <c r="AW70" i="4"/>
  <c r="AW67" i="4"/>
  <c r="AZ210" i="4"/>
  <c r="AZ212" i="4" s="1"/>
  <c r="AZ215" i="4"/>
  <c r="AZ208" i="4"/>
  <c r="AZ209" i="4"/>
  <c r="AM31" i="63731"/>
  <c r="AM34" i="63731" s="1"/>
  <c r="AZ66" i="4" l="1"/>
  <c r="AZ211" i="4"/>
  <c r="BC212" i="4"/>
  <c r="AN89" i="63731"/>
  <c r="AN76" i="63731"/>
  <c r="AW71" i="4"/>
  <c r="AW72" i="4" s="1"/>
  <c r="BC66" i="4"/>
  <c r="BC211" i="4"/>
  <c r="AW213" i="4" l="1"/>
  <c r="AW74" i="4"/>
  <c r="AW176" i="4" s="1"/>
  <c r="AW73" i="4"/>
  <c r="AL105" i="63731"/>
  <c r="AL107" i="63731" s="1"/>
  <c r="AL110" i="63731" s="1"/>
  <c r="BC70" i="4"/>
  <c r="BC71" i="4" s="1"/>
  <c r="BC67" i="4"/>
  <c r="AN77" i="63731"/>
  <c r="AN31" i="63731"/>
  <c r="AN34" i="63731" s="1"/>
  <c r="AN90" i="63731"/>
  <c r="AZ67" i="4"/>
  <c r="AZ70" i="4"/>
  <c r="AW105" i="4" l="1"/>
  <c r="AW108" i="4" s="1"/>
  <c r="AW109" i="4" s="1"/>
  <c r="AW133" i="4" s="1"/>
  <c r="BC72" i="4"/>
  <c r="BC213" i="4"/>
  <c r="BC74" i="4"/>
  <c r="BC105" i="4" s="1"/>
  <c r="BC108" i="4" s="1"/>
  <c r="BC109" i="4" s="1"/>
  <c r="AW178" i="4"/>
  <c r="AZ71" i="4"/>
  <c r="AZ74" i="4" s="1"/>
  <c r="BF14" i="63724" l="1"/>
  <c r="BF117" i="4" s="1"/>
  <c r="BF120" i="4" s="1"/>
  <c r="BF48" i="4" s="1"/>
  <c r="BF50" i="4" s="1"/>
  <c r="AW114" i="4"/>
  <c r="AW123" i="4" s="1"/>
  <c r="AW137" i="4"/>
  <c r="AW153" i="4" s="1"/>
  <c r="AW184" i="4" s="1"/>
  <c r="AZ72" i="4"/>
  <c r="AZ73" i="4" s="1"/>
  <c r="AZ105" i="4"/>
  <c r="AZ108" i="4" s="1"/>
  <c r="AZ109" i="4" s="1"/>
  <c r="AZ133" i="4" s="1"/>
  <c r="AZ114" i="4" s="1"/>
  <c r="AZ176" i="4"/>
  <c r="AW217" i="4"/>
  <c r="AW199" i="4"/>
  <c r="AW200" i="4" s="1"/>
  <c r="AW202" i="4" s="1"/>
  <c r="AW203" i="4"/>
  <c r="AO60" i="63731"/>
  <c r="AO66" i="63731" s="1"/>
  <c r="AZ213" i="4"/>
  <c r="AN105" i="63731"/>
  <c r="AN107" i="63731" s="1"/>
  <c r="AN110" i="63731" s="1"/>
  <c r="BF226" i="4" l="1"/>
  <c r="BF124" i="4"/>
  <c r="AW216" i="4"/>
  <c r="AW229" i="4"/>
  <c r="AW230" i="4" s="1"/>
  <c r="AZ113" i="4"/>
  <c r="AW183" i="4"/>
  <c r="BC73" i="4"/>
  <c r="AM105" i="63731"/>
  <c r="AM107" i="63731" s="1"/>
  <c r="AM110" i="63731" s="1"/>
  <c r="AW204" i="4"/>
  <c r="AW180" i="4"/>
  <c r="AW179" i="4"/>
  <c r="BF52" i="4"/>
  <c r="BF57" i="4" s="1"/>
  <c r="AO59" i="63731"/>
  <c r="BF87" i="4"/>
  <c r="AZ178" i="4"/>
  <c r="BC176" i="4"/>
  <c r="BC133" i="4"/>
  <c r="BC114" i="4" s="1"/>
  <c r="AZ137" i="4"/>
  <c r="BI14" i="63724"/>
  <c r="BI117" i="4" s="1"/>
  <c r="BI120" i="4" s="1"/>
  <c r="BI48" i="4" s="1"/>
  <c r="AZ153" i="4" l="1"/>
  <c r="AO65" i="63731"/>
  <c r="BF227" i="4"/>
  <c r="BF77" i="4"/>
  <c r="BF91" i="4"/>
  <c r="BF94" i="4" s="1"/>
  <c r="BF112" i="4" s="1"/>
  <c r="BF115" i="4" s="1"/>
  <c r="BF207" i="4"/>
  <c r="BF58" i="4"/>
  <c r="BF64" i="4"/>
  <c r="BF63" i="4"/>
  <c r="AZ183" i="4"/>
  <c r="AZ229" i="4"/>
  <c r="AZ230" i="4" s="1"/>
  <c r="BC113" i="4"/>
  <c r="AZ216" i="4"/>
  <c r="AZ123" i="4"/>
  <c r="BC137" i="4"/>
  <c r="BC178" i="4"/>
  <c r="AZ217" i="4"/>
  <c r="AZ199" i="4"/>
  <c r="AZ200" i="4" s="1"/>
  <c r="AZ202" i="4" s="1"/>
  <c r="AZ203" i="4"/>
  <c r="AP60" i="63731"/>
  <c r="AP66" i="63731" s="1"/>
  <c r="BI226" i="4"/>
  <c r="BI124" i="4"/>
  <c r="BI50" i="4"/>
  <c r="BI52" i="4" l="1"/>
  <c r="BI87" i="4"/>
  <c r="AP59" i="63731"/>
  <c r="AZ204" i="4"/>
  <c r="AZ180" i="4"/>
  <c r="AZ179" i="4"/>
  <c r="BC217" i="4"/>
  <c r="BC199" i="4"/>
  <c r="BC200" i="4" s="1"/>
  <c r="BC202" i="4" s="1"/>
  <c r="BC203" i="4"/>
  <c r="BC153" i="4"/>
  <c r="BC184" i="4" s="1"/>
  <c r="BF209" i="4"/>
  <c r="BF210" i="4"/>
  <c r="BF212" i="4" s="1"/>
  <c r="BF208" i="4"/>
  <c r="BF215" i="4"/>
  <c r="AZ184" i="4"/>
  <c r="BC229" i="4"/>
  <c r="BC230" i="4" s="1"/>
  <c r="BF113" i="4"/>
  <c r="BC216" i="4"/>
  <c r="BC123" i="4"/>
  <c r="BC183" i="4"/>
  <c r="AO67" i="63731"/>
  <c r="AO74" i="63731" s="1"/>
  <c r="BF66" i="4" l="1"/>
  <c r="BF211" i="4"/>
  <c r="AO76" i="63731"/>
  <c r="AO89" i="63731"/>
  <c r="BC180" i="4"/>
  <c r="BC204" i="4"/>
  <c r="BC179" i="4"/>
  <c r="BI91" i="4"/>
  <c r="BI94" i="4" s="1"/>
  <c r="BI112" i="4" s="1"/>
  <c r="BI115" i="4" s="1"/>
  <c r="BI227" i="4"/>
  <c r="AP65" i="63731"/>
  <c r="BI77" i="4"/>
  <c r="BI57" i="4"/>
  <c r="AO31" i="63731" l="1"/>
  <c r="AO34" i="63731" s="1"/>
  <c r="AO90" i="63731"/>
  <c r="AO77" i="63731"/>
  <c r="BF70" i="4"/>
  <c r="BF71" i="4" s="1"/>
  <c r="BF67" i="4"/>
  <c r="BI207" i="4"/>
  <c r="BI58" i="4"/>
  <c r="BI63" i="4"/>
  <c r="BI64" i="4"/>
  <c r="AP67" i="63731"/>
  <c r="AP74" i="63731" s="1"/>
  <c r="BI208" i="4" l="1"/>
  <c r="BI210" i="4"/>
  <c r="BI212" i="4" s="1"/>
  <c r="BI209" i="4"/>
  <c r="BI215" i="4"/>
  <c r="AP89" i="63731"/>
  <c r="AP76" i="63731"/>
  <c r="AP77" i="63731" s="1"/>
  <c r="BF74" i="4"/>
  <c r="BF72" i="4"/>
  <c r="BF213" i="4"/>
  <c r="AP31" i="63731" l="1"/>
  <c r="AP90" i="63731"/>
  <c r="BF73" i="4"/>
  <c r="AO105" i="63731"/>
  <c r="AO107" i="63731" s="1"/>
  <c r="AO110" i="63731" s="1"/>
  <c r="BI66" i="4"/>
  <c r="BI211" i="4"/>
  <c r="BF105" i="4"/>
  <c r="BF108" i="4" s="1"/>
  <c r="BF109" i="4" s="1"/>
  <c r="BF133" i="4" s="1"/>
  <c r="BF114" i="4" s="1"/>
  <c r="BF176" i="4"/>
  <c r="BI70" i="4" l="1"/>
  <c r="BI71" i="4" s="1"/>
  <c r="BI67" i="4"/>
  <c r="BF178" i="4"/>
  <c r="BF137" i="4"/>
  <c r="AQ31" i="63731"/>
  <c r="AQ34" i="63731" s="1"/>
  <c r="AP34" i="63731"/>
  <c r="BF216" i="4" l="1"/>
  <c r="BF183" i="4"/>
  <c r="BI113" i="4"/>
  <c r="BF229" i="4"/>
  <c r="BF230" i="4" s="1"/>
  <c r="BF123" i="4"/>
  <c r="BF217" i="4"/>
  <c r="BF199" i="4"/>
  <c r="BF200" i="4" s="1"/>
  <c r="BF202" i="4" s="1"/>
  <c r="BF203" i="4"/>
  <c r="D39" i="63731"/>
  <c r="D42" i="63731" s="1"/>
  <c r="D44" i="63731" s="1"/>
  <c r="BF153" i="4"/>
  <c r="BI74" i="4"/>
  <c r="BI72" i="4"/>
  <c r="BI213" i="4"/>
  <c r="BF204" i="4" l="1"/>
  <c r="BF179" i="4"/>
  <c r="BF180" i="4"/>
  <c r="BI105" i="4"/>
  <c r="BI108" i="4" s="1"/>
  <c r="BI109" i="4" s="1"/>
  <c r="BI133" i="4" s="1"/>
  <c r="BI114" i="4" s="1"/>
  <c r="BI176" i="4"/>
  <c r="BI178" i="4" s="1"/>
  <c r="BF184" i="4"/>
  <c r="AP105" i="63731"/>
  <c r="BI73" i="4"/>
  <c r="BI217" i="4" l="1"/>
  <c r="BI199" i="4"/>
  <c r="BI200" i="4" s="1"/>
  <c r="BI202" i="4" s="1"/>
  <c r="BI203" i="4"/>
  <c r="BI137" i="4"/>
  <c r="AP107" i="63731"/>
  <c r="AP110" i="63731" s="1"/>
  <c r="AQ105" i="63731"/>
  <c r="AQ107" i="63731" s="1"/>
  <c r="AQ110" i="63731" s="1"/>
  <c r="BI183" i="4" l="1"/>
  <c r="BI216" i="4"/>
  <c r="BI123" i="4"/>
  <c r="BI229" i="4"/>
  <c r="BI230" i="4" s="1"/>
  <c r="BI153" i="4"/>
  <c r="BI184" i="4" s="1"/>
  <c r="AQ111" i="63731"/>
  <c r="D45" i="63731" s="1"/>
  <c r="D46" i="63731" s="1"/>
  <c r="D48" i="63731" s="1"/>
  <c r="I24" i="63727" s="1"/>
  <c r="I30" i="63727" s="1"/>
  <c r="I37" i="63727" s="1"/>
  <c r="BI204" i="4" l="1"/>
  <c r="BI179" i="4"/>
  <c r="BI180" i="4"/>
  <c r="N7" i="63743"/>
  <c r="D19" i="63744"/>
  <c r="R9" i="63743" l="1"/>
  <c r="I32" i="63727"/>
  <c r="I34" i="63727" s="1"/>
  <c r="N10" i="63743"/>
  <c r="D24" i="63744"/>
  <c r="R26" i="63743" l="1"/>
  <c r="R10" i="63743"/>
  <c r="O26" i="63743"/>
  <c r="N26" i="63743"/>
  <c r="W9" i="63743"/>
  <c r="W10" i="63743" s="1"/>
  <c r="Q26" i="63743"/>
  <c r="L25" i="63743"/>
  <c r="P26" i="63743"/>
  <c r="C8" i="63721"/>
  <c r="Q29" i="63743" l="1"/>
  <c r="N27" i="63743"/>
  <c r="R29" i="63743"/>
  <c r="O29" i="63743"/>
  <c r="N29" i="63743"/>
  <c r="R28" i="63743"/>
  <c r="P27" i="63743"/>
  <c r="P28" i="63743"/>
  <c r="Q28" i="63743"/>
  <c r="N28" i="63743"/>
  <c r="Q27" i="63743"/>
  <c r="O28" i="63743"/>
  <c r="O27" i="63743"/>
  <c r="R27" i="63743"/>
  <c r="P29" i="63743"/>
  <c r="AC112" i="4" l="1"/>
  <c r="AD109" i="4" l="1"/>
  <c r="AC199" i="4" l="1"/>
  <c r="AC200" i="4" s="1"/>
  <c r="AC137" i="4"/>
  <c r="AF14" i="63724"/>
  <c r="AC153" i="4" l="1"/>
  <c r="AD113" i="4"/>
  <c r="AF117" i="4"/>
  <c r="AG14" i="63724"/>
  <c r="AG117" i="4" s="1"/>
  <c r="AG120" i="4" l="1"/>
  <c r="AG48" i="4" s="1"/>
  <c r="AC179" i="4"/>
  <c r="AC180" i="4"/>
  <c r="AF120" i="4"/>
  <c r="AF48" i="4" s="1"/>
  <c r="AC184" i="4"/>
  <c r="AF43" i="63726" l="1"/>
  <c r="AD42" i="63726"/>
  <c r="AG43" i="63726" l="1"/>
  <c r="AD37" i="63726"/>
  <c r="AD43" i="63726"/>
  <c r="AF38" i="63726"/>
  <c r="AC38" i="63726"/>
  <c r="AF60" i="63726" l="1"/>
  <c r="AD56" i="63726"/>
  <c r="AG57" i="63726" s="1"/>
  <c r="AF57" i="63726"/>
  <c r="AC52" i="63726"/>
  <c r="AD57" i="63726" l="1"/>
  <c r="AD52" i="63726"/>
  <c r="AD58" i="63726"/>
  <c r="AD59" i="63726" s="1"/>
  <c r="AC102" i="63726"/>
  <c r="AC112" i="63726" s="1"/>
  <c r="AF59" i="63726"/>
  <c r="AF104" i="63726" l="1"/>
  <c r="AG60" i="63726"/>
  <c r="AD102" i="63726"/>
  <c r="AD103" i="63726" s="1"/>
  <c r="AG59" i="63726"/>
  <c r="AF63" i="63726"/>
  <c r="AC106" i="63726"/>
  <c r="AD62" i="63726"/>
  <c r="AC103" i="63726"/>
  <c r="AC5" i="4"/>
  <c r="AC193" i="4" s="1"/>
  <c r="AC196" i="4" s="1"/>
  <c r="AF103" i="63726"/>
  <c r="AG104" i="63726" l="1"/>
  <c r="AD5" i="4"/>
  <c r="AD6" i="4" s="1"/>
  <c r="AG103" i="63726"/>
  <c r="AD64" i="63726"/>
  <c r="AG63" i="63726"/>
  <c r="AD63" i="63726"/>
  <c r="AD106" i="63726"/>
  <c r="AC67" i="63723"/>
  <c r="AF67" i="63723" s="1"/>
  <c r="AI67" i="63723" s="1"/>
  <c r="AL67" i="63723" s="1"/>
  <c r="AO67" i="63723" s="1"/>
  <c r="AR67" i="63723" s="1"/>
  <c r="AU67" i="63723" s="1"/>
  <c r="AX67" i="63723" s="1"/>
  <c r="BA67" i="63723" s="1"/>
  <c r="BD67" i="63723" s="1"/>
  <c r="BG67" i="63723" s="1"/>
  <c r="AC115" i="4"/>
  <c r="AC23" i="4"/>
  <c r="AC223" i="4"/>
  <c r="AC191" i="4"/>
  <c r="AC66" i="63723"/>
  <c r="AC11" i="4"/>
  <c r="AC42" i="4"/>
  <c r="AC58" i="63723"/>
  <c r="AC187" i="4"/>
  <c r="AF6" i="4"/>
  <c r="AC126" i="4"/>
  <c r="AC38" i="4"/>
  <c r="AC20" i="4"/>
  <c r="AC6" i="4"/>
  <c r="AC186" i="4"/>
  <c r="AC125" i="4"/>
  <c r="AC59" i="63723"/>
  <c r="AC17" i="4"/>
  <c r="AF17" i="4" s="1"/>
  <c r="AF160" i="4"/>
  <c r="AC26" i="4"/>
  <c r="AC188" i="4"/>
  <c r="AC29" i="4"/>
  <c r="AH107" i="63726"/>
  <c r="AC107" i="63726"/>
  <c r="AC108" i="63726"/>
  <c r="AF107" i="63726"/>
  <c r="AG6" i="4" l="1"/>
  <c r="AD187" i="4"/>
  <c r="AD125" i="4"/>
  <c r="AD17" i="4"/>
  <c r="AD223" i="4"/>
  <c r="AD26" i="4"/>
  <c r="AD186" i="4"/>
  <c r="AD66" i="63723"/>
  <c r="AD67" i="63723"/>
  <c r="AG67" i="63723" s="1"/>
  <c r="AJ67" i="63723" s="1"/>
  <c r="AM67" i="63723" s="1"/>
  <c r="AP67" i="63723" s="1"/>
  <c r="AS67" i="63723" s="1"/>
  <c r="AV67" i="63723" s="1"/>
  <c r="AY67" i="63723" s="1"/>
  <c r="BB67" i="63723" s="1"/>
  <c r="BE67" i="63723" s="1"/>
  <c r="BH67" i="63723" s="1"/>
  <c r="AD126" i="4"/>
  <c r="AD42" i="4"/>
  <c r="AD20" i="4"/>
  <c r="AD188" i="4"/>
  <c r="AD23" i="4"/>
  <c r="AD38" i="4"/>
  <c r="AF162" i="4"/>
  <c r="AF189" i="4"/>
  <c r="AI160" i="4"/>
  <c r="AF15" i="4"/>
  <c r="AI17" i="4"/>
  <c r="AI15" i="4" s="1"/>
  <c r="AD107" i="63726"/>
  <c r="AD108" i="63726"/>
  <c r="AG107" i="63726"/>
  <c r="AD11" i="4"/>
  <c r="AK107" i="63726"/>
  <c r="AD59" i="63723"/>
  <c r="AC34" i="63723"/>
  <c r="AC8" i="63723"/>
  <c r="AC13" i="63723" s="1"/>
  <c r="AD58" i="63723"/>
  <c r="AD8" i="63723" s="1"/>
  <c r="AC235" i="4"/>
  <c r="AF12" i="4"/>
  <c r="AC13" i="4"/>
  <c r="AC33" i="4"/>
  <c r="AC12" i="4"/>
  <c r="AC39" i="63723" l="1"/>
  <c r="AD34" i="63723"/>
  <c r="AI162" i="4"/>
  <c r="AI189" i="4"/>
  <c r="AI30" i="4"/>
  <c r="AI16" i="4"/>
  <c r="AJ15" i="4"/>
  <c r="AF30" i="4"/>
  <c r="AG15" i="4"/>
  <c r="AF16" i="4"/>
  <c r="AD8" i="4"/>
  <c r="AD235" i="4"/>
  <c r="AD12" i="4"/>
  <c r="AG12" i="4"/>
  <c r="AD13" i="4"/>
  <c r="AD7" i="63723"/>
  <c r="AD13" i="63723" s="1"/>
  <c r="AD5" i="63723" s="1"/>
  <c r="AD3" i="63723" s="1"/>
  <c r="AC5" i="63723"/>
  <c r="AC3" i="63723" s="1"/>
  <c r="AD33" i="4"/>
  <c r="AC44" i="4"/>
  <c r="AC183" i="4"/>
  <c r="AC81" i="4"/>
  <c r="AF191" i="4"/>
  <c r="AF190" i="4"/>
  <c r="AF171" i="4"/>
  <c r="AC237" i="4"/>
  <c r="AC241" i="4"/>
  <c r="AC236" i="4"/>
  <c r="AF185" i="4" l="1"/>
  <c r="AG17" i="4"/>
  <c r="AG16" i="4"/>
  <c r="AI191" i="4"/>
  <c r="AI190" i="4"/>
  <c r="AF31" i="4"/>
  <c r="AG30" i="4"/>
  <c r="AF233" i="4"/>
  <c r="AF235" i="4" s="1"/>
  <c r="AF33" i="4"/>
  <c r="AF40" i="4"/>
  <c r="AC201" i="4"/>
  <c r="AC46" i="4"/>
  <c r="AC45" i="4"/>
  <c r="AC71" i="63726"/>
  <c r="AD44" i="4"/>
  <c r="AC224" i="4"/>
  <c r="AC50" i="4"/>
  <c r="AC31" i="63723"/>
  <c r="AC29" i="63723" s="1"/>
  <c r="AD33" i="63723"/>
  <c r="AD39" i="63723" s="1"/>
  <c r="AD31" i="63723" s="1"/>
  <c r="AD29" i="63723" s="1"/>
  <c r="AG9" i="4"/>
  <c r="AD9" i="4"/>
  <c r="AI171" i="4"/>
  <c r="AI185" i="4" s="1"/>
  <c r="AF82" i="4"/>
  <c r="AF93" i="4"/>
  <c r="AD241" i="4"/>
  <c r="AD237" i="4"/>
  <c r="AD236" i="4"/>
  <c r="AJ17" i="4"/>
  <c r="AJ16" i="4"/>
  <c r="AC243" i="4"/>
  <c r="AC242" i="4"/>
  <c r="AD81" i="4"/>
  <c r="AD83" i="4" s="1"/>
  <c r="AD85" i="4" s="1"/>
  <c r="AC85" i="4"/>
  <c r="AI40" i="4"/>
  <c r="AL31" i="4"/>
  <c r="AI31" i="4"/>
  <c r="AI233" i="4"/>
  <c r="AI235" i="4" s="1"/>
  <c r="AJ30" i="4"/>
  <c r="AI33" i="4"/>
  <c r="AC73" i="63726" l="1"/>
  <c r="AC72" i="63726"/>
  <c r="AC67" i="63726"/>
  <c r="AI241" i="4"/>
  <c r="AI236" i="4"/>
  <c r="AI237" i="4"/>
  <c r="AD242" i="4"/>
  <c r="AD243" i="4"/>
  <c r="AD110" i="63726"/>
  <c r="AD46" i="4"/>
  <c r="AD50" i="4"/>
  <c r="AD45" i="4"/>
  <c r="AD224" i="4"/>
  <c r="AC204" i="4"/>
  <c r="AC202" i="4"/>
  <c r="AG93" i="4"/>
  <c r="AI93" i="4"/>
  <c r="AJ93" i="4" s="1"/>
  <c r="AI82" i="4"/>
  <c r="AJ33" i="4"/>
  <c r="AI81" i="4"/>
  <c r="AI44" i="4"/>
  <c r="AI34" i="4"/>
  <c r="AC57" i="4"/>
  <c r="AC53" i="4"/>
  <c r="AC87" i="4"/>
  <c r="AF241" i="4"/>
  <c r="AF236" i="4"/>
  <c r="AF237" i="4"/>
  <c r="AF41" i="4"/>
  <c r="AF42" i="4"/>
  <c r="AL41" i="4"/>
  <c r="AI41" i="4"/>
  <c r="AI42" i="4"/>
  <c r="AG33" i="4"/>
  <c r="AF44" i="4"/>
  <c r="AF81" i="4"/>
  <c r="AJ31" i="4"/>
  <c r="AM31" i="4"/>
  <c r="AJ233" i="4"/>
  <c r="AJ235" i="4" s="1"/>
  <c r="AJ40" i="4"/>
  <c r="AG233" i="4"/>
  <c r="AG235" i="4" s="1"/>
  <c r="AG40" i="4"/>
  <c r="AG31" i="4"/>
  <c r="AI83" i="4" l="1"/>
  <c r="AI85" i="4" s="1"/>
  <c r="AJ81" i="4"/>
  <c r="AJ83" i="4" s="1"/>
  <c r="AJ85" i="4" s="1"/>
  <c r="AJ237" i="4"/>
  <c r="AJ241" i="4"/>
  <c r="AJ236" i="4"/>
  <c r="AC58" i="4"/>
  <c r="AC64" i="4"/>
  <c r="AC207" i="4"/>
  <c r="AD57" i="4"/>
  <c r="AC203" i="4"/>
  <c r="AC63" i="4"/>
  <c r="AF243" i="4"/>
  <c r="AF242" i="4"/>
  <c r="AG81" i="4"/>
  <c r="AG83" i="4" s="1"/>
  <c r="AG85" i="4" s="1"/>
  <c r="AF83" i="4"/>
  <c r="AF85" i="4" s="1"/>
  <c r="AG237" i="4"/>
  <c r="AG241" i="4"/>
  <c r="AG236" i="4"/>
  <c r="AF46" i="4"/>
  <c r="AF45" i="4"/>
  <c r="AF201" i="4"/>
  <c r="AF110" i="63726"/>
  <c r="AG44" i="4"/>
  <c r="AF50" i="4"/>
  <c r="AF224" i="4"/>
  <c r="AC93" i="4"/>
  <c r="AD87" i="4"/>
  <c r="AC68" i="63726"/>
  <c r="AD112" i="63726"/>
  <c r="AD71" i="63726"/>
  <c r="AD67" i="63726" s="1"/>
  <c r="AD111" i="63726"/>
  <c r="AD53" i="4"/>
  <c r="AG41" i="4"/>
  <c r="AG42" i="4"/>
  <c r="AJ42" i="4"/>
  <c r="AJ41" i="4"/>
  <c r="AM41" i="4"/>
  <c r="AI46" i="4"/>
  <c r="AI45" i="4"/>
  <c r="AI50" i="4"/>
  <c r="AI201" i="4"/>
  <c r="AI224" i="4"/>
  <c r="AI110" i="63726"/>
  <c r="AJ44" i="4"/>
  <c r="AI242" i="4"/>
  <c r="AI243" i="4"/>
  <c r="AI52" i="4" l="1"/>
  <c r="AI57" i="4" s="1"/>
  <c r="AI87" i="4"/>
  <c r="AF87" i="4"/>
  <c r="AF52" i="4"/>
  <c r="AF111" i="63726"/>
  <c r="AF71" i="63726"/>
  <c r="AF112" i="63726"/>
  <c r="AD63" i="4"/>
  <c r="AD64" i="4"/>
  <c r="AD58" i="4"/>
  <c r="AJ243" i="4"/>
  <c r="AJ242" i="4"/>
  <c r="AG242" i="4"/>
  <c r="AG243" i="4"/>
  <c r="AJ50" i="4"/>
  <c r="AJ46" i="4"/>
  <c r="AJ224" i="4"/>
  <c r="AJ110" i="63726"/>
  <c r="AJ45" i="4"/>
  <c r="AG224" i="4"/>
  <c r="AG50" i="4"/>
  <c r="AG46" i="4"/>
  <c r="AG110" i="63726"/>
  <c r="AG45" i="4"/>
  <c r="AI112" i="63726"/>
  <c r="AI111" i="63726"/>
  <c r="AI71" i="63726"/>
  <c r="AD68" i="63726"/>
  <c r="AD72" i="63726"/>
  <c r="AD73" i="63726"/>
  <c r="AC208" i="4"/>
  <c r="AC209" i="4"/>
  <c r="AD93" i="4"/>
  <c r="AI72" i="63726" l="1"/>
  <c r="AI67" i="63726"/>
  <c r="AI73" i="63726"/>
  <c r="AG52" i="4"/>
  <c r="AF91" i="4"/>
  <c r="AD209" i="4"/>
  <c r="AC66" i="4"/>
  <c r="AG87" i="4"/>
  <c r="AI63" i="4"/>
  <c r="AI176" i="4" s="1"/>
  <c r="AI178" i="4" s="1"/>
  <c r="AI207" i="4"/>
  <c r="AJ57" i="4"/>
  <c r="AF72" i="63726"/>
  <c r="AF73" i="63726"/>
  <c r="AF67" i="63726"/>
  <c r="AF68" i="63726" s="1"/>
  <c r="AJ87" i="4"/>
  <c r="AJ71" i="63726"/>
  <c r="AJ111" i="63726"/>
  <c r="AJ112" i="63726"/>
  <c r="AF57" i="4"/>
  <c r="AG111" i="63726"/>
  <c r="AG71" i="63726"/>
  <c r="AG112" i="63726"/>
  <c r="AD94" i="4"/>
  <c r="AJ52" i="4"/>
  <c r="AJ53" i="4" s="1"/>
  <c r="AI91" i="4"/>
  <c r="AJ91" i="4" s="1"/>
  <c r="AG91" i="4" l="1"/>
  <c r="AF207" i="4"/>
  <c r="AF63" i="4"/>
  <c r="AG57" i="4"/>
  <c r="AJ64" i="4" s="1"/>
  <c r="AF58" i="4"/>
  <c r="AF64" i="4"/>
  <c r="AI68" i="63726"/>
  <c r="AF94" i="4"/>
  <c r="AG67" i="63726"/>
  <c r="AG68" i="63726" s="1"/>
  <c r="AG72" i="63726"/>
  <c r="AG73" i="63726"/>
  <c r="AI94" i="4"/>
  <c r="AJ94" i="4"/>
  <c r="AJ112" i="4" s="1"/>
  <c r="AJ115" i="4" s="1"/>
  <c r="AD112" i="4"/>
  <c r="AD115" i="4" s="1"/>
  <c r="AI58" i="4"/>
  <c r="AJ72" i="63726"/>
  <c r="AJ73" i="63726"/>
  <c r="AJ67" i="63726"/>
  <c r="AJ63" i="4"/>
  <c r="AG53" i="4"/>
  <c r="AI209" i="4"/>
  <c r="AG94" i="4"/>
  <c r="AI64" i="4"/>
  <c r="AD66" i="4"/>
  <c r="AJ58" i="4" l="1"/>
  <c r="AJ68" i="63726"/>
  <c r="AF109" i="4"/>
  <c r="AF112" i="4"/>
  <c r="AF115" i="4" s="1"/>
  <c r="AG112" i="4"/>
  <c r="AG115" i="4" s="1"/>
  <c r="AI66" i="4"/>
  <c r="AJ209" i="4"/>
  <c r="AJ66" i="4" s="1"/>
  <c r="AF176" i="4"/>
  <c r="AI109" i="4"/>
  <c r="AI112" i="4"/>
  <c r="AI115" i="4" s="1"/>
  <c r="AF208" i="4"/>
  <c r="AF209" i="4"/>
  <c r="AI208" i="4"/>
  <c r="AG64" i="4"/>
  <c r="AG58" i="4"/>
  <c r="AG63" i="4"/>
  <c r="AG209" i="4" l="1"/>
  <c r="AF66" i="4"/>
  <c r="AF178" i="4"/>
  <c r="AJ109" i="4"/>
  <c r="AI133" i="4"/>
  <c r="AI114" i="4" s="1"/>
  <c r="AG109" i="4"/>
  <c r="AF133" i="4"/>
  <c r="AF114" i="4" s="1"/>
  <c r="AG66" i="4" l="1"/>
  <c r="AF199" i="4"/>
  <c r="AF200" i="4" s="1"/>
  <c r="AF202" i="4" s="1"/>
  <c r="AI203" i="4"/>
  <c r="AF203" i="4"/>
  <c r="AF137" i="4"/>
  <c r="AI137" i="4"/>
  <c r="AI199" i="4"/>
  <c r="AI153" i="4" l="1"/>
  <c r="AI183" i="4"/>
  <c r="AJ113" i="4"/>
  <c r="AF153" i="4"/>
  <c r="AG113" i="4"/>
  <c r="AF183" i="4"/>
  <c r="AI200" i="4"/>
  <c r="AI202" i="4" s="1"/>
  <c r="AF180" i="4" l="1"/>
  <c r="AF179" i="4"/>
  <c r="AF204" i="4"/>
  <c r="AI179" i="4"/>
  <c r="AI180" i="4"/>
  <c r="AI204" i="4"/>
  <c r="AF184" i="4"/>
  <c r="AI18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Leigh, James [GIR]</author>
  </authors>
  <commentList>
    <comment ref="A1" authorId="0" shapeId="0" xr:uid="{E7EC5C9A-4C0F-49E7-A859-1884F3D0BA54}">
      <text>
        <r>
          <rPr>
            <b/>
            <sz val="9"/>
            <color indexed="81"/>
            <rFont val="Tahoma"/>
            <family val="2"/>
          </rPr>
          <t>&lt;?xml version="1.0" encoding="utf-8"?&gt;&lt;Schema xmlns:xsd="http://www.w3.org/2001/XMLSchema" xmlns:xsi="http://www.w3.org/2001/XMLSchema-instance" Version="2" Timestamp="1771196188"&gt;&lt;FQL&gt;&lt;Q&gt;BRG-AU^FE_ESTIMATE(EBITDA,MEAN,ANN_ROLL,+2,NOW,,,'')&lt;/Q&gt;&lt;R&gt;1&lt;/R&gt;&lt;C&gt;1&lt;/C&gt;&lt;D xsi:type="xsd:double"&gt;297.98163&lt;/D&gt;&lt;/FQL&gt;&lt;FQL&gt;&lt;Q&gt;BRG-AU^FE_ESTIMATE(NET_INC_ADJ,MEAN,ANN_ROLL,+1,NOW,,,'')&lt;/Q&gt;&lt;R&gt;1&lt;/R&gt;&lt;C&gt;1&lt;/C&gt;&lt;D xsi:type="xsd:double"&gt;134.31723&lt;/D&gt;&lt;/FQL&gt;&lt;FQL&gt;&lt;Q&gt;BRG-AU^FE_ESTIMATE(INT_EXP,MEAN,ANN_ROLL,+1,NOW,,,'')&lt;/Q&gt;&lt;R&gt;1&lt;/R&gt;&lt;C&gt;1&lt;/C&gt;&lt;D xsi:type="xsd:double"&gt;17.288328&lt;/D&gt;&lt;/FQL&gt;&lt;FQL&gt;&lt;Q&gt;BRG-AU^FE_ESTIMATE(CF_OP,MEAN,ANN_ROLL,+2,NOW,,,'')&lt;/Q&gt;&lt;R&gt;1&lt;/R&gt;&lt;C&gt;1&lt;/C&gt;&lt;D xsi:type="xsd:double"&gt;196.92226&lt;/D&gt;&lt;/FQL&gt;&lt;FQL&gt;&lt;Q&gt;BRG-AU^FE_ESTIMATE(EBIT,MEAN,ANN_ROLL,+3,NOW,,,'')&lt;/Q&gt;&lt;R&gt;1&lt;/R&gt;&lt;C&gt;1&lt;/C&gt;&lt;D xsi:type="xsd:double"&gt;248.29292&lt;/D&gt;&lt;/FQL&gt;&lt;FQL&gt;&lt;Q&gt;BRG-AU^FE_ESTIMATE(DEP_AMORT_EXP,MEAN,ANN_ROLL,+2,NOW,,,'')&lt;/Q&gt;&lt;R&gt;1&lt;/R&gt;&lt;C&gt;1&lt;/C&gt;&lt;D xsi:type="xsd:double"&gt;67.665&lt;/D&gt;&lt;/FQL&gt;&lt;FQL&gt;&lt;Q&gt;BRG-AU^FE_ESTIMATE(NET_DEBT,MEAN,ANN_ROLL,+1,NOW,,,'')&lt;/Q&gt;&lt;R&gt;1&lt;/R&gt;&lt;C&gt;1&lt;/C&gt;&lt;D xsi:type="xsd:double"&gt;-38.031136&lt;/D&gt;&lt;/FQL&gt;&lt;FQL&gt;&lt;Q&gt;BRG-AU^FE_ESTIMATE(DEP_AMORT_EXP,MEAN,ANN_ROLL,+3,NOW,,,'')&lt;/Q&gt;&lt;R&gt;1&lt;/R&gt;&lt;C&gt;1&lt;/C&gt;&lt;D xsi:type="xsd:double"&gt;70.30636&lt;/D&gt;&lt;/FQL&gt;&lt;FQL&gt;&lt;Q&gt;BRG-AU^FE_ESTIMATE(CF_OP,MEAN,ANN_ROLL,+1,NOW,,,'')&lt;/Q&gt;&lt;R&gt;1&lt;/R&gt;&lt;C&gt;1&lt;/C&gt;&lt;D xsi:type="xsd:double"&gt;176.06413&lt;/D&gt;&lt;/FQL&gt;&lt;FQL&gt;&lt;Q&gt;BRG-AU^FE_ESTIMATE(NET_DEBT,MEAN,ANN_ROLL,+3,NOW,,,'')&lt;/Q&gt;&lt;R&gt;1&lt;/R&gt;&lt;C&gt;1&lt;/C&gt;&lt;D xsi:type="xsd:double"&gt;-156.51245&lt;/D&gt;&lt;/FQL&gt;&lt;FQL&gt;&lt;Q&gt;BRG-AU^FE_ESTIMATE(GROSS_INC,MEAN,ANN_ROLL,+4,NOW,,,'')&lt;/Q&gt;&lt;R&gt;0&lt;/R&gt;&lt;C&gt;0&lt;/C&gt;&lt;/FQL&gt;&lt;FQL&gt;&lt;Q&gt;BRG-AU^FE_ESTIMATE(INT_EXP,MEAN,ANN_ROLL,+2,NOW,,,'')&lt;/Q&gt;&lt;R&gt;1&lt;/R&gt;&lt;C&gt;1&lt;/C&gt;&lt;D xsi:type="xsd:double"&gt;14.248021&lt;/D&gt;&lt;/FQL&gt;&lt;FQL&gt;&lt;Q&gt;BRG-AU^FE_ESTIMATE(EPS,MEAN,ANN_ROLL,+4,NOW,,,'')&lt;/Q&gt;&lt;R&gt;1&lt;/R&gt;&lt;C&gt;1&lt;/C&gt;&lt;D xsi:type="xsd:double"&gt;0.820141&lt;/D&gt;&lt;/FQL&gt;&lt;FQL&gt;&lt;Q&gt;BRG-AU^FE_ESTIMATE(NET_DEBT,MEAN,ANN_ROLL,+4,NOW,,,'')&lt;/Q&gt;&lt;R&gt;1&lt;/R&gt;&lt;C&gt;1&lt;/C&gt;&lt;D xsi:type="xsd:double"&gt;-144.38531&lt;/D&gt;&lt;/FQL&gt;&lt;FQL&gt;&lt;Q&gt;BRG-AU^FE_ESTIMATE(CF_OP,MEAN,ANN_ROLL,+3,NOW,,,'')&lt;/Q&gt;&lt;R&gt;1&lt;/R&gt;&lt;C&gt;1&lt;/C&gt;&lt;D xsi:type="xsd:double"&gt;219.34052&lt;/D&gt;&lt;/FQL&gt;&lt;FQL&gt;&lt;Q&gt;BRG-AU^FE_ESTIMATE(SALES,MEAN,ANN_ROLL,+3,NOW,,,'')&lt;/Q&gt;&lt;R&gt;1&lt;/R&gt;&lt;C&gt;1&lt;/C&gt;&lt;D xsi:type="xsd:double"&gt;2020.1178&lt;/D&gt;&lt;/FQL&gt;&lt;FQL&gt;&lt;Q&gt;BRG-AU^FE_ESTIMATE(PTX_INC,MEAN,ANN_ROLL,+2,NOW,,,'')&lt;/Q&gt;&lt;R&gt;1&lt;/R&gt;&lt;C&gt;1&lt;/C&gt;&lt;D xsi:type="xsd:double"&gt;209.27827&lt;/D&gt;&lt;/FQL&gt;&lt;FQL&gt;&lt;Q&gt;BRG-AU^FE_ESTIMATE(PTX_INC,MEAN,ANN_ROLL,+1,NOW,,,'')&lt;/Q&gt;&lt;R&gt;1&lt;/R&gt;&lt;C&gt;1&lt;/C&gt;&lt;D xsi:type="xsd:double"&gt;187.19884&lt;/D&gt;&lt;/FQL&gt;&lt;FQL&gt;&lt;Q&gt;BRG-AU^FE_ESTIMATE(EPS,MEAN,ANN_ROLL,+3,NOW,,,'')&lt;/Q&gt;&lt;R&gt;1&lt;/R&gt;&lt;C&gt;1&lt;/C&gt;&lt;D xsi:type="xsd:double"&gt;1.1624058&lt;/D&gt;&lt;/FQL&gt;&lt;FQL&gt;&lt;Q&gt;BRG-AU^FE_ESTIMATE(CF_OP,MEAN,ANN_ROLL,+4,NOW,,,'')&lt;/Q&gt;&lt;R&gt;0&lt;/R&gt;&lt;C&gt;0&lt;/C&gt;&lt;/FQL&gt;&lt;FQL&gt;&lt;Q&gt;BRG-AU^FE_ESTIMATE(DEP_AMORT_EXP,MEAN,ANN_ROLL,+4,NOW,,,'')&lt;/Q&gt;&lt;R&gt;0&lt;/R&gt;&lt;C&gt;0&lt;/C&gt;&lt;/FQL&gt;&lt;FQL&gt;&lt;Q&gt;BRG-AU^FE_ESTIMATE(EBITDA,MEAN,ANN_ROLL,+3,NOW,,,'')&lt;/Q&gt;&lt;R&gt;1&lt;/R&gt;&lt;C&gt;1&lt;/C&gt;&lt;D xsi:type="xsd:double"&gt;328.29944&lt;/D&gt;&lt;/FQL&gt;&lt;FQL&gt;&lt;Q&gt;BRG-AU^FE_ESTIMATE(GROSS_INC,MEAN,ANN_ROLL,+2,NOW,,,'')&lt;/Q&gt;&lt;R&gt;1&lt;/R&gt;&lt;C&gt;1&lt;/C&gt;&lt;D xsi:type="xsd:double"&gt;664.60736&lt;/D&gt;&lt;/FQL&gt;&lt;FQL&gt;&lt;Q&gt;BRG-AU^FE_ESTIMATE(NET_INC_ADJ,MEAN,ANN_ROLL,+2,NOW,,,'')&lt;/Q&gt;&lt;R&gt;1&lt;/R&gt;&lt;C&gt;1&lt;/C&gt;&lt;D xsi:type="xsd:double"&gt;148.19608&lt;/D&gt;&lt;/FQL&gt;&lt;FQL&gt;&lt;Q&gt;BRG-AU^FE_ESTIMATE(EPS,MEAN,ANN_ROLL,+1,NOW,,,'')&lt;/Q&gt;&lt;R&gt;1&lt;/R&gt;&lt;C&gt;1&lt;/C&gt;&lt;D xsi:type="xsd:double"&gt;0.9278523&lt;/D&gt;&lt;/FQL&gt;&lt;FQL&gt;&lt;Q&gt;BRG-AU^FE_ESTIMATE(NET_INC_ADJ,MEAN,ANN_ROLL,+3,NOW,,,'')&lt;/Q&gt;&lt;R&gt;1&lt;/R&gt;&lt;C&gt;1&lt;/C&gt;&lt;D xsi:type="xsd:double"&gt;166.17966&lt;/D&gt;&lt;/FQL&gt;&lt;FQL&gt;&lt;Q&gt;BRG-AU^FE_ESTIMATE(SALES,MEAN,ANN_ROLL,+1,NOW,,,'')&lt;/Q&gt;&lt;R&gt;1&lt;/R&gt;&lt;C&gt;1&lt;/C&gt;&lt;D xsi:type="xsd:double"&gt;1683.6089&lt;/D&gt;&lt;/FQL&gt;&lt;FQL&gt;&lt;Q&gt;BRG-AU^FE_ESTIMATE(SALES,MEAN,ANN_ROLL,+4,NOW,,,'')&lt;/Q&gt;&lt;R&gt;1&lt;/R&gt;&lt;C&gt;1&lt;/C&gt;&lt;D xsi:type="xsd:double"&gt;1767.2346&lt;/D&gt;&lt;/FQL&gt;&lt;FQL&gt;&lt;Q&gt;BRG-AU^FE_ESTIMATE(EBIT,MEAN,ANN_ROLL,+1,NOW,,,'')&lt;/Q&gt;&lt;R&gt;1&lt;/R&gt;&lt;C&gt;1&lt;/C&gt;&lt;D xsi:type="xsd:double"&gt;203.50465&lt;/D&gt;&lt;/FQL&gt;&lt;FQL&gt;&lt;Q&gt;BRG-AU^FE_ESTIMATE(DEP_AMORT_EXP,MEAN,ANN_ROLL,+1,NOW,,,'')&lt;/Q&gt;&lt;R&gt;1&lt;/R&gt;&lt;C&gt;1&lt;/C&gt;&lt;D xsi:type="xsd:double"&gt;60.709488&lt;/D&gt;&lt;/FQL&gt;&lt;FQL&gt;&lt;Q&gt;BRG-AU^FE_ESTIMATE(NET_DEBT,MEAN,ANN_ROLL,+2,NOW,,,'')&lt;/Q&gt;&lt;R&gt;1&lt;/R&gt;&lt;C&gt;1&lt;/C&gt;&lt;D xsi:type="xsd:double"&gt;-90.46801&lt;/D&gt;&lt;/FQL&gt;&lt;FQL&gt;&lt;Q&gt;BRG-AU^FE_ESTIMATE(INT_EXP,MEAN,ANN_ROLL,+3,NOW,,,'')&lt;/Q&gt;&lt;R&gt;1&lt;/R&gt;&lt;C&gt;1&lt;/C&gt;&lt;D xsi:type="xsd:double"&gt;13.432518&lt;/D&gt;&lt;/FQL&gt;&lt;FQL&gt;&lt;Q&gt;BRG-AU^FE_ESTIMATE(EBITDA,MEAN,ANN_ROLL,+1,NOW,,,'')&lt;/Q&gt;&lt;R&gt;1&lt;/R&gt;&lt;C&gt;1&lt;/C&gt;&lt;D xsi:type="xsd:double"&gt;271.07925&lt;/D&gt;&lt;/FQL&gt;&lt;FQL&gt;&lt;Q&gt;COL-AU^FE_ESTIMATE(NET_DEBT,MEAN,ANN_ROLL,+1,NOW,,,'')&lt;/Q&gt;&lt;R&gt;1&lt;/R&gt;&lt;C&gt;1&lt;/C&gt;&lt;D xsi:type="xsd:double"&gt;9169.901&lt;/D&gt;&lt;/FQL&gt;&lt;FQL&gt;&lt;Q&gt;COL-AU^FE_ESTIMATE(NET_DEBT,MEAN,SEMI,+1,NOW,,,'')&lt;/Q&gt;&lt;R&gt;0&lt;/R&gt;&lt;C&gt;0&lt;/C&gt;&lt;/FQL&gt;&lt;FQL&gt;&lt;Q&gt;COL-AU^FE_ESTIMATE(,MEAN,ANN_ROLL,+1,NOW,,,'')&lt;/Q&gt;&lt;R&gt;1&lt;/R&gt;&lt;C&gt;1&lt;/C&gt;&lt;D xsi:type="xsd:double"&gt;0.7582956&lt;/D&gt;&lt;/FQL&gt;&lt;FQL&gt;&lt;Q&gt;COL-AU^FE_ESTIMATE(,MEAN,SEMI,+1,NOW,,,'')&lt;/Q&gt;&lt;R&gt;1&lt;/R&gt;&lt;C&gt;1&lt;/C&gt;&lt;D xsi:type="xsd:double"&gt;0.343175&lt;/D&gt;&lt;/FQL&gt;&lt;FQL&gt;&lt;Q&gt;COL-AU^FE_ESTIMATE(CAPEX,MEAN,ANN_ROLL,+1,NOW,,,'')&lt;/Q&gt;&lt;R&gt;1&lt;/R&gt;&lt;C&gt;1&lt;/C&gt;&lt;D xsi:type="xsd:double"&gt;1171.6943&lt;/D&gt;&lt;/FQL&gt;&lt;FQL&gt;&lt;Q&gt;COL-AU^FE_ESTIMATE(CAPEX,MEAN,SEMI,+1,NOW,,,'')&lt;/Q&gt;&lt;R&gt;0&lt;/R&gt;&lt;C&gt;0&lt;/C&gt;&lt;/FQL&gt;&lt;FQL&gt;&lt;Q&gt;COL-AU^FE_ESTIMATE(CF_OP,MEAN,ANN_ROLL,+1,NOW,,,'')&lt;/Q&gt;&lt;R&gt;1&lt;/R&gt;&lt;C&gt;1&lt;/C&gt;&lt;D xsi:type="xsd:double"&gt;2583.3262&lt;/D&gt;&lt;/FQL&gt;&lt;FQL&gt;&lt;Q&gt;COL-AU^FE_ESTIMATE(CF_OP,MEAN,SEMI,+1,NOW,,,'')&lt;/Q&gt;&lt;R&gt;0&lt;/R&gt;&lt;C&gt;0&lt;/C&gt;&lt;/FQL&gt;&lt;FQL&gt;&lt;Q&gt;COL-AU^FE_ESTIMATE(DPS,MEAN,ANN_ROLL,+1,NOW,,,'')&lt;/Q&gt;&lt;R&gt;1&lt;/R&gt;&lt;C&gt;1&lt;/C&gt;&lt;D xsi:type="xsd:double"&gt;0.6141058&lt;/D&gt;&lt;/FQL&gt;&lt;FQL&gt;&lt;Q&gt;COL-AU^FE_ESTIMATE(DPS,MEAN,SEMI,+1,NOW,,,'')&lt;/Q&gt;&lt;R&gt;1&lt;/R&gt;&lt;C&gt;1&lt;/C&gt;&lt;D xsi:type="xsd:double"&gt;0.27&lt;/D&gt;&lt;/FQL&gt;&lt;FQL&gt;&lt;Q&gt;COL-AU^FE_ESTIMATE(EPS,MEAN,ANN_ROLL,+1,NOW,,,'')&lt;/Q&gt;&lt;R&gt;1&lt;/R&gt;&lt;C&gt;1&lt;/C&gt;&lt;D xsi:type="xsd:double"&gt;0.7582956&lt;/D&gt;&lt;/FQL&gt;&lt;FQL&gt;&lt;Q&gt;COL-AU^FE_ESTIMATE(EPS,MEAN,SEMI,+1,NOW,,,'')&lt;/Q&gt;&lt;R&gt;1&lt;/R&gt;&lt;C&gt;1&lt;/C&gt;&lt;D xsi:type="xsd:double"&gt;0.343175&lt;/D&gt;&lt;/FQL&gt;&lt;FQL&gt;&lt;Q&gt;COL-AU^FE_ESTIMATE(NET_INC_REP,MEAN,ANN_ROLL,+1,NOW,,,'')&lt;/Q&gt;&lt;R&gt;1&lt;/R&gt;&lt;C&gt;1&lt;/C&gt;&lt;D xsi:type="xsd:double"&gt;999.064&lt;/D&gt;&lt;/FQL&gt;&lt;FQL&gt;&lt;Q&gt;COL-AU^FE_ESTIMATE(NET_INC_REP,MEAN,SEMI,+1,NOW,,,'')&lt;/Q&gt;&lt;R&gt;0&lt;/R&gt;&lt;C&gt;0&lt;/C&gt;&lt;/FQL&gt;&lt;FQL&gt;&lt;Q&gt;COL-AU^FE_ESTIMATE(NET_INC_ADJ,MEAN,ANN_ROLL,+1,NOW,,,'')&lt;/Q&gt;&lt;R&gt;1&lt;/R&gt;&lt;C&gt;1&lt;/C&gt;&lt;D xsi:type="xsd:double"&gt;1010.3425&lt;/D&gt;&lt;/FQL&gt;&lt;FQL&gt;&lt;Q&gt;COL-AU^FE_ESTIMATE(NET_INC_ADJ,MEAN,SEMI,+1,NOW,,,'')&lt;/Q&gt;&lt;R&gt;1&lt;/R&gt;&lt;C&gt;1&lt;/C&gt;&lt;D xsi:type="xsd:double"&gt;429&lt;/D&gt;&lt;/FQL&gt;&lt;FQL&gt;&lt;Q&gt;COL-AU^FE_ESTIMATE(EBIT,MEAN,ANN_ROLL,+1,NOW,,,'')&lt;/Q&gt;&lt;R&gt;1&lt;/R&gt;&lt;C&gt;1&lt;/C&gt;&lt;D xsi:type="xsd:double"&gt;1847.6527&lt;/D&gt;&lt;/FQL&gt;&lt;FQL&gt;&lt;Q&gt;COL-AU^FE_ESTIMATE(EBIT,MEAN,SEMI,+1,NOW,,,'')&lt;/Q&gt;&lt;R&gt;1&lt;/R&gt;&lt;C&gt;1&lt;/C&gt;&lt;D xsi:type="xsd:double"&gt;867.0735&lt;/D&gt;&lt;/FQL&gt;&lt;FQL&gt;&lt;Q&gt;COL-AU^FE_ESTIMATE(DEP_AMORT_EXP,MEAN,ANN_ROLL,+1,NOW,,,'')&lt;/Q&gt;&lt;R&gt;1&lt;/R&gt;&lt;C&gt;1&lt;/C&gt;&lt;D xsi:type="xsd:double"&gt;1494.5209&lt;/D&gt;&lt;/FQL&gt;&lt;FQL&gt;&lt;Q&gt;COL-AU^FE_ESTIMATE(DEP_AMORT_EXP,MEAN,SEMI,+1,NOW,,,'')&lt;/Q&gt;&lt;R&gt;0&lt;/R&gt;&lt;C&gt;0&lt;/C&gt;&lt;/FQL&gt;&lt;FQL&gt;&lt;Q&gt;COL-AU^FE_ESTIMATE(EBITDA,MEAN,ANN_ROLL,+1,NOW,,,'')&lt;/Q&gt;&lt;R&gt;1&lt;/R&gt;&lt;C&gt;1&lt;/C&gt;&lt;D xsi:type="xsd:double"&gt;3462.6687&lt;/D&gt;&lt;/FQL&gt;&lt;FQL&gt;&lt;Q&gt;COL-AU^FE_ESTIMATE(EBITDA,MEAN,SEMI,+1,NOW,,,'')&lt;/Q&gt;&lt;R&gt;1&lt;/R&gt;&lt;C&gt;1&lt;/C&gt;&lt;D xsi:type="xsd:double"&gt;1647&lt;/D&gt;&lt;/FQL&gt;&lt;FQL&gt;&lt;Q&gt;COL-AU^FE_ESTIMATE(SALES,MEAN,ANN_ROLL,+1,NOW,,,'')&lt;/Q&gt;&lt;R&gt;1&lt;/R&gt;&lt;C&gt;1&lt;/C&gt;&lt;D xsi:type="xsd:double"&gt;39600.83&lt;/D&gt;&lt;/FQL&gt;&lt;FQL&gt;&lt;Q&gt;COL-AU^FE_ESTIMATE(SALES,MEAN,SEMI,+1,NOW,,,'')&lt;/Q&gt;&lt;R&gt;1&lt;/R&gt;&lt;C&gt;1&lt;/C&gt;&lt;D xsi:type="xsd:double"&gt;18920.318&lt;/D&gt;&lt;/FQL&gt;&lt;FQL&gt;&lt;Q&gt;BRG^FE_ESTIMATE(NET_DEBT,MEAN,SEMI,+1,NOW,,,'')&lt;/Q&gt;&lt;R&gt;0&lt;/R&gt;&lt;C&gt;0&lt;/C&gt;&lt;/FQL&gt;&lt;FQL&gt;&lt;Q&gt;BRG^FE_ESTIMATE(,MEAN,SEMI,+1,NOW,,,'')&lt;/Q&gt;&lt;R&gt;0&lt;/R&gt;&lt;C&gt;0&lt;/C&gt;&lt;/FQL&gt;&lt;FQL&gt;&lt;Q&gt;BRG^FE_ESTIMATE(CAPEX,MEAN,SEMI,+1,NOW,,,'')&lt;/Q&gt;&lt;R&gt;0&lt;/R&gt;&lt;C&gt;0&lt;/C&gt;&lt;/FQL&gt;&lt;FQL&gt;&lt;Q&gt;BRG^FE_ESTIMATE(CF_OP,MEAN,SEMI,+1,NOW,,,'')&lt;/Q&gt;&lt;R&gt;0&lt;/R&gt;&lt;C&gt;0&lt;/C&gt;&lt;/FQL&gt;&lt;FQL&gt;&lt;Q&gt;BRG^FE_ESTIMATE(DPS,MEAN,SEMI,+1,NOW,,,'')&lt;/Q&gt;&lt;R&gt;0&lt;/R&gt;&lt;C&gt;0&lt;/C&gt;&lt;/FQL&gt;&lt;FQL&gt;&lt;Q&gt;BRG^FE_ESTIMATE(EPS,MEAN,SEMI,+1,NOW,,,'')&lt;/Q&gt;&lt;R&gt;0&lt;/R&gt;&lt;C&gt;0&lt;/C&gt;&lt;/FQL&gt;&lt;FQL&gt;&lt;Q&gt;BRG^FE_ESTIMATE(NET_INC_REP,MEAN,SEMI,+1,NOW,,,'')&lt;/Q&gt;&lt;R&gt;0&lt;/R&gt;&lt;C&gt;0&lt;/C&gt;&lt;/FQL&gt;&lt;FQL&gt;&lt;Q&gt;BRG^FE_ESTIMATE(NET_INC_ADJ,MEAN,SEMI,+1,NOW,,,'')&lt;/Q&gt;&lt;R&gt;0&lt;/R&gt;&lt;C&gt;0&lt;/C&gt;&lt;/FQL&gt;&lt;FQL&gt;&lt;Q&gt;BRG^FE_ESTIMATE(EBIT,MEAN,SEMI,+1,NOW,,,'')&lt;/Q&gt;&lt;R&gt;0&lt;/R&gt;&lt;C&gt;0&lt;/C&gt;&lt;/FQL&gt;&lt;FQL&gt;&lt;Q&gt;BRG^FE_ESTIMATE(DEP_AMORT_EXP,MEAN,SEMI,+1,NOW,,,'')&lt;/Q&gt;&lt;R&gt;0&lt;/R&gt;&lt;C&gt;0&lt;/C&gt;&lt;/FQL&gt;&lt;FQL&gt;&lt;Q&gt;BRG^FE_ESTIMATE(EBITDA,MEAN,SEMI,+1,NOW,,,'')&lt;/Q&gt;&lt;R&gt;0&lt;/R&gt;&lt;C&gt;0&lt;/C&gt;&lt;/FQL&gt;&lt;FQL&gt;&lt;Q&gt;BRG^FE_ESTIMATE(SALES,MEAN,SEMI,+1,NOW,,,'')&lt;/Q&gt;&lt;R&gt;0&lt;/R&gt;&lt;C&gt;0&lt;/C&gt;&lt;/FQL&gt;&lt;FQL&gt;&lt;Q&gt;$AA$5^FE_ESTIMATE(SALES,MEAN,SEMI,+1,NOW,,,'')&lt;/Q&gt;&lt;R&gt;0&lt;/R&gt;&lt;C&gt;0&lt;/C&gt;&lt;/FQL&gt;&lt;FQL&gt;&lt;Q&gt;BRG-AU^FE_ESTIMATE(NET_DEBT,MEAN,SEMI,+1,NOW,,,'')&lt;/Q&gt;&lt;R&gt;0&lt;/R&gt;&lt;C&gt;0&lt;/C&gt;&lt;/FQL&gt;&lt;FQL&gt;&lt;Q&gt;BRG-AU^FE_ESTIMATE(,MEAN,SEMI,+1,NOW,,,'')&lt;/Q&gt;&lt;R&gt;1&lt;/R&gt;&lt;C&gt;1&lt;/C&gt;&lt;D xsi:type="xsd:double"&gt;0.20166667&lt;/D&gt;&lt;/FQL&gt;&lt;FQL&gt;&lt;Q&gt;BRG-AU^FE_ESTIMATE(CAPEX,MEAN,SEMI,+1,NOW,,,'')&lt;/Q&gt;&lt;R&gt;0&lt;/R&gt;&lt;C&gt;0&lt;/C&gt;&lt;/FQL&gt;&lt;FQL&gt;&lt;Q&gt;BRG-AU^FE_ESTIMATE(CF_OP,MEAN,SEMI,+1,NOW,,,'')&lt;/Q&gt;&lt;R&gt;0&lt;/R&gt;&lt;C&gt;0&lt;/C&gt;&lt;/FQL&gt;&lt;FQL&gt;&lt;Q&gt;BRG-AU^FE_ESTIMATE(DPS,MEAN,SEMI,+1,NOW,,,'')&lt;/Q&gt;&lt;R&gt;1&lt;/R&gt;&lt;C&gt;1&lt;/C&gt;&lt;D xsi:type="xsd:double"&gt;0.1495&lt;/D&gt;&lt;/FQL&gt;&lt;FQL&gt;&lt;Q&gt;BRG-AU^FE_ESTIMATE(EPS,MEAN,SEMI,+1,NOW,,,'')&lt;/Q&gt;&lt;R&gt;1&lt;/R&gt;&lt;C&gt;1&lt;/C&gt;&lt;D xsi:type="xsd:double"&gt;0.20166667&lt;/D&gt;&lt;/FQL&gt;&lt;FQL&gt;&lt;Q&gt;BRG-AU^FE_ESTIMATE(NET_INC_REP,MEAN,SEMI,+1,NOW,,,'')&lt;/Q&gt;&lt;R&gt;1&lt;/R&gt;&lt;C&gt;1&lt;/C&gt;&lt;D xsi:type="xsd:double"&gt;26.5&lt;/D&gt;&lt;/FQL&gt;&lt;FQL&gt;&lt;Q&gt;BRG-AU^FE_ESTIMATE(NET_INC_ADJ,MEAN,SEMI,+1,NOW,,,'')&lt;/Q&gt;&lt;R&gt;1&lt;/R&gt;&lt;C&gt;1&lt;/C&gt;&lt;D xsi:type="xsd:double"&gt;26.5&lt;/D&gt;&lt;/FQL&gt;&lt;FQL&gt;&lt;Q&gt;BRG-AU^FE_ESTIMATE(EBIT,MEAN,SEMI,+1,NOW,,,'')&lt;/Q&gt;&lt;R&gt;1&lt;/R&gt;&lt;C&gt;1&lt;/C&gt;&lt;D xsi:type="xsd:double"&gt;44.594&lt;/D&gt;&lt;/FQL&gt;&lt;FQL&gt;&lt;Q&gt;BRG-AU^FE_ESTIMATE(DEP_AMORT_EXP,MEAN,SEMI,+1,NOW,,,'')&lt;/Q&gt;&lt;R&gt;0&lt;/R&gt;&lt;C&gt;0&lt;/C&gt;&lt;/FQL&gt;&lt;FQL&gt;&lt;Q&gt;BRG-AU^FE_ESTIMATE(EBITDA,MEAN,SEMI,+1,NOW,,,'')&lt;/Q&gt;&lt;R&gt;1&lt;/R&gt;&lt;C&gt;1&lt;/C&gt;&lt;D xsi:type="xsd:double"&gt;59.4&lt;/D&gt;&lt;/FQL&gt;&lt;FQL&gt;&lt;Q&gt;BRG-AU^FE_ESTIMATE(SALES,MEAN,SEMI,+1,NOW,,,'')&lt;/Q&gt;&lt;R&gt;1&lt;/R&gt;&lt;C&gt;1&lt;/C&gt;&lt;D xsi:type="xsd:double"&gt;540.09235&lt;/D&gt;&lt;/FQL&gt;&lt;FQL&gt;&lt;Q&gt;BRG-AU^FE_ESTIMATE(NET_DEBT,MEAN,ANNUAL_ROLL,+1,NOW,,,'')&lt;/Q&gt;&lt;R&gt;1&lt;/R&gt;&lt;C&gt;1&lt;/C&gt;&lt;D xsi:type="xsd:double"&gt;-25.628664&lt;/D&gt;&lt;/FQL&gt;&lt;FQL&gt;&lt;Q&gt;BRG-AU^FE_ESTIMATE(,MEAN,ANNUAL_ROLL,+1,NOW,,,'')&lt;/Q&gt;&lt;R&gt;1&lt;/R&gt;&lt;C&gt;1&lt;/C&gt;&lt;D xsi:type="xsd:double"&gt;0.7556208&lt;/D&gt;&lt;/FQL&gt;&lt;FQL&gt;&lt;Q&gt;BRG-AU^FE_ESTIMATE(CAPEX,MEAN,ANNUAL_ROLL,+1,NOW,,,'')&lt;/Q&gt;&lt;R&gt;1&lt;/R&gt;&lt;C&gt;1&lt;/C&gt;&lt;D xsi:type="xsd:double"&gt;20.35158&lt;/D&gt;&lt;/FQL&gt;&lt;FQL&gt;&lt;Q&gt;BRG-AU^FE_ESTIMATE(CF_OP,MEAN,ANNUAL_ROLL,+1,NOW,,,'')&lt;/Q&gt;&lt;R&gt;1&lt;/R&gt;&lt;C&gt;1&lt;/C&gt;&lt;D xsi:type="xsd:double"&gt;13.426358&lt;/D&gt;&lt;/FQL&gt;&lt;FQL&gt;&lt;Q&gt;BRG-AU^FE_ESTIMATE(DPS,MEAN,ANNUAL_ROLL,+1,NOW,,,'')&lt;/Q&gt;&lt;R&gt;1&lt;/R&gt;&lt;C&gt;1&lt;/C&gt;&lt;D xsi:type="xsd:double"&gt;0.29124296&lt;/D&gt;&lt;/FQL&gt;&lt;FQL&gt;&lt;Q&gt;BRG-AU^FE_ESTIMATE(EPS,MEAN,ANNUAL_ROLL,+1,NOW,,,'')&lt;/Q&gt;&lt;R&gt;1&lt;/R&gt;&lt;C&gt;1&lt;/C&gt;&lt;D xsi:type="xsd:double"&gt;0.7556208&lt;/D&gt;&lt;/FQL&gt;&lt;FQL&gt;&lt;Q&gt;BRG-AU^FE_ESTIMATE(NET_INC_REP,MEAN,ANNUAL_ROLL,+1,NOW,,,'')&lt;/Q&gt;&lt;R&gt;1&lt;/R&gt;&lt;C&gt;1&lt;/C&gt;&lt;D xsi:type="xsd:double"&gt;105.28187&lt;/D&gt;&lt;/FQL&gt;&lt;FQL&gt;&lt;Q&gt;BRG-AU^FE_ESTIMATE(NET_INC_ADJ,MEAN,ANNUAL_ROLL,+1,NOW,,,'')&lt;/Q&gt;&lt;R&gt;1&lt;/R&gt;&lt;C&gt;1&lt;/C&gt;&lt;D xsi:type="xsd:double"&gt;104.87039&lt;/D&gt;&lt;/FQL&gt;&lt;FQL&gt;&lt;Q&gt;BRG-AU^FE_ESTIMATE(EBIT,MEAN,ANNUAL_ROLL,+1,NOW,,,'')&lt;/Q&gt;&lt;R&gt;1&lt;/R&gt;&lt;C&gt;1&lt;/C&gt;&lt;D xsi:type="xsd:double"&gt;156.29417&lt;/D&gt;&lt;/FQL&gt;&lt;FQL&gt;&lt;Q&gt;BRG-AU^FE_ESTIMATE(DEP_AMORT_EXP,MEAN,ANNUAL_ROLL,+1,NOW,,,'')&lt;/Q&gt;&lt;R&gt;1&lt;/R&gt;&lt;C&gt;1&lt;/C&gt;&lt;D xsi:type="xsd:double"&gt;27.725&lt;/D&gt;&lt;/FQL&gt;&lt;FQL&gt;&lt;Q&gt;BRG-AU^FE_ESTIMATE(EBITDA,MEAN,ANNUAL_ROLL,+1,NOW,,,'')&lt;/Q&gt;&lt;R&gt;1&lt;/R&gt;&lt;C&gt;1&lt;/C&gt;&lt;D xsi:type="xsd:double"&gt;183.45651&lt;/D&gt;&lt;/FQL&gt;&lt;FQL&gt;&lt;Q&gt;BRG-AU^FE_ESTIMATE(SALES,MEAN,ANNUAL_ROLL,+1,NOW,,,'')&lt;/Q&gt;&lt;R&gt;1&lt;/R&gt;&lt;C&gt;1&lt;/C&gt;&lt;D xsi:type="xsd:double"&gt;1429.2782&lt;/D&gt;&lt;/FQL&gt;&lt;FQL&gt;&lt;Q&gt;BRG-AU^FE_ESTIMATE(GROSS_INC,MEAN,ANN_ROLL,+1,NOW,,,'')&lt;/Q&gt;&lt;R&gt;1&lt;/R&gt;&lt;C&gt;1&lt;/C&gt;&lt;D xsi:type="xsd:double"&gt;615.1029&lt;/D&gt;&lt;/FQL&gt;&lt;FQL&gt;&lt;Q&gt;BRG-AU^FE_ESTIMATE(EPS,MEAN,ANN_ROLL,+2,NOW,,,'')&lt;/Q&gt;&lt;R&gt;1&lt;/R&gt;&lt;C&gt;1&lt;/C&gt;&lt;D xsi:type="xsd:double"&gt;1.0337453&lt;/D&gt;&lt;/FQL&gt;&lt;FQL&gt;&lt;Q&gt;BRG-AU^FE_ESTIMATE(,MEAN,ANN_ROLL,+4,NOW,,,'')&lt;/Q&gt;&lt;R&gt;1&lt;/R&gt;&lt;C&gt;1&lt;/C&gt;&lt;D xsi:type="xsd:double"&gt;1.061&lt;/D&gt;&lt;/FQL&gt;&lt;FQL&gt;&lt;Q&gt;BRG-AU^FE_ESTIMATE(EBIT,MEAN,ANN_ROLL,+4,NOW,,,'')&lt;/Q&gt;&lt;R&gt;1&lt;/R&gt;&lt;C&gt;1&lt;/C&gt;&lt;D xsi:type="xsd:double"&gt;172.48204&lt;/D&gt;&lt;/FQL&gt;&lt;FQL&gt;&lt;Q&gt;BRG-AU^FE_ESTIMATE(SALES,MEAN,ANN_ROLL,+2,NOW,,,'')&lt;/Q&gt;&lt;R&gt;1&lt;/R&gt;&lt;C&gt;1&lt;/C&gt;&lt;D xsi:type="xsd:double"&gt;1856.186&lt;/D&gt;&lt;/FQL&gt;&lt;FQL&gt;&lt;Q&gt;BRG-AU^FE_ESTIMATE(GROSS_INC,MEAN,ANN_ROLL,+3,NOW,,,'')&lt;/Q&gt;&lt;R&gt;1&lt;/R&gt;&lt;C&gt;1&lt;/C&gt;&lt;D xsi:type="xsd:double"&gt;716.346&lt;/D&gt;&lt;/FQL&gt;&lt;FQL&gt;&lt;Q&gt;BRG-AU^FE_ESTIMATE(EBIT,MEAN,ANN_ROLL,+2,NOW,,,'')&lt;/Q&gt;&lt;R&gt;1&lt;/R&gt;&lt;C&gt;1&lt;/C&gt;&lt;D xsi:type="xsd:double"&gt;223.26013&lt;/D&gt;&lt;/FQL&gt;&lt;FQL&gt;&lt;Q&gt;BRG-AU^FE_ESTIMATE(NET_INC_ADJ,MEAN,ANN_ROLL,+4,NOW,,,'')&lt;/Q&gt;&lt;R&gt;1&lt;/R&gt;&lt;C&gt;1&lt;/C&gt;&lt;D xsi:type="xsd:double"&gt;117.99651&lt;/D&gt;&lt;/FQL&gt;&lt;FQL&gt;&lt;Q&gt;BRG-AU^FE_ESTIMATE(PTX_INC,MEAN,ANN_ROLL,+4,NOW,,,'')&lt;/Q&gt;&lt;R&gt;1&lt;/R&gt;&lt;C&gt;1&lt;/C&gt;&lt;D xsi:type="xsd:double"&gt;165.03009&lt;/D&gt;&lt;/FQL&gt;&lt;FQL&gt;&lt;Q&gt;BRG-AU^FE_ESTIMATE(PTX_INC,MEAN,ANN_ROLL,+3,NOW,,,'')&lt;/Q&gt;&lt;R&gt;1&lt;/R&gt;&lt;C&gt;1&lt;/C&gt;&lt;D xsi:type="xsd:double"&gt;236.2148&lt;/D&gt;&lt;/FQL&gt;&lt;FQL&gt;&lt;Q&gt;BRG-AU^FE_ESTIMATE(EBITDA,MEAN,ANN_ROLL,+4,NOW,,,'')&lt;/Q&gt;&lt;R&gt;1&lt;/R&gt;&lt;C&gt;1&lt;/C&gt;&lt;D xsi:type="xsd:double"&gt;231.21442&lt;/D&gt;&lt;/FQL&gt;&lt;FQL&gt;&lt;Q&gt;BRG-AU^FE_ESTIMATE(INT_EXP,MEAN,ANN_ROLL,+4,NOW,,,'')&lt;/Q&gt;&lt;R&gt;0&lt;/R&gt;&lt;C&gt;0&lt;/C&gt;&lt;/FQL&gt;&lt;/Schema&gt;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17" authorId="0" shapeId="0" xr:uid="{00000000-0006-0000-0100-000001000000}">
      <text>
        <r>
          <rPr>
            <sz val="8"/>
            <color indexed="81"/>
            <rFont val="Tahoma"/>
            <family val="2"/>
          </rPr>
          <t xml:space="preserve"> Red cells = hard numbers
 Red description in column B = link row to other sheets in this file
 Blue description in column B = non essential info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Deng, Lisa L [GIR]</author>
    <author>Nair Syama, Darshana [GIR]</author>
    <author>Fulton, Grace [GIR]</author>
    <author>Chandra, Ashwini [GIR]</author>
    <author>C Wade</author>
    <author>Ashwini Chandra</author>
    <author>Carran, Sophie [GIR]</author>
    <author>Yeoh, Aaron [GIR]</author>
    <author>Leigh, James [GIR]</author>
  </authors>
  <commentList>
    <comment ref="Y13" authorId="0" shapeId="0" xr:uid="{402026CC-8772-403F-91FB-035683EC50D9}">
      <text>
        <r>
          <rPr>
            <b/>
            <sz val="9"/>
            <color indexed="81"/>
            <rFont val="Tahoma"/>
            <family val="2"/>
          </rPr>
          <t>Deng, Lisa L [GIR]:</t>
        </r>
        <r>
          <rPr>
            <sz val="9"/>
            <color indexed="81"/>
            <rFont val="Tahoma"/>
            <family val="2"/>
          </rPr>
          <t xml:space="preserve">
pre COVID, international freight would be ~1-2% of GPM and trippled and now back to 1-2pts of GPM. 
Forex wouldn't be an issue due to hedged 12mths out at 72 cents. </t>
        </r>
      </text>
    </comment>
    <comment ref="AB13" authorId="0" shapeId="0" xr:uid="{9B5515A6-3B5B-47ED-86A7-A5234F60D688}">
      <text>
        <r>
          <rPr>
            <b/>
            <sz val="9"/>
            <color indexed="81"/>
            <rFont val="Tahoma"/>
            <family val="2"/>
          </rPr>
          <t>Deng, Lisa L [GIR]:</t>
        </r>
        <r>
          <rPr>
            <sz val="9"/>
            <color indexed="81"/>
            <rFont val="Tahoma"/>
            <family val="2"/>
          </rPr>
          <t xml:space="preserve">
slightly lower GPM due to hedged AUD at lower rates. </t>
        </r>
      </text>
    </comment>
    <comment ref="M18" authorId="1" shapeId="0" xr:uid="{00000000-0006-0000-1000-000002000000}">
      <text>
        <r>
          <rPr>
            <b/>
            <sz val="9"/>
            <color indexed="81"/>
            <rFont val="Tahoma"/>
            <family val="2"/>
          </rPr>
          <t>Nair Syama, Darshana [GIR]:</t>
        </r>
        <r>
          <rPr>
            <sz val="9"/>
            <color indexed="81"/>
            <rFont val="Tahoma"/>
            <family val="2"/>
          </rPr>
          <t xml:space="preserve">
7.7mn of abnormal compensation reduction has been adjusted upwards
This compensation savings came from temporary average 20% base salary cuts across May/June and suspension of FY20 short term incentive plan</t>
        </r>
      </text>
    </comment>
    <comment ref="N18" authorId="1" shapeId="0" xr:uid="{00000000-0006-0000-1000-000003000000}">
      <text>
        <r>
          <rPr>
            <b/>
            <sz val="9"/>
            <color indexed="81"/>
            <rFont val="Tahoma"/>
            <family val="2"/>
          </rPr>
          <t>Nair Syama, Darshana [GIR]:</t>
        </r>
        <r>
          <rPr>
            <sz val="9"/>
            <color indexed="81"/>
            <rFont val="Tahoma"/>
            <family val="2"/>
          </rPr>
          <t xml:space="preserve">
increase in employee expenses reflect the hiring of approx 70 new staff in 1H21</t>
        </r>
      </text>
    </comment>
    <comment ref="Q18" authorId="0" shapeId="0" xr:uid="{00000000-0006-0000-1000-000004000000}">
      <text>
        <r>
          <rPr>
            <b/>
            <sz val="9"/>
            <color indexed="81"/>
            <rFont val="Tahoma"/>
            <family val="2"/>
          </rPr>
          <t>Deng, Lisa L [GIR]:</t>
        </r>
        <r>
          <rPr>
            <sz val="9"/>
            <color indexed="81"/>
            <rFont val="Tahoma"/>
            <family val="2"/>
          </rPr>
          <t xml:space="preserve">
driven by the hiring of new staff in the product development, marketing and technology teams as well as functions managing our increased business scale, e.g. supply chain and customer service.</t>
        </r>
      </text>
    </comment>
    <comment ref="V18" authorId="0" shapeId="0" xr:uid="{74A14EB8-0AB3-4D52-BC76-0515E03B2ECE}">
      <text>
        <r>
          <rPr>
            <b/>
            <sz val="9"/>
            <color indexed="81"/>
            <rFont val="Tahoma"/>
            <family val="2"/>
          </rPr>
          <t>Deng, Lisa L [GIR]:</t>
        </r>
        <r>
          <rPr>
            <sz val="9"/>
            <color indexed="81"/>
            <rFont val="Tahoma"/>
            <family val="2"/>
          </rPr>
          <t xml:space="preserve">
includes STI of A$10.5mn Note 3 of Annual Report </t>
        </r>
      </text>
    </comment>
    <comment ref="Y18" authorId="0" shapeId="0" xr:uid="{25EA345E-7233-4E9F-953F-DFE8BB5544DD}">
      <text>
        <r>
          <rPr>
            <b/>
            <sz val="9"/>
            <color indexed="81"/>
            <rFont val="Tahoma"/>
            <family val="2"/>
          </rPr>
          <t>Deng, Lisa L [GIR]:</t>
        </r>
        <r>
          <rPr>
            <sz val="9"/>
            <color indexed="81"/>
            <rFont val="Tahoma"/>
            <family val="2"/>
          </rPr>
          <t xml:space="preserve">
includes STI of A$20.05mn - note 3 of Annual Report </t>
        </r>
      </text>
    </comment>
    <comment ref="AB18" authorId="0" shapeId="0" xr:uid="{9AFC0F1B-7A65-4C22-BE87-1B5051F271C2}">
      <text>
        <r>
          <rPr>
            <b/>
            <sz val="9"/>
            <color indexed="81"/>
            <rFont val="Tahoma"/>
            <family val="2"/>
          </rPr>
          <t>Deng, Lisa L [GIR]:</t>
        </r>
        <r>
          <rPr>
            <sz val="9"/>
            <color indexed="81"/>
            <rFont val="Tahoma"/>
            <family val="2"/>
          </rPr>
          <t xml:space="preserve">
this is expected to include A$22mn STI</t>
        </r>
      </text>
    </comment>
    <comment ref="Y23" authorId="0" shapeId="0" xr:uid="{41A9D456-689E-442B-9E56-7A7C4E9E6C07}">
      <text>
        <r>
          <rPr>
            <b/>
            <sz val="9"/>
            <color indexed="81"/>
            <rFont val="Tahoma"/>
            <family val="2"/>
          </rPr>
          <t>Deng, Lisa L [GIR]:</t>
        </r>
        <r>
          <rPr>
            <sz val="9"/>
            <color indexed="81"/>
            <rFont val="Tahoma"/>
            <family val="2"/>
          </rPr>
          <t xml:space="preserve">
assume significant portion of lease expenses moved into D&amp;A </t>
        </r>
      </text>
    </comment>
    <comment ref="M24" authorId="1" shapeId="0" xr:uid="{00000000-0006-0000-1000-000005000000}">
      <text>
        <r>
          <rPr>
            <b/>
            <sz val="9"/>
            <color indexed="81"/>
            <rFont val="Tahoma"/>
            <family val="2"/>
          </rPr>
          <t>Nair Syama, Darshana [GIR]:</t>
        </r>
        <r>
          <rPr>
            <sz val="9"/>
            <color indexed="81"/>
            <rFont val="Tahoma"/>
            <family val="2"/>
          </rPr>
          <t xml:space="preserve">
3.3mn marketing cut backs in May-June normalized</t>
        </r>
      </text>
    </comment>
    <comment ref="N24" authorId="1" shapeId="0" xr:uid="{00000000-0006-0000-1000-000006000000}">
      <text>
        <r>
          <rPr>
            <b/>
            <sz val="9"/>
            <color indexed="81"/>
            <rFont val="Tahoma"/>
            <family val="2"/>
          </rPr>
          <t>Nair Syama, Darshana [GIR]:</t>
        </r>
        <r>
          <rPr>
            <sz val="9"/>
            <color indexed="81"/>
            <rFont val="Tahoma"/>
            <family val="2"/>
          </rPr>
          <t xml:space="preserve">
increase reflects the firms increased investment in digital offense including online delivery, content and platforms to support sustained online and retailer based sales growth</t>
        </r>
      </text>
    </comment>
    <comment ref="Q24" authorId="0" shapeId="0" xr:uid="{00000000-0006-0000-1000-000007000000}">
      <text>
        <r>
          <rPr>
            <b/>
            <sz val="9"/>
            <color indexed="81"/>
            <rFont val="Tahoma"/>
            <family val="2"/>
          </rPr>
          <t>Deng, Lisa L [GIR]:</t>
        </r>
        <r>
          <rPr>
            <sz val="9"/>
            <color indexed="81"/>
            <rFont val="Tahoma"/>
            <family val="2"/>
          </rPr>
          <t xml:space="preserve">
increasing investment in the Group’s digital platforms including the delivery of the Customer Experience Platform.</t>
        </r>
      </text>
    </comment>
    <comment ref="Y26" authorId="0" shapeId="0" xr:uid="{3C3491FF-2B5D-4CAA-9D42-B222DDBAA933}">
      <text>
        <r>
          <rPr>
            <b/>
            <sz val="9"/>
            <color indexed="81"/>
            <rFont val="Tahoma"/>
            <family val="2"/>
          </rPr>
          <t>Deng, Lisa L [GIR]:</t>
        </r>
        <r>
          <rPr>
            <sz val="9"/>
            <color indexed="81"/>
            <rFont val="Tahoma"/>
            <family val="2"/>
          </rPr>
          <t xml:space="preserve">
CFO will use this to balance earnings growth. Was a bit light in FY23, catch up in FY24. 
1H24 mgmt: will reinvest back for FY25 and beyond. </t>
        </r>
      </text>
    </comment>
    <comment ref="M27" authorId="2" shapeId="0" xr:uid="{00000000-0006-0000-1000-000008000000}">
      <text>
        <r>
          <rPr>
            <b/>
            <sz val="9"/>
            <color indexed="81"/>
            <rFont val="Tahoma"/>
            <family val="2"/>
          </rPr>
          <t xml:space="preserve">Darshana Nair:
</t>
        </r>
        <r>
          <rPr>
            <sz val="9"/>
            <color indexed="81"/>
            <rFont val="Tahoma"/>
            <family val="2"/>
          </rPr>
          <t>Adjusted to remove doubtful debt provisioning - 13.570 and impairment charge on IoT platform - 9.644</t>
        </r>
        <r>
          <rPr>
            <b/>
            <sz val="9"/>
            <color indexed="81"/>
            <rFont val="Tahoma"/>
            <family val="2"/>
          </rPr>
          <t xml:space="preserve">
</t>
        </r>
      </text>
    </comment>
    <comment ref="N27" authorId="2" shapeId="0" xr:uid="{00000000-0006-0000-1000-000009000000}">
      <text>
        <r>
          <rPr>
            <b/>
            <sz val="9"/>
            <color indexed="81"/>
            <rFont val="Tahoma"/>
            <family val="2"/>
          </rPr>
          <t xml:space="preserve">Nair:
</t>
        </r>
        <r>
          <rPr>
            <sz val="9"/>
            <color indexed="81"/>
            <rFont val="Tahoma"/>
            <family val="2"/>
          </rPr>
          <t xml:space="preserve">
Less Doubtful debts -A$8.523mn (was 0.99 in pcp)
Less Other expenses
-A$27.472mn</t>
        </r>
        <r>
          <rPr>
            <b/>
            <sz val="9"/>
            <color indexed="81"/>
            <rFont val="Tahoma"/>
            <family val="2"/>
          </rPr>
          <t xml:space="preserve">
</t>
        </r>
      </text>
    </comment>
    <comment ref="P27" authorId="2" shapeId="0" xr:uid="{00000000-0006-0000-1000-00000A000000}">
      <text>
        <r>
          <rPr>
            <b/>
            <sz val="9"/>
            <color indexed="81"/>
            <rFont val="Tahoma"/>
            <family val="2"/>
          </rPr>
          <t xml:space="preserve">Ashwini Chandra:
</t>
        </r>
        <r>
          <rPr>
            <sz val="9"/>
            <color indexed="81"/>
            <rFont val="Tahoma"/>
            <family val="2"/>
          </rPr>
          <t>Add Other income +A$0.284mn
Less Doubtful debts -A$1.517mn
Less Other expenses
-A$52.532mn</t>
        </r>
        <r>
          <rPr>
            <b/>
            <sz val="9"/>
            <color indexed="81"/>
            <rFont val="Tahoma"/>
            <family val="2"/>
          </rPr>
          <t xml:space="preserve">
</t>
        </r>
      </text>
    </comment>
    <comment ref="Q27" authorId="2" shapeId="0" xr:uid="{00000000-0006-0000-1000-00000B000000}">
      <text>
        <r>
          <rPr>
            <sz val="9"/>
            <color indexed="81"/>
            <rFont val="Tahoma"/>
            <family val="2"/>
          </rPr>
          <t>Add Other income +A$0.150mn
Less Doubtful debts -A$7.944mn
Less Other expenses
-A$34.959mn</t>
        </r>
        <r>
          <rPr>
            <b/>
            <sz val="9"/>
            <color indexed="81"/>
            <rFont val="Tahoma"/>
            <family val="2"/>
          </rPr>
          <t xml:space="preserve">
Other expenses of $34,959,000 (pcp $32,262,000) primarily reflect an increase in logistics costs driven by global supply constraints and technology services expenditure.</t>
        </r>
      </text>
    </comment>
    <comment ref="Z27" authorId="0" shapeId="0" xr:uid="{405EC341-6343-459B-BF06-4CE7EBAF35F6}">
      <text>
        <r>
          <rPr>
            <b/>
            <sz val="9"/>
            <color indexed="81"/>
            <rFont val="Tahoma"/>
            <family val="2"/>
          </rPr>
          <t>Deng, Lisa L [GIR]:</t>
        </r>
        <r>
          <rPr>
            <sz val="9"/>
            <color indexed="81"/>
            <rFont val="Tahoma"/>
            <family val="2"/>
          </rPr>
          <t xml:space="preserve">
Increase associated with forex losses and extra logistics costs associated with tacticla inventory build in the US. </t>
        </r>
      </text>
    </comment>
    <comment ref="M34" authorId="3" shapeId="0" xr:uid="{00000000-0006-0000-1000-00000C000000}">
      <text>
        <r>
          <rPr>
            <b/>
            <sz val="9"/>
            <color indexed="81"/>
            <rFont val="Tahoma"/>
            <family val="2"/>
          </rPr>
          <t>Chandra, Ashwini [GIR]:</t>
        </r>
        <r>
          <rPr>
            <sz val="9"/>
            <color indexed="81"/>
            <rFont val="Tahoma"/>
            <family val="2"/>
          </rPr>
          <t xml:space="preserve">
</t>
        </r>
        <r>
          <rPr>
            <b/>
            <sz val="9"/>
            <color indexed="81"/>
            <rFont val="Tahoma"/>
            <family val="2"/>
          </rPr>
          <t>Abnormals include the following:</t>
        </r>
        <r>
          <rPr>
            <sz val="9"/>
            <color indexed="81"/>
            <rFont val="Tahoma"/>
            <family val="2"/>
          </rPr>
          <t xml:space="preserve">
+A$9.644mn for IoT Platform
+A$13.570mn for Doubtful debt expense
-A$7.7mn in compensation cut FY20
-A$3.3mn in marketing expense cut in FY20
</t>
        </r>
        <r>
          <rPr>
            <b/>
            <sz val="9"/>
            <color indexed="81"/>
            <rFont val="Tahoma"/>
            <family val="2"/>
          </rPr>
          <t xml:space="preserve">= A$12.2mn </t>
        </r>
        <r>
          <rPr>
            <sz val="9"/>
            <color indexed="81"/>
            <rFont val="Tahoma"/>
            <family val="2"/>
          </rPr>
          <t xml:space="preserve">adjustment between reported and underlying
So reported is A$120.0mn and underlying is A$132.2mn
</t>
        </r>
      </text>
    </comment>
    <comment ref="X36" authorId="0" shapeId="0" xr:uid="{126E4E90-99D1-4A8E-9FBE-FE2F0789DDC1}">
      <text>
        <r>
          <rPr>
            <b/>
            <sz val="9"/>
            <color indexed="81"/>
            <rFont val="Tahoma"/>
            <family val="2"/>
          </rPr>
          <t>Deng, Lisa L [GIR]:</t>
        </r>
        <r>
          <rPr>
            <sz val="9"/>
            <color indexed="81"/>
            <rFont val="Tahoma"/>
            <family val="2"/>
          </rPr>
          <t xml:space="preserve">
will be slightly more than 1H as the intangibles continue to climb. </t>
        </r>
      </text>
    </comment>
    <comment ref="A44" authorId="4" shapeId="0" xr:uid="{00000000-0006-0000-1000-00000D000000}">
      <text>
        <r>
          <rPr>
            <b/>
            <sz val="8"/>
            <color indexed="81"/>
            <rFont val="Tahoma"/>
            <family val="2"/>
          </rPr>
          <t>C Wade:</t>
        </r>
        <r>
          <rPr>
            <sz val="8"/>
            <color indexed="81"/>
            <rFont val="Tahoma"/>
            <family val="2"/>
          </rPr>
          <t xml:space="preserve">
EBIT numbers begin in F.2003 - prior to this, estimates are used</t>
        </r>
      </text>
    </comment>
    <comment ref="Y44" authorId="0" shapeId="0" xr:uid="{0DCE6959-CC2E-473E-B761-FC317AC4EE07}">
      <text>
        <r>
          <rPr>
            <b/>
            <sz val="9"/>
            <color indexed="81"/>
            <rFont val="Tahoma"/>
            <family val="2"/>
          </rPr>
          <t>Deng, Lisa L [GIR]:</t>
        </r>
        <r>
          <rPr>
            <sz val="9"/>
            <color indexed="81"/>
            <rFont val="Tahoma"/>
            <family val="2"/>
          </rPr>
          <t xml:space="preserve">
1H24 guidance for FY24: +5.0%-+7.5% </t>
        </r>
      </text>
    </comment>
    <comment ref="AB46" authorId="0" shapeId="0" xr:uid="{1270F4F2-C7BB-40DE-A5CC-2FB867CF12F0}">
      <text>
        <r>
          <rPr>
            <b/>
            <sz val="9"/>
            <color indexed="81"/>
            <rFont val="Tahoma"/>
            <family val="2"/>
          </rPr>
          <t>Deng, Lisa L [GIR]:</t>
        </r>
        <r>
          <rPr>
            <sz val="9"/>
            <color indexed="81"/>
            <rFont val="Tahoma"/>
            <family val="2"/>
          </rPr>
          <t xml:space="preserve">
mgmt guide 5-10% growth YoY </t>
        </r>
      </text>
    </comment>
    <comment ref="W48" authorId="0" shapeId="0" xr:uid="{DD857B3B-F748-46E1-A294-F799BC6FB484}">
      <text>
        <r>
          <rPr>
            <b/>
            <sz val="9"/>
            <color indexed="81"/>
            <rFont val="Tahoma"/>
            <family val="2"/>
          </rPr>
          <t>Deng, Lisa L [GIR]:</t>
        </r>
        <r>
          <rPr>
            <sz val="9"/>
            <color indexed="81"/>
            <rFont val="Tahoma"/>
            <family val="2"/>
          </rPr>
          <t xml:space="preserve">
mgmt guide: interest expense 1H higher than 2H as 1H always debt heavy. </t>
        </r>
      </text>
    </comment>
    <comment ref="E53" authorId="1" shapeId="0" xr:uid="{00000000-0006-0000-1000-00000E000000}">
      <text>
        <r>
          <rPr>
            <b/>
            <sz val="9"/>
            <color indexed="81"/>
            <rFont val="Tahoma"/>
            <family val="2"/>
          </rPr>
          <t>Nair Syama, Darshana [GIR]:</t>
        </r>
        <r>
          <rPr>
            <sz val="9"/>
            <color indexed="81"/>
            <rFont val="Tahoma"/>
            <family val="2"/>
          </rPr>
          <t xml:space="preserve">
adversely impacted by a $1.6mn one-off reduction in the Group's US deferred tax asset</t>
        </r>
      </text>
    </comment>
    <comment ref="V53" authorId="0" shapeId="0" xr:uid="{10E1B781-75F1-4164-92DE-173A6F4E49DC}">
      <text>
        <r>
          <rPr>
            <b/>
            <sz val="9"/>
            <color indexed="81"/>
            <rFont val="Tahoma"/>
            <family val="2"/>
          </rPr>
          <t>Deng, Lisa L [GIR]:</t>
        </r>
        <r>
          <rPr>
            <sz val="9"/>
            <color indexed="81"/>
            <rFont val="Tahoma"/>
            <family val="2"/>
          </rPr>
          <t xml:space="preserve">
one time R&amp;D tax benefit. </t>
        </r>
      </text>
    </comment>
    <comment ref="M60" authorId="2" shapeId="0" xr:uid="{00000000-0006-0000-1000-00000F000000}">
      <text>
        <r>
          <rPr>
            <b/>
            <sz val="9"/>
            <color indexed="81"/>
            <rFont val="Tahoma"/>
            <family val="2"/>
          </rPr>
          <t>Fulton, Grace [GIR]:</t>
        </r>
        <r>
          <rPr>
            <sz val="9"/>
            <color indexed="81"/>
            <rFont val="Tahoma"/>
            <family val="2"/>
          </rPr>
          <t xml:space="preserve">
</t>
        </r>
        <r>
          <rPr>
            <b/>
            <u/>
            <sz val="9"/>
            <color indexed="81"/>
            <rFont val="Tahoma"/>
            <family val="2"/>
          </rPr>
          <t>Abnormals</t>
        </r>
        <r>
          <rPr>
            <sz val="9"/>
            <color indexed="81"/>
            <rFont val="Tahoma"/>
            <family val="2"/>
          </rPr>
          <t xml:space="preserve">
+A$9.644mn for IoT Platform
+A$13.570mn for Doubtful debt expense
-A$7.7mn in compensation cut FY20
-A$3.3mn in marketing expense cut in FY20
</t>
        </r>
      </text>
    </comment>
    <comment ref="E62" authorId="5" shapeId="0" xr:uid="{00000000-0006-0000-1000-000010000000}">
      <text>
        <r>
          <rPr>
            <b/>
            <sz val="9"/>
            <color indexed="81"/>
            <rFont val="Tahoma"/>
            <family val="2"/>
          </rPr>
          <t>Ashwini Chandra:</t>
        </r>
        <r>
          <rPr>
            <sz val="9"/>
            <color indexed="81"/>
            <rFont val="Tahoma"/>
            <family val="2"/>
          </rPr>
          <t xml:space="preserve">
One off tax hit due to reduction in Groups US tax deferred assets</t>
        </r>
      </text>
    </comment>
    <comment ref="N70" authorId="6" shapeId="0" xr:uid="{00000000-0006-0000-1000-000011000000}">
      <text>
        <r>
          <rPr>
            <b/>
            <sz val="9"/>
            <color indexed="81"/>
            <rFont val="Tahoma"/>
            <family val="2"/>
          </rPr>
          <t>Carran, Sophie [GIR]:</t>
        </r>
        <r>
          <rPr>
            <sz val="9"/>
            <color indexed="81"/>
            <rFont val="Tahoma"/>
            <family val="2"/>
          </rPr>
          <t xml:space="preserve">
New DPR - 40% of full year EPS</t>
        </r>
      </text>
    </comment>
    <comment ref="X93" authorId="0" shapeId="0" xr:uid="{A989E9EF-CAA9-47F6-BE4B-306EB9B00D47}">
      <text>
        <r>
          <rPr>
            <b/>
            <sz val="9"/>
            <color indexed="81"/>
            <rFont val="Tahoma"/>
            <family val="2"/>
          </rPr>
          <t>Deng, Lisa L [GIR]:</t>
        </r>
        <r>
          <rPr>
            <sz val="9"/>
            <color indexed="81"/>
            <rFont val="Tahoma"/>
            <family val="2"/>
          </rPr>
          <t xml:space="preserve">
guidance on cash release in 2H24. </t>
        </r>
      </text>
    </comment>
    <comment ref="M94" authorId="2" shapeId="0" xr:uid="{00000000-0006-0000-1000-000012000000}">
      <text>
        <r>
          <rPr>
            <b/>
            <sz val="9"/>
            <color indexed="81"/>
            <rFont val="Tahoma"/>
            <family val="2"/>
          </rPr>
          <t>Fulton, Grace [GIR]:</t>
        </r>
        <r>
          <rPr>
            <sz val="9"/>
            <color indexed="81"/>
            <rFont val="Tahoma"/>
            <family val="2"/>
          </rPr>
          <t xml:space="preserve">
Lease payments taken out here for pre AASB16</t>
        </r>
      </text>
    </comment>
    <comment ref="P94" authorId="3" shapeId="0" xr:uid="{00000000-0006-0000-1000-000013000000}">
      <text>
        <r>
          <rPr>
            <b/>
            <sz val="9"/>
            <color indexed="81"/>
            <rFont val="Tahoma"/>
            <family val="2"/>
          </rPr>
          <t>Chandra, Ashwini [GIR]:</t>
        </r>
        <r>
          <rPr>
            <sz val="9"/>
            <color indexed="81"/>
            <rFont val="Tahoma"/>
            <family val="2"/>
          </rPr>
          <t xml:space="preserve">
Lease payments for AASB16 included here rather than in financing activities</t>
        </r>
      </text>
    </comment>
    <comment ref="B97" authorId="7" shapeId="0" xr:uid="{00000000-0006-0000-1000-000014000000}">
      <text>
        <r>
          <rPr>
            <b/>
            <sz val="9"/>
            <color indexed="81"/>
            <rFont val="Tahoma"/>
            <family val="2"/>
          </rPr>
          <t>Yeoh, Aaron [GIR]:</t>
        </r>
        <r>
          <rPr>
            <sz val="9"/>
            <color indexed="81"/>
            <rFont val="Tahoma"/>
            <family val="2"/>
          </rPr>
          <t xml:space="preserve">
A$11-13mn project capex
A$2.5-4mn in IT infrastructure</t>
        </r>
      </text>
    </comment>
    <comment ref="M98" authorId="3" shapeId="0" xr:uid="{00000000-0006-0000-1000-000015000000}">
      <text>
        <r>
          <rPr>
            <b/>
            <sz val="9"/>
            <color indexed="81"/>
            <rFont val="Tahoma"/>
            <family val="2"/>
          </rPr>
          <t>Chandra, Ashwini [GIR]:</t>
        </r>
        <r>
          <rPr>
            <sz val="9"/>
            <color indexed="81"/>
            <rFont val="Tahoma"/>
            <family val="2"/>
          </rPr>
          <t xml:space="preserve">
ChefSteps acquisition</t>
        </r>
      </text>
    </comment>
    <comment ref="P98" authorId="3" shapeId="0" xr:uid="{00000000-0006-0000-1000-000016000000}">
      <text>
        <r>
          <rPr>
            <b/>
            <sz val="9"/>
            <color indexed="81"/>
            <rFont val="Tahoma"/>
            <family val="2"/>
          </rPr>
          <t>Chandra, Ashwini [GIR]:</t>
        </r>
        <r>
          <rPr>
            <sz val="9"/>
            <color indexed="81"/>
            <rFont val="Tahoma"/>
            <family val="2"/>
          </rPr>
          <t xml:space="preserve">
ChefSteps acquisition A$13mn balance + Baratza </t>
        </r>
      </text>
    </comment>
    <comment ref="S98" authorId="0" shapeId="0" xr:uid="{00000000-0006-0000-1000-000017000000}">
      <text>
        <r>
          <rPr>
            <b/>
            <sz val="9"/>
            <color indexed="81"/>
            <rFont val="Tahoma"/>
            <family val="2"/>
          </rPr>
          <t>Deng, Lisa L [GIR]:</t>
        </r>
        <r>
          <rPr>
            <sz val="9"/>
            <color indexed="81"/>
            <rFont val="Tahoma"/>
            <family val="2"/>
          </rPr>
          <t xml:space="preserve">
LELIT Cash Acquisition </t>
        </r>
      </text>
    </comment>
    <comment ref="T98" authorId="8" shapeId="0" xr:uid="{CE172DF0-982A-40E1-B13C-A88EC4C20C39}">
      <text>
        <r>
          <rPr>
            <b/>
            <sz val="9"/>
            <color indexed="81"/>
            <rFont val="Tahoma"/>
            <family val="2"/>
          </rPr>
          <t>Leigh, James [GIR]:</t>
        </r>
        <r>
          <rPr>
            <sz val="9"/>
            <color indexed="81"/>
            <rFont val="Tahoma"/>
            <family val="2"/>
          </rPr>
          <t xml:space="preserve">
</t>
        </r>
      </text>
    </comment>
    <comment ref="N104" authorId="6" shapeId="0" xr:uid="{00000000-0006-0000-1000-000018000000}">
      <text>
        <r>
          <rPr>
            <b/>
            <sz val="9"/>
            <color indexed="81"/>
            <rFont val="Tahoma"/>
            <family val="2"/>
          </rPr>
          <t>Carran, Sophie [GIR]:</t>
        </r>
        <r>
          <rPr>
            <sz val="9"/>
            <color indexed="81"/>
            <rFont val="Tahoma"/>
            <family val="2"/>
          </rPr>
          <t xml:space="preserve">
DRP</t>
        </r>
      </text>
    </comment>
    <comment ref="B125" authorId="7" shapeId="0" xr:uid="{00000000-0006-0000-1000-000019000000}">
      <text>
        <r>
          <rPr>
            <b/>
            <sz val="9"/>
            <color indexed="81"/>
            <rFont val="Tahoma"/>
            <family val="2"/>
          </rPr>
          <t>Yeoh, Aaron [GIR]:</t>
        </r>
        <r>
          <rPr>
            <sz val="9"/>
            <color indexed="81"/>
            <rFont val="Tahoma"/>
            <family val="2"/>
          </rPr>
          <t xml:space="preserve">
increased from 1.4% to account for increased R&amp;D expense</t>
        </r>
      </text>
    </comment>
    <comment ref="B127" authorId="7" shapeId="0" xr:uid="{00000000-0006-0000-1000-00001A000000}">
      <text>
        <r>
          <rPr>
            <b/>
            <sz val="9"/>
            <color indexed="81"/>
            <rFont val="Tahoma"/>
            <family val="2"/>
          </rPr>
          <t>Yeoh, Aaron [GIR]:</t>
        </r>
        <r>
          <rPr>
            <sz val="9"/>
            <color indexed="81"/>
            <rFont val="Tahoma"/>
            <family val="2"/>
          </rPr>
          <t xml:space="preserve">
up from 1.5% 
- higher project capex 
- increased investment in IT </t>
        </r>
      </text>
    </comment>
    <comment ref="S134" authorId="3" shapeId="0" xr:uid="{00000000-0006-0000-1000-00001B000000}">
      <text>
        <r>
          <rPr>
            <b/>
            <sz val="9"/>
            <color indexed="81"/>
            <rFont val="Tahoma"/>
            <family val="2"/>
          </rPr>
          <t>Chandra, Ashwini [GIR]:</t>
        </r>
        <r>
          <rPr>
            <sz val="9"/>
            <color indexed="81"/>
            <rFont val="Tahoma"/>
            <family val="2"/>
          </rPr>
          <t xml:space="preserve">
Martin Nicholas indicated expect A$80mn normalisation of working capital of which roughly 50:50 would be split across inventory and debtors balances so have roughly increased both by A$40m each</t>
        </r>
      </text>
    </comment>
    <comment ref="S135" authorId="3" shapeId="0" xr:uid="{00000000-0006-0000-1000-00001C000000}">
      <text>
        <r>
          <rPr>
            <b/>
            <sz val="9"/>
            <color indexed="81"/>
            <rFont val="Tahoma"/>
            <family val="2"/>
          </rPr>
          <t>Chandra, Ashwini [GIR]:</t>
        </r>
        <r>
          <rPr>
            <sz val="9"/>
            <color indexed="81"/>
            <rFont val="Tahoma"/>
            <family val="2"/>
          </rPr>
          <t xml:space="preserve">
Martin Nicholas indicated expect A$80mn normalisation of working capital of which roughly 50:50 would be split across inventory and debtors balances so have roughly increased both by A$40m each</t>
        </r>
      </text>
    </comment>
    <comment ref="E142" authorId="1" shapeId="0" xr:uid="{00000000-0006-0000-1000-00001D000000}">
      <text>
        <r>
          <rPr>
            <b/>
            <sz val="9"/>
            <color indexed="81"/>
            <rFont val="Tahoma"/>
            <family val="2"/>
          </rPr>
          <t>Nair Syama, Darshana [GIR]:</t>
        </r>
        <r>
          <rPr>
            <sz val="9"/>
            <color indexed="81"/>
            <rFont val="Tahoma"/>
            <family val="2"/>
          </rPr>
          <t xml:space="preserve">
goodwill from Acquaport acquisition</t>
        </r>
      </text>
    </comment>
    <comment ref="N142" authorId="1" shapeId="0" xr:uid="{00000000-0006-0000-1000-00001E000000}">
      <text>
        <r>
          <rPr>
            <b/>
            <sz val="9"/>
            <color indexed="81"/>
            <rFont val="Tahoma"/>
            <family val="2"/>
          </rPr>
          <t>Nair Syama, Darshana [GIR]:</t>
        </r>
        <r>
          <rPr>
            <sz val="9"/>
            <color indexed="81"/>
            <rFont val="Tahoma"/>
            <family val="2"/>
          </rPr>
          <t xml:space="preserve">
78.576 goodwill recognized from Baratza acquisition</t>
        </r>
      </text>
    </comment>
    <comment ref="P142" authorId="0" shapeId="0" xr:uid="{00000000-0006-0000-1000-00001F000000}">
      <text>
        <r>
          <rPr>
            <b/>
            <sz val="9"/>
            <color indexed="81"/>
            <rFont val="Tahoma"/>
            <family val="2"/>
          </rPr>
          <t>Deng, Lisa L [GIR]:</t>
        </r>
        <r>
          <rPr>
            <sz val="9"/>
            <color indexed="81"/>
            <rFont val="Tahoma"/>
            <family val="2"/>
          </rPr>
          <t xml:space="preserve">
A$81.6m increase due to Baratza acquisition </t>
        </r>
      </text>
    </comment>
    <comment ref="P144" authorId="1" shapeId="0" xr:uid="{00000000-0006-0000-1000-000020000000}">
      <text>
        <r>
          <rPr>
            <b/>
            <sz val="9"/>
            <color indexed="81"/>
            <rFont val="Tahoma"/>
            <family val="2"/>
          </rPr>
          <t>Nair Syama, Darshana [GIR]:</t>
        </r>
        <r>
          <rPr>
            <sz val="9"/>
            <color indexed="81"/>
            <rFont val="Tahoma"/>
            <family val="2"/>
          </rPr>
          <t xml:space="preserve">
capitalized development costs 23.494</t>
        </r>
      </text>
    </comment>
    <comment ref="Q144" authorId="1" shapeId="0" xr:uid="{00000000-0006-0000-1000-000021000000}">
      <text>
        <r>
          <rPr>
            <b/>
            <sz val="9"/>
            <color indexed="81"/>
            <rFont val="Tahoma"/>
            <family val="2"/>
          </rPr>
          <t>Nair Syama, Darshana [GIR]:</t>
        </r>
        <r>
          <rPr>
            <sz val="9"/>
            <color indexed="81"/>
            <rFont val="Tahoma"/>
            <family val="2"/>
          </rPr>
          <t xml:space="preserve">
capitalized 14.741 of development costs</t>
        </r>
      </text>
    </comment>
    <comment ref="T149" authorId="0" shapeId="0" xr:uid="{00000000-0006-0000-1000-000022000000}">
      <text>
        <r>
          <rPr>
            <b/>
            <sz val="9"/>
            <color indexed="81"/>
            <rFont val="Tahoma"/>
            <family val="2"/>
          </rPr>
          <t>Deng, Lisa L [GIR]:</t>
        </r>
        <r>
          <rPr>
            <sz val="9"/>
            <color indexed="81"/>
            <rFont val="Tahoma"/>
            <family val="2"/>
          </rPr>
          <t xml:space="preserve">
LELIT Asset outside of cash component acquired. </t>
        </r>
      </text>
    </comment>
    <comment ref="V149" authorId="0" shapeId="0" xr:uid="{00000000-0006-0000-1000-000023000000}">
      <text>
        <r>
          <rPr>
            <b/>
            <sz val="9"/>
            <color indexed="81"/>
            <rFont val="Tahoma"/>
            <family val="2"/>
          </rPr>
          <t>Deng, Lisa L [GIR]:</t>
        </r>
        <r>
          <rPr>
            <sz val="9"/>
            <color indexed="81"/>
            <rFont val="Tahoma"/>
            <family val="2"/>
          </rPr>
          <t xml:space="preserve">
LELIT Assets outside of cash component acquired. </t>
        </r>
      </text>
    </comment>
    <comment ref="Z149" authorId="0" shapeId="0" xr:uid="{7CF219D8-79D6-491F-B02F-10F8B1195EFA}">
      <text>
        <r>
          <rPr>
            <b/>
            <sz val="9"/>
            <color indexed="81"/>
            <rFont val="Tahoma"/>
            <family val="2"/>
          </rPr>
          <t>Deng, Lisa L [GIR]:</t>
        </r>
        <r>
          <rPr>
            <sz val="9"/>
            <color indexed="81"/>
            <rFont val="Tahoma"/>
            <family val="2"/>
          </rPr>
          <t xml:space="preserve">
LELIT Asset outside of cash component acquired. </t>
        </r>
      </text>
    </comment>
    <comment ref="AC149" authorId="0" shapeId="0" xr:uid="{3276A94A-FB25-4868-A571-5BD2DBFE9BA8}">
      <text>
        <r>
          <rPr>
            <b/>
            <sz val="9"/>
            <color indexed="81"/>
            <rFont val="Tahoma"/>
            <family val="2"/>
          </rPr>
          <t>Deng, Lisa L [GIR]:</t>
        </r>
        <r>
          <rPr>
            <sz val="9"/>
            <color indexed="81"/>
            <rFont val="Tahoma"/>
            <family val="2"/>
          </rPr>
          <t xml:space="preserve">
LELIT Asset outside of cash component acquired. </t>
        </r>
      </text>
    </comment>
    <comment ref="AF149" authorId="0" shapeId="0" xr:uid="{BDF0E723-A8FC-46BB-87DB-429AC4DC8107}">
      <text>
        <r>
          <rPr>
            <b/>
            <sz val="9"/>
            <color indexed="81"/>
            <rFont val="Tahoma"/>
            <family val="2"/>
          </rPr>
          <t>Deng, Lisa L [GIR]:</t>
        </r>
        <r>
          <rPr>
            <sz val="9"/>
            <color indexed="81"/>
            <rFont val="Tahoma"/>
            <family val="2"/>
          </rPr>
          <t xml:space="preserve">
LELIT Asset outside of cash component acquired. </t>
        </r>
      </text>
    </comment>
    <comment ref="AI149" authorId="0" shapeId="0" xr:uid="{1326EDDF-C138-4369-A421-F9525BEF368A}">
      <text>
        <r>
          <rPr>
            <b/>
            <sz val="9"/>
            <color indexed="81"/>
            <rFont val="Tahoma"/>
            <family val="2"/>
          </rPr>
          <t>Deng, Lisa L [GIR]:</t>
        </r>
        <r>
          <rPr>
            <sz val="9"/>
            <color indexed="81"/>
            <rFont val="Tahoma"/>
            <family val="2"/>
          </rPr>
          <t xml:space="preserve">
LELIT Asset outside of cash component acquired. </t>
        </r>
      </text>
    </comment>
    <comment ref="T174" authorId="0" shapeId="0" xr:uid="{5D442340-1C90-4257-AEE9-5562FD39E854}">
      <text>
        <r>
          <rPr>
            <b/>
            <sz val="9"/>
            <color indexed="81"/>
            <rFont val="Tahoma"/>
            <family val="2"/>
          </rPr>
          <t>Deng, Lisa L [GIR]:</t>
        </r>
        <r>
          <rPr>
            <sz val="9"/>
            <color indexed="81"/>
            <rFont val="Tahoma"/>
            <family val="2"/>
          </rPr>
          <t xml:space="preserve">
includes share issuance for LELIT 55,773. </t>
        </r>
      </text>
    </comment>
    <comment ref="P182" authorId="8" shapeId="0" xr:uid="{00000000-0006-0000-1000-000025000000}">
      <text>
        <r>
          <rPr>
            <b/>
            <sz val="9"/>
            <color indexed="81"/>
            <rFont val="Tahoma"/>
            <family val="2"/>
          </rPr>
          <t>Leigh, James [GIR]:</t>
        </r>
        <r>
          <rPr>
            <sz val="9"/>
            <color indexed="81"/>
            <rFont val="Tahoma"/>
            <family val="2"/>
          </rPr>
          <t xml:space="preserve">
They guided to roughly 80m more WC than current level
</t>
        </r>
      </text>
    </comment>
    <comment ref="S182" authorId="8" shapeId="0" xr:uid="{00000000-0006-0000-1000-000026000000}">
      <text>
        <r>
          <rPr>
            <b/>
            <sz val="9"/>
            <color indexed="81"/>
            <rFont val="Tahoma"/>
            <family val="2"/>
          </rPr>
          <t>Leigh, James [GIR]:</t>
        </r>
        <r>
          <rPr>
            <sz val="9"/>
            <color indexed="81"/>
            <rFont val="Tahoma"/>
            <family val="2"/>
          </rPr>
          <t xml:space="preserve">
They guided to roughly 80m more WC than current level
</t>
        </r>
      </text>
    </comment>
    <comment ref="K220" authorId="1" shapeId="0" xr:uid="{00000000-0006-0000-1000-000027000000}">
      <text>
        <r>
          <rPr>
            <b/>
            <sz val="9"/>
            <color indexed="81"/>
            <rFont val="Tahoma"/>
            <family val="2"/>
          </rPr>
          <t>Nair Syama, Darshana [GIR]:</t>
        </r>
        <r>
          <rPr>
            <sz val="9"/>
            <color indexed="81"/>
            <rFont val="Tahoma"/>
            <family val="2"/>
          </rPr>
          <t xml:space="preserve">
increase 0.331155 from ordinary share issue for Performace share plan trust</t>
        </r>
      </text>
    </comment>
    <comment ref="M220" authorId="1" shapeId="0" xr:uid="{00000000-0006-0000-1000-000028000000}">
      <text>
        <r>
          <rPr>
            <b/>
            <sz val="9"/>
            <color indexed="81"/>
            <rFont val="Tahoma"/>
            <family val="2"/>
          </rPr>
          <t>Nair Syama, Darshana [GIR]:</t>
        </r>
        <r>
          <rPr>
            <sz val="9"/>
            <color indexed="81"/>
            <rFont val="Tahoma"/>
            <family val="2"/>
          </rPr>
          <t xml:space="preserve">
+6.1mn new shares as part of capital raise and +0.3mn as part of performance share plan trust in 1H</t>
        </r>
      </text>
    </comment>
    <comment ref="P220" authorId="1" shapeId="0" xr:uid="{00000000-0006-0000-1000-000029000000}">
      <text>
        <r>
          <rPr>
            <b/>
            <sz val="9"/>
            <color indexed="81"/>
            <rFont val="Tahoma"/>
            <family val="2"/>
          </rPr>
          <t>Nair Syama, Darshana [GIR]:</t>
        </r>
        <r>
          <rPr>
            <sz val="9"/>
            <color indexed="81"/>
            <rFont val="Tahoma"/>
            <family val="2"/>
          </rPr>
          <t xml:space="preserve">
0.4mn from rights plan, 1.09mn from DRP and 0.884mn as part of Baratza acquisition</t>
        </r>
      </text>
    </comment>
    <comment ref="S220" authorId="8" shapeId="0" xr:uid="{00000000-0006-0000-1000-00002A000000}">
      <text>
        <r>
          <rPr>
            <b/>
            <sz val="9"/>
            <color indexed="81"/>
            <rFont val="Tahoma"/>
            <family val="2"/>
          </rPr>
          <t>Leigh, James [GIR]:</t>
        </r>
        <r>
          <rPr>
            <sz val="9"/>
            <color indexed="81"/>
            <rFont val="Tahoma"/>
            <family val="2"/>
          </rPr>
          <t xml:space="preserve">
includes .418740mn rights plan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Ashwini Chandra</author>
    <author>Chandra, Ashwini [GIR]</author>
    <author>Fulton, Grace [GIR]</author>
    <author>Carran, Sophie [GIR]</author>
    <author>Nair Syama, Darshana [GIR]</author>
    <author>Deng, Lisa L [GIR]</author>
    <author>Leigh, James [GIR]</author>
  </authors>
  <commentList>
    <comment ref="B6" authorId="0" shapeId="0" xr:uid="{00000000-0006-0000-1100-000001000000}">
      <text>
        <r>
          <rPr>
            <b/>
            <sz val="9"/>
            <color indexed="81"/>
            <rFont val="Tahoma"/>
            <family val="2"/>
          </rPr>
          <t>Ashwini Chandra:</t>
        </r>
        <r>
          <rPr>
            <sz val="9"/>
            <color indexed="81"/>
            <rFont val="Tahoma"/>
            <family val="2"/>
          </rPr>
          <t xml:space="preserve">
in CCY this was  19.6%</t>
        </r>
      </text>
    </comment>
    <comment ref="D6" authorId="0" shapeId="0" xr:uid="{00000000-0006-0000-1100-000002000000}">
      <text>
        <r>
          <rPr>
            <b/>
            <sz val="9"/>
            <color indexed="81"/>
            <rFont val="Tahoma"/>
            <family val="2"/>
          </rPr>
          <t>Ashwini Chandra:</t>
        </r>
        <r>
          <rPr>
            <sz val="9"/>
            <color indexed="81"/>
            <rFont val="Tahoma"/>
            <family val="2"/>
          </rPr>
          <t xml:space="preserve">
in CCY this was 22.0% </t>
        </r>
      </text>
    </comment>
    <comment ref="B8" authorId="0" shapeId="0" xr:uid="{00000000-0006-0000-1100-000003000000}">
      <text>
        <r>
          <rPr>
            <b/>
            <sz val="9"/>
            <color indexed="81"/>
            <rFont val="Tahoma"/>
            <family val="2"/>
          </rPr>
          <t>Ashwini Chandra:</t>
        </r>
        <r>
          <rPr>
            <sz val="9"/>
            <color indexed="81"/>
            <rFont val="Tahoma"/>
            <family val="2"/>
          </rPr>
          <t xml:space="preserve">
average for the year taken from bloomberg</t>
        </r>
      </text>
    </comment>
    <comment ref="D8" authorId="0" shapeId="0" xr:uid="{00000000-0006-0000-1100-000004000000}">
      <text>
        <r>
          <rPr>
            <b/>
            <sz val="9"/>
            <color indexed="81"/>
            <rFont val="Tahoma"/>
            <family val="2"/>
          </rPr>
          <t>Ashwini Chandra:</t>
        </r>
        <r>
          <rPr>
            <sz val="9"/>
            <color indexed="81"/>
            <rFont val="Tahoma"/>
            <family val="2"/>
          </rPr>
          <t xml:space="preserve">
indicated by CFO to be 75c</t>
        </r>
      </text>
    </comment>
    <comment ref="M8" authorId="1" shapeId="0" xr:uid="{00000000-0006-0000-1100-000005000000}">
      <text>
        <r>
          <rPr>
            <b/>
            <sz val="9"/>
            <color indexed="81"/>
            <rFont val="Tahoma"/>
            <family val="2"/>
          </rPr>
          <t>Chandra, Ashwini [GIR]:</t>
        </r>
        <r>
          <rPr>
            <sz val="9"/>
            <color indexed="81"/>
            <rFont val="Tahoma"/>
            <family val="2"/>
          </rPr>
          <t xml:space="preserve">
goal seeked for this to get CCY growth to be the 11.3% BRG reported</t>
        </r>
      </text>
    </comment>
    <comment ref="B11" authorId="0" shapeId="0" xr:uid="{00000000-0006-0000-1100-000006000000}">
      <text>
        <r>
          <rPr>
            <b/>
            <sz val="9"/>
            <color indexed="81"/>
            <rFont val="Tahoma"/>
            <family val="2"/>
          </rPr>
          <t>Ashwini Chandra:</t>
        </r>
        <r>
          <rPr>
            <sz val="9"/>
            <color indexed="81"/>
            <rFont val="Tahoma"/>
            <family val="2"/>
          </rPr>
          <t xml:space="preserve">
indicated to be 10%</t>
        </r>
      </text>
    </comment>
    <comment ref="D11" authorId="0" shapeId="0" xr:uid="{00000000-0006-0000-1100-000007000000}">
      <text>
        <r>
          <rPr>
            <b/>
            <sz val="9"/>
            <color indexed="81"/>
            <rFont val="Tahoma"/>
            <family val="2"/>
          </rPr>
          <t>Ashwini Chandra:</t>
        </r>
        <r>
          <rPr>
            <sz val="9"/>
            <color indexed="81"/>
            <rFont val="Tahoma"/>
            <family val="2"/>
          </rPr>
          <t xml:space="preserve">
in CCY terms this was 9.8%</t>
        </r>
      </text>
    </comment>
    <comment ref="J11" authorId="0" shapeId="0" xr:uid="{00000000-0006-0000-1100-000008000000}">
      <text>
        <r>
          <rPr>
            <b/>
            <sz val="9"/>
            <color indexed="81"/>
            <rFont val="Tahoma"/>
            <family val="2"/>
          </rPr>
          <t>Ashwini Chandra:</t>
        </r>
        <r>
          <rPr>
            <sz val="9"/>
            <color indexed="81"/>
            <rFont val="Tahoma"/>
            <family val="2"/>
          </rPr>
          <t xml:space="preserve">
BRG discloses +12.8%</t>
        </r>
      </text>
    </comment>
    <comment ref="K11" authorId="1" shapeId="0" xr:uid="{00000000-0006-0000-1100-000009000000}">
      <text>
        <r>
          <rPr>
            <b/>
            <sz val="9"/>
            <color indexed="81"/>
            <rFont val="Tahoma"/>
            <family val="2"/>
          </rPr>
          <t>Chandra, Ashwini [GIR]:</t>
        </r>
        <r>
          <rPr>
            <sz val="9"/>
            <color indexed="81"/>
            <rFont val="Tahoma"/>
            <family val="2"/>
          </rPr>
          <t xml:space="preserve">
BRG say 14.6%</t>
        </r>
      </text>
    </comment>
    <comment ref="N11" authorId="1" shapeId="0" xr:uid="{00000000-0006-0000-1100-00000A000000}">
      <text>
        <r>
          <rPr>
            <b/>
            <sz val="9"/>
            <color indexed="81"/>
            <rFont val="Tahoma"/>
            <family val="2"/>
          </rPr>
          <t>Chandra, Ashwini [GIR]:</t>
        </r>
        <r>
          <rPr>
            <sz val="9"/>
            <color indexed="81"/>
            <rFont val="Tahoma"/>
            <family val="2"/>
          </rPr>
          <t xml:space="preserve">
BRG say29.1%
</t>
        </r>
      </text>
    </comment>
    <comment ref="D14" authorId="0" shapeId="0" xr:uid="{00000000-0006-0000-1100-00000B000000}">
      <text>
        <r>
          <rPr>
            <b/>
            <sz val="9"/>
            <color indexed="81"/>
            <rFont val="Tahoma"/>
            <family val="2"/>
          </rPr>
          <t>Ashwini Chandra:</t>
        </r>
        <r>
          <rPr>
            <sz val="9"/>
            <color indexed="81"/>
            <rFont val="Tahoma"/>
            <family val="2"/>
          </rPr>
          <t xml:space="preserve">
in CCY terms this was 9.8%</t>
        </r>
      </text>
    </comment>
    <comment ref="B16" authorId="0" shapeId="0" xr:uid="{00000000-0006-0000-1100-00000C000000}">
      <text>
        <r>
          <rPr>
            <b/>
            <sz val="9"/>
            <color indexed="81"/>
            <rFont val="Tahoma"/>
            <family val="2"/>
          </rPr>
          <t>Ashwini Chandra:</t>
        </r>
        <r>
          <rPr>
            <sz val="9"/>
            <color indexed="81"/>
            <rFont val="Tahoma"/>
            <family val="2"/>
          </rPr>
          <t xml:space="preserve">
average for the year taken from bloomberg</t>
        </r>
      </text>
    </comment>
    <comment ref="D16" authorId="0" shapeId="0" xr:uid="{00000000-0006-0000-1100-00000D000000}">
      <text>
        <r>
          <rPr>
            <b/>
            <sz val="9"/>
            <color indexed="81"/>
            <rFont val="Tahoma"/>
            <family val="2"/>
          </rPr>
          <t>Ashwini Chandra:</t>
        </r>
        <r>
          <rPr>
            <sz val="9"/>
            <color indexed="81"/>
            <rFont val="Tahoma"/>
            <family val="2"/>
          </rPr>
          <t xml:space="preserve">
average for the year taken from bloomberg</t>
        </r>
      </text>
    </comment>
    <comment ref="M16" authorId="1" shapeId="0" xr:uid="{00000000-0006-0000-1100-00000E000000}">
      <text>
        <r>
          <rPr>
            <b/>
            <sz val="9"/>
            <color indexed="81"/>
            <rFont val="Tahoma"/>
            <family val="2"/>
          </rPr>
          <t>Chandra, Ashwini [GIR]:</t>
        </r>
        <r>
          <rPr>
            <sz val="9"/>
            <color indexed="81"/>
            <rFont val="Tahoma"/>
            <family val="2"/>
          </rPr>
          <t xml:space="preserve">
actual full year average from BBG</t>
        </r>
      </text>
    </comment>
    <comment ref="B17" authorId="0" shapeId="0" xr:uid="{00000000-0006-0000-1100-00000F000000}">
      <text>
        <r>
          <rPr>
            <b/>
            <sz val="9"/>
            <color indexed="81"/>
            <rFont val="Tahoma"/>
            <family val="2"/>
          </rPr>
          <t>Ashwini Chandra:</t>
        </r>
        <r>
          <rPr>
            <sz val="9"/>
            <color indexed="81"/>
            <rFont val="Tahoma"/>
            <family val="2"/>
          </rPr>
          <t xml:space="preserve">
average for the year taken from bloomberg</t>
        </r>
      </text>
    </comment>
    <comment ref="D17" authorId="0" shapeId="0" xr:uid="{00000000-0006-0000-1100-000010000000}">
      <text>
        <r>
          <rPr>
            <b/>
            <sz val="9"/>
            <color indexed="81"/>
            <rFont val="Tahoma"/>
            <family val="2"/>
          </rPr>
          <t>Ashwini Chandra:</t>
        </r>
        <r>
          <rPr>
            <sz val="9"/>
            <color indexed="81"/>
            <rFont val="Tahoma"/>
            <family val="2"/>
          </rPr>
          <t xml:space="preserve">
average for the year taken from bloomberg</t>
        </r>
      </text>
    </comment>
    <comment ref="M17" authorId="1" shapeId="0" xr:uid="{00000000-0006-0000-1100-000011000000}">
      <text>
        <r>
          <rPr>
            <b/>
            <sz val="9"/>
            <color indexed="81"/>
            <rFont val="Tahoma"/>
            <family val="2"/>
          </rPr>
          <t>Chandra, Ashwini [GIR]:</t>
        </r>
        <r>
          <rPr>
            <sz val="9"/>
            <color indexed="81"/>
            <rFont val="Tahoma"/>
            <family val="2"/>
          </rPr>
          <t xml:space="preserve">
actual full year average from BBG</t>
        </r>
      </text>
    </comment>
    <comment ref="B23" authorId="0" shapeId="0" xr:uid="{00000000-0006-0000-1100-000012000000}">
      <text>
        <r>
          <rPr>
            <b/>
            <sz val="9"/>
            <color indexed="81"/>
            <rFont val="Tahoma"/>
            <family val="2"/>
          </rPr>
          <t>Ashwini Chandra:</t>
        </r>
        <r>
          <rPr>
            <sz val="9"/>
            <color indexed="81"/>
            <rFont val="Tahoma"/>
            <family val="2"/>
          </rPr>
          <t xml:space="preserve">
in CCY terms this was 14.8%</t>
        </r>
      </text>
    </comment>
    <comment ref="D23" authorId="0" shapeId="0" xr:uid="{00000000-0006-0000-1100-000013000000}">
      <text>
        <r>
          <rPr>
            <b/>
            <sz val="9"/>
            <color indexed="81"/>
            <rFont val="Tahoma"/>
            <family val="2"/>
          </rPr>
          <t>Ashwini Chandra:</t>
        </r>
        <r>
          <rPr>
            <sz val="9"/>
            <color indexed="81"/>
            <rFont val="Tahoma"/>
            <family val="2"/>
          </rPr>
          <t xml:space="preserve">
indicated to be 18.9% in CCY terms</t>
        </r>
      </text>
    </comment>
    <comment ref="E23" authorId="2" shapeId="0" xr:uid="{00000000-0006-0000-1100-000014000000}">
      <text>
        <r>
          <rPr>
            <b/>
            <sz val="9"/>
            <color indexed="81"/>
            <rFont val="Tahoma"/>
            <family val="2"/>
          </rPr>
          <t>Fulton, Grace [GIR]:</t>
        </r>
        <r>
          <rPr>
            <sz val="9"/>
            <color indexed="81"/>
            <rFont val="Tahoma"/>
            <family val="2"/>
          </rPr>
          <t xml:space="preserve">
Commentary says 29.5%</t>
        </r>
      </text>
    </comment>
    <comment ref="H23" authorId="0" shapeId="0" xr:uid="{00000000-0006-0000-1100-000015000000}">
      <text>
        <r>
          <rPr>
            <b/>
            <sz val="9"/>
            <color indexed="81"/>
            <rFont val="Tahoma"/>
            <family val="2"/>
          </rPr>
          <t>Ashwini Chandra:</t>
        </r>
        <r>
          <rPr>
            <sz val="9"/>
            <color indexed="81"/>
            <rFont val="Tahoma"/>
            <family val="2"/>
          </rPr>
          <t xml:space="preserve">
BRG says 32.0%</t>
        </r>
      </text>
    </comment>
    <comment ref="J23" authorId="0" shapeId="0" xr:uid="{00000000-0006-0000-1100-000016000000}">
      <text>
        <r>
          <rPr>
            <b/>
            <sz val="9"/>
            <color indexed="81"/>
            <rFont val="Tahoma"/>
            <family val="2"/>
          </rPr>
          <t>Ashwini Chandra:</t>
        </r>
        <r>
          <rPr>
            <sz val="9"/>
            <color indexed="81"/>
            <rFont val="Tahoma"/>
            <family val="2"/>
          </rPr>
          <t xml:space="preserve">
BRG says +35.1%</t>
        </r>
      </text>
    </comment>
    <comment ref="K23" authorId="1" shapeId="0" xr:uid="{00000000-0006-0000-1100-000017000000}">
      <text>
        <r>
          <rPr>
            <b/>
            <sz val="9"/>
            <color indexed="81"/>
            <rFont val="Tahoma"/>
            <family val="2"/>
          </rPr>
          <t>Chandra, Ashwini [GIR]:</t>
        </r>
        <r>
          <rPr>
            <sz val="9"/>
            <color indexed="81"/>
            <rFont val="Tahoma"/>
            <family val="2"/>
          </rPr>
          <t xml:space="preserve">
BRG say 60.0% CC growth</t>
        </r>
      </text>
    </comment>
    <comment ref="M23" authorId="2" shapeId="0" xr:uid="{00000000-0006-0000-1100-000018000000}">
      <text>
        <r>
          <rPr>
            <b/>
            <sz val="9"/>
            <color indexed="81"/>
            <rFont val="Tahoma"/>
            <family val="2"/>
          </rPr>
          <t>Fulton, Grace [GIR]:</t>
        </r>
        <r>
          <rPr>
            <sz val="9"/>
            <color indexed="81"/>
            <rFont val="Tahoma"/>
            <family val="2"/>
          </rPr>
          <t xml:space="preserve">
cc. growth given by BRG</t>
        </r>
      </text>
    </comment>
    <comment ref="N23" authorId="1" shapeId="0" xr:uid="{00000000-0006-0000-1100-000019000000}">
      <text>
        <r>
          <rPr>
            <b/>
            <sz val="9"/>
            <color indexed="81"/>
            <rFont val="Tahoma"/>
            <family val="2"/>
          </rPr>
          <t>Chandra, Ashwini [GIR]:</t>
        </r>
        <r>
          <rPr>
            <sz val="9"/>
            <color indexed="81"/>
            <rFont val="Tahoma"/>
            <family val="2"/>
          </rPr>
          <t xml:space="preserve">
BRG says 56.1% cc</t>
        </r>
      </text>
    </comment>
    <comment ref="J27" authorId="0" shapeId="0" xr:uid="{00000000-0006-0000-1100-00001A000000}">
      <text>
        <r>
          <rPr>
            <b/>
            <sz val="9"/>
            <color indexed="81"/>
            <rFont val="Tahoma"/>
            <family val="2"/>
          </rPr>
          <t>Ashwini Chandra:</t>
        </r>
        <r>
          <rPr>
            <sz val="9"/>
            <color indexed="81"/>
            <rFont val="Tahoma"/>
            <family val="2"/>
          </rPr>
          <t xml:space="preserve">
BRG say -17.7% but as I link this to USD we can't get same exact outcome
This negative number was driven by Russia. Ex Russia decline, ROW was mean to be +14.2%</t>
        </r>
      </text>
    </comment>
    <comment ref="M27" authorId="2" shapeId="0" xr:uid="{00000000-0006-0000-1100-00001B000000}">
      <text>
        <r>
          <rPr>
            <b/>
            <sz val="9"/>
            <color indexed="81"/>
            <rFont val="Tahoma"/>
            <family val="2"/>
          </rPr>
          <t>Fulton, Grace [GIR]:</t>
        </r>
        <r>
          <rPr>
            <sz val="9"/>
            <color indexed="81"/>
            <rFont val="Tahoma"/>
            <family val="2"/>
          </rPr>
          <t xml:space="preserve">
BRG reported this as 25.6%, linked just to USD so not precise match</t>
        </r>
      </text>
    </comment>
    <comment ref="N27" authorId="3" shapeId="0" xr:uid="{00000000-0006-0000-1100-00001C000000}">
      <text>
        <r>
          <rPr>
            <b/>
            <sz val="9"/>
            <color indexed="81"/>
            <rFont val="Tahoma"/>
            <family val="2"/>
          </rPr>
          <t>Carran, Sophie [GIR]:</t>
        </r>
        <r>
          <rPr>
            <sz val="9"/>
            <color indexed="81"/>
            <rFont val="Tahoma"/>
            <family val="2"/>
          </rPr>
          <t xml:space="preserve">
Guess, in line with what was reported for APAC as a whole</t>
        </r>
      </text>
    </comment>
    <comment ref="B37" authorId="0" shapeId="0" xr:uid="{00000000-0006-0000-1100-00001D000000}">
      <text>
        <r>
          <rPr>
            <b/>
            <sz val="9"/>
            <color indexed="81"/>
            <rFont val="Tahoma"/>
            <family val="2"/>
          </rPr>
          <t>Ashwini Chandra:</t>
        </r>
        <r>
          <rPr>
            <sz val="9"/>
            <color indexed="81"/>
            <rFont val="Tahoma"/>
            <family val="2"/>
          </rPr>
          <t xml:space="preserve">
average for the year taken from bloomberg</t>
        </r>
      </text>
    </comment>
    <comment ref="D37" authorId="0" shapeId="0" xr:uid="{00000000-0006-0000-1100-00001E000000}">
      <text>
        <r>
          <rPr>
            <b/>
            <sz val="9"/>
            <color indexed="81"/>
            <rFont val="Tahoma"/>
            <family val="2"/>
          </rPr>
          <t>Ashwini Chandra:</t>
        </r>
        <r>
          <rPr>
            <sz val="9"/>
            <color indexed="81"/>
            <rFont val="Tahoma"/>
            <family val="2"/>
          </rPr>
          <t xml:space="preserve">
indicated by CFO to be 75c</t>
        </r>
      </text>
    </comment>
    <comment ref="M37" authorId="1" shapeId="0" xr:uid="{00000000-0006-0000-1100-00001F000000}">
      <text>
        <r>
          <rPr>
            <b/>
            <sz val="9"/>
            <color indexed="81"/>
            <rFont val="Tahoma"/>
            <family val="2"/>
          </rPr>
          <t>Chandra, Ashwini [GIR]:</t>
        </r>
        <r>
          <rPr>
            <sz val="9"/>
            <color indexed="81"/>
            <rFont val="Tahoma"/>
            <family val="2"/>
          </rPr>
          <t xml:space="preserve">
goal seeked for this to get CCY growth to be the 11.3% BRG reported</t>
        </r>
      </text>
    </comment>
    <comment ref="B40" authorId="0" shapeId="0" xr:uid="{00000000-0006-0000-1100-000020000000}">
      <text>
        <r>
          <rPr>
            <b/>
            <sz val="9"/>
            <color indexed="81"/>
            <rFont val="Tahoma"/>
            <family val="2"/>
          </rPr>
          <t>Ashwini Chandra:</t>
        </r>
        <r>
          <rPr>
            <sz val="9"/>
            <color indexed="81"/>
            <rFont val="Tahoma"/>
            <family val="2"/>
          </rPr>
          <t xml:space="preserve">
indicated to be 10%</t>
        </r>
      </text>
    </comment>
    <comment ref="D40" authorId="0" shapeId="0" xr:uid="{00000000-0006-0000-1100-000021000000}">
      <text>
        <r>
          <rPr>
            <b/>
            <sz val="9"/>
            <color indexed="81"/>
            <rFont val="Tahoma"/>
            <family val="2"/>
          </rPr>
          <t>Ashwini Chandra:</t>
        </r>
        <r>
          <rPr>
            <sz val="9"/>
            <color indexed="81"/>
            <rFont val="Tahoma"/>
            <family val="2"/>
          </rPr>
          <t xml:space="preserve">
in CCY terms this was 9.8%</t>
        </r>
      </text>
    </comment>
    <comment ref="J40" authorId="0" shapeId="0" xr:uid="{00000000-0006-0000-1100-000022000000}">
      <text>
        <r>
          <rPr>
            <b/>
            <sz val="9"/>
            <color indexed="81"/>
            <rFont val="Tahoma"/>
            <family val="2"/>
          </rPr>
          <t>Ashwini Chandra:</t>
        </r>
        <r>
          <rPr>
            <sz val="9"/>
            <color indexed="81"/>
            <rFont val="Tahoma"/>
            <family val="2"/>
          </rPr>
          <t xml:space="preserve">
BRG discloses +12.8%</t>
        </r>
      </text>
    </comment>
    <comment ref="K40" authorId="1" shapeId="0" xr:uid="{00000000-0006-0000-1100-000023000000}">
      <text>
        <r>
          <rPr>
            <b/>
            <sz val="9"/>
            <color indexed="81"/>
            <rFont val="Tahoma"/>
            <family val="2"/>
          </rPr>
          <t>Chandra, Ashwini [GIR]:</t>
        </r>
        <r>
          <rPr>
            <sz val="9"/>
            <color indexed="81"/>
            <rFont val="Tahoma"/>
            <family val="2"/>
          </rPr>
          <t xml:space="preserve">
BRG say 14.6%</t>
        </r>
      </text>
    </comment>
    <comment ref="N40" authorId="1" shapeId="0" xr:uid="{00000000-0006-0000-1100-000024000000}">
      <text>
        <r>
          <rPr>
            <b/>
            <sz val="9"/>
            <color indexed="81"/>
            <rFont val="Tahoma"/>
            <family val="2"/>
          </rPr>
          <t>Chandra, Ashwini [GIR]:</t>
        </r>
        <r>
          <rPr>
            <sz val="9"/>
            <color indexed="81"/>
            <rFont val="Tahoma"/>
            <family val="2"/>
          </rPr>
          <t xml:space="preserve">
BRG say 29.1% constant currency</t>
        </r>
      </text>
    </comment>
    <comment ref="P40" authorId="1" shapeId="0" xr:uid="{00000000-0006-0000-1100-000025000000}">
      <text>
        <r>
          <rPr>
            <b/>
            <sz val="9"/>
            <color indexed="81"/>
            <rFont val="Tahoma"/>
            <family val="2"/>
          </rPr>
          <t>Chandra, Ashwini [GIR]:</t>
        </r>
        <r>
          <rPr>
            <sz val="9"/>
            <color indexed="81"/>
            <rFont val="Tahoma"/>
            <family val="2"/>
          </rPr>
          <t xml:space="preserve">
CC growth rate 27.6%</t>
        </r>
      </text>
    </comment>
    <comment ref="Q40" authorId="4" shapeId="0" xr:uid="{00000000-0006-0000-1100-000026000000}">
      <text>
        <r>
          <rPr>
            <b/>
            <sz val="9"/>
            <color indexed="81"/>
            <rFont val="Tahoma"/>
            <family val="2"/>
          </rPr>
          <t>Nair Syama, Darshana [GIR]:</t>
        </r>
        <r>
          <rPr>
            <sz val="9"/>
            <color indexed="81"/>
            <rFont val="Tahoma"/>
            <family val="2"/>
          </rPr>
          <t xml:space="preserve">
Constant currency +17.1%</t>
        </r>
      </text>
    </comment>
    <comment ref="V40" authorId="5" shapeId="0" xr:uid="{00000000-0006-0000-1100-000027000000}">
      <text>
        <r>
          <rPr>
            <b/>
            <sz val="9"/>
            <color indexed="81"/>
            <rFont val="Tahoma"/>
            <family val="2"/>
          </rPr>
          <t>Deng, Lisa L [GIR]:</t>
        </r>
        <r>
          <rPr>
            <sz val="9"/>
            <color indexed="81"/>
            <rFont val="Tahoma"/>
            <family val="2"/>
          </rPr>
          <t xml:space="preserve">
end retail consumption is probably still ok, would be good if no growth on peak and not decline, retailers likely de-stocking. </t>
        </r>
      </text>
    </comment>
    <comment ref="X40" authorId="5" shapeId="0" xr:uid="{4329D45F-5B80-40A5-B948-25FABE457D3C}">
      <text>
        <r>
          <rPr>
            <b/>
            <sz val="9"/>
            <color indexed="81"/>
            <rFont val="Tahoma"/>
            <family val="2"/>
          </rPr>
          <t>Deng, Lisa L [GIR]:</t>
        </r>
        <r>
          <rPr>
            <sz val="9"/>
            <color indexed="81"/>
            <rFont val="Tahoma"/>
            <family val="2"/>
          </rPr>
          <t xml:space="preserve">
anticipate 1000 doors of Target entry. </t>
        </r>
      </text>
    </comment>
    <comment ref="Y40" authorId="5" shapeId="0" xr:uid="{C7CCD313-E75B-47CF-9FB7-4A1EBA8610E6}">
      <text>
        <r>
          <rPr>
            <b/>
            <sz val="9"/>
            <color indexed="81"/>
            <rFont val="Tahoma"/>
            <family val="2"/>
          </rPr>
          <t>Deng, Lisa L [GIR]:</t>
        </r>
        <r>
          <rPr>
            <sz val="9"/>
            <color indexed="81"/>
            <rFont val="Tahoma"/>
            <family val="2"/>
          </rPr>
          <t xml:space="preserve">
1H24 mgmt: the net impact of -BBB and + Target should be positive on the full year. </t>
        </r>
      </text>
    </comment>
    <comment ref="Z40" authorId="5" shapeId="0" xr:uid="{609EAAA8-0E2C-4AD9-86F8-3A59CC414A23}">
      <text>
        <r>
          <rPr>
            <b/>
            <sz val="9"/>
            <color indexed="81"/>
            <rFont val="Tahoma"/>
            <family val="2"/>
          </rPr>
          <t>Deng, Lisa L [GIR]:</t>
        </r>
        <r>
          <rPr>
            <sz val="9"/>
            <color indexed="81"/>
            <rFont val="Tahoma"/>
            <family val="2"/>
          </rPr>
          <t xml:space="preserve">
US growth rate above this, slightly hit by Canada Hudson Bay. </t>
        </r>
      </text>
    </comment>
    <comment ref="A42" authorId="1" shapeId="0" xr:uid="{00000000-0006-0000-1100-000028000000}">
      <text>
        <r>
          <rPr>
            <b/>
            <sz val="9"/>
            <color indexed="81"/>
            <rFont val="Tahoma"/>
            <family val="2"/>
          </rPr>
          <t>Chandra, Ashwini [GIR]:</t>
        </r>
        <r>
          <rPr>
            <sz val="9"/>
            <color indexed="81"/>
            <rFont val="Tahoma"/>
            <family val="2"/>
          </rPr>
          <t xml:space="preserve">
All countries in North, Central and South America</t>
        </r>
      </text>
    </comment>
    <comment ref="P42" authorId="5" shapeId="0" xr:uid="{00000000-0006-0000-1100-000029000000}">
      <text>
        <r>
          <rPr>
            <b/>
            <sz val="9"/>
            <color indexed="81"/>
            <rFont val="Tahoma"/>
            <family val="2"/>
          </rPr>
          <t>Deng, Lisa L [GIR]:</t>
        </r>
        <r>
          <rPr>
            <sz val="9"/>
            <color indexed="81"/>
            <rFont val="Tahoma"/>
            <family val="2"/>
          </rPr>
          <t xml:space="preserve">
entered into Mexico May 2021</t>
        </r>
      </text>
    </comment>
    <comment ref="U42" authorId="5" shapeId="0" xr:uid="{06156E8C-AA66-4E9E-8B07-BB1861A352B9}">
      <text>
        <r>
          <rPr>
            <b/>
            <sz val="9"/>
            <color indexed="81"/>
            <rFont val="Tahoma"/>
            <family val="2"/>
          </rPr>
          <t>Deng, Lisa L [GIR]:</t>
        </r>
        <r>
          <rPr>
            <sz val="9"/>
            <color indexed="81"/>
            <rFont val="Tahoma"/>
            <family val="2"/>
          </rPr>
          <t xml:space="preserve">
zero-sell in to Bed Bath &amp; BeYond. </t>
        </r>
      </text>
    </comment>
    <comment ref="Z43" authorId="5" shapeId="0" xr:uid="{602CAECA-E961-4637-AE48-EE2AF4C51B68}">
      <text>
        <r>
          <rPr>
            <b/>
            <sz val="9"/>
            <color indexed="81"/>
            <rFont val="Tahoma"/>
            <family val="2"/>
          </rPr>
          <t>Deng, Lisa L [GIR]:</t>
        </r>
        <r>
          <rPr>
            <sz val="9"/>
            <color indexed="81"/>
            <rFont val="Tahoma"/>
            <family val="2"/>
          </rPr>
          <t xml:space="preserve">
comping negative BBB impact. </t>
        </r>
      </text>
    </comment>
    <comment ref="AC43" authorId="5" shapeId="0" xr:uid="{C4D3462F-A73D-4933-94AB-E7BA3C3F03F4}">
      <text>
        <r>
          <rPr>
            <b/>
            <sz val="9"/>
            <color indexed="81"/>
            <rFont val="Tahoma"/>
            <family val="2"/>
          </rPr>
          <t>Deng, Lisa L [GIR]:</t>
        </r>
        <r>
          <rPr>
            <sz val="9"/>
            <color indexed="81"/>
            <rFont val="Tahoma"/>
            <family val="2"/>
          </rPr>
          <t xml:space="preserve">
comping negative BBB impact. </t>
        </r>
      </text>
    </comment>
    <comment ref="AF43" authorId="5" shapeId="0" xr:uid="{7D0BD956-560F-4DE4-A463-0C6FDFC8FCD1}">
      <text>
        <r>
          <rPr>
            <b/>
            <sz val="9"/>
            <color indexed="81"/>
            <rFont val="Tahoma"/>
            <family val="2"/>
          </rPr>
          <t>Deng, Lisa L [GIR]:</t>
        </r>
        <r>
          <rPr>
            <sz val="9"/>
            <color indexed="81"/>
            <rFont val="Tahoma"/>
            <family val="2"/>
          </rPr>
          <t xml:space="preserve">
comping negative BBB impact. </t>
        </r>
      </text>
    </comment>
    <comment ref="AI43" authorId="5" shapeId="0" xr:uid="{C7F75049-8866-4EF8-9041-156089BC6150}">
      <text>
        <r>
          <rPr>
            <b/>
            <sz val="9"/>
            <color indexed="81"/>
            <rFont val="Tahoma"/>
            <family val="2"/>
          </rPr>
          <t>Deng, Lisa L [GIR]:</t>
        </r>
        <r>
          <rPr>
            <sz val="9"/>
            <color indexed="81"/>
            <rFont val="Tahoma"/>
            <family val="2"/>
          </rPr>
          <t xml:space="preserve">
comping negative BBB impact. </t>
        </r>
      </text>
    </comment>
    <comment ref="N45" authorId="3" shapeId="0" xr:uid="{00000000-0006-0000-1100-00002A000000}">
      <text>
        <r>
          <rPr>
            <b/>
            <sz val="9"/>
            <color indexed="81"/>
            <rFont val="Tahoma"/>
            <family val="2"/>
          </rPr>
          <t>Carran, Sophie [GIR]:</t>
        </r>
        <r>
          <rPr>
            <sz val="9"/>
            <color indexed="81"/>
            <rFont val="Tahoma"/>
            <family val="2"/>
          </rPr>
          <t xml:space="preserve">
FX rate implied</t>
        </r>
      </text>
    </comment>
    <comment ref="N48" authorId="3" shapeId="0" xr:uid="{00000000-0006-0000-1100-00002B000000}">
      <text>
        <r>
          <rPr>
            <b/>
            <sz val="9"/>
            <color indexed="81"/>
            <rFont val="Tahoma"/>
            <family val="2"/>
          </rPr>
          <t>Carran, Sophie [GIR]:</t>
        </r>
        <r>
          <rPr>
            <sz val="9"/>
            <color indexed="81"/>
            <rFont val="Tahoma"/>
            <family val="2"/>
          </rPr>
          <t xml:space="preserve">
BRG says 49.7%</t>
        </r>
      </text>
    </comment>
    <comment ref="P48" authorId="1" shapeId="0" xr:uid="{00000000-0006-0000-1100-00002C000000}">
      <text>
        <r>
          <rPr>
            <b/>
            <sz val="9"/>
            <color indexed="81"/>
            <rFont val="Tahoma"/>
            <family val="2"/>
          </rPr>
          <t>Chandra, Ashwini [GIR]:</t>
        </r>
        <r>
          <rPr>
            <sz val="9"/>
            <color indexed="81"/>
            <rFont val="Tahoma"/>
            <family val="2"/>
          </rPr>
          <t xml:space="preserve">
CC growth indicated to be 37.4%</t>
        </r>
      </text>
    </comment>
    <comment ref="Q48" authorId="4" shapeId="0" xr:uid="{00000000-0006-0000-1100-00002D000000}">
      <text>
        <r>
          <rPr>
            <b/>
            <sz val="9"/>
            <color indexed="81"/>
            <rFont val="Tahoma"/>
            <family val="2"/>
          </rPr>
          <t>Nair Syama, Darshana [GIR]:</t>
        </r>
        <r>
          <rPr>
            <sz val="9"/>
            <color indexed="81"/>
            <rFont val="Tahoma"/>
            <family val="2"/>
          </rPr>
          <t xml:space="preserve">
constant currency growth</t>
        </r>
      </text>
    </comment>
    <comment ref="W48" authorId="5" shapeId="0" xr:uid="{B1B484D6-CC2B-4A3F-BA82-342033866AC4}">
      <text>
        <r>
          <rPr>
            <b/>
            <sz val="9"/>
            <color indexed="81"/>
            <rFont val="Tahoma"/>
            <family val="2"/>
          </rPr>
          <t>Deng, Lisa L [GIR]:</t>
        </r>
        <r>
          <rPr>
            <sz val="9"/>
            <color indexed="81"/>
            <rFont val="Tahoma"/>
            <family val="2"/>
          </rPr>
          <t xml:space="preserve">
1H24 mgmt: South Korea and China was positive, NZ was "ok" and ANZ was high single digit negative. 1Q negative while 2Q is positive with Black Friday and Xmas. Didn't discount more than normal. </t>
        </r>
      </text>
    </comment>
    <comment ref="AH48" authorId="5" shapeId="0" xr:uid="{00000000-0006-0000-1100-00002E000000}">
      <text>
        <r>
          <rPr>
            <b/>
            <sz val="9"/>
            <color indexed="81"/>
            <rFont val="Tahoma"/>
            <family val="2"/>
          </rPr>
          <t>Deng, Lisa L [GIR]:</t>
        </r>
        <r>
          <rPr>
            <sz val="9"/>
            <color indexed="81"/>
            <rFont val="Tahoma"/>
            <family val="2"/>
          </rPr>
          <t xml:space="preserve">
scaled in North Asia </t>
        </r>
      </text>
    </comment>
    <comment ref="S49" authorId="5" shapeId="0" xr:uid="{00000000-0006-0000-1100-00002F000000}">
      <text>
        <r>
          <rPr>
            <b/>
            <sz val="9"/>
            <color indexed="81"/>
            <rFont val="Tahoma"/>
            <family val="2"/>
          </rPr>
          <t>Deng, Lisa L [GIR]:</t>
        </r>
        <r>
          <rPr>
            <sz val="9"/>
            <color indexed="81"/>
            <rFont val="Tahoma"/>
            <family val="2"/>
          </rPr>
          <t xml:space="preserve">
Entry into South Korea in 2Q22. </t>
        </r>
      </text>
    </comment>
    <comment ref="U50" authorId="5" shapeId="0" xr:uid="{4D3C44D0-2EA0-4E58-BECF-F9690CFAF64C}">
      <text>
        <r>
          <rPr>
            <b/>
            <sz val="9"/>
            <color indexed="81"/>
            <rFont val="Tahoma"/>
            <family val="2"/>
          </rPr>
          <t>Deng, Lisa L [GIR]:</t>
        </r>
        <r>
          <rPr>
            <sz val="9"/>
            <color indexed="81"/>
            <rFont val="Tahoma"/>
            <family val="2"/>
          </rPr>
          <t xml:space="preserve">
sell-out growth strong with market share gains in ANZ supported by NPD launches. Asia contributed strongly with South Korea early performance. </t>
        </r>
      </text>
    </comment>
    <comment ref="X50" authorId="5" shapeId="0" xr:uid="{124A9D1F-FD8D-452C-9F6B-DE8DC810A9FB}">
      <text>
        <r>
          <rPr>
            <b/>
            <sz val="9"/>
            <color indexed="81"/>
            <rFont val="Tahoma"/>
            <family val="2"/>
          </rPr>
          <t>Deng, Lisa L [GIR]:</t>
        </r>
        <r>
          <rPr>
            <sz val="9"/>
            <color indexed="81"/>
            <rFont val="Tahoma"/>
            <family val="2"/>
          </rPr>
          <t xml:space="preserve">
ANZ was mid-single digit down, exit rates were stronger 
SK strong - larger than NZ from GP dollars 
All other non direct markets were down as distributors not restocking.
</t>
        </r>
      </text>
    </comment>
    <comment ref="Z50" authorId="5" shapeId="0" xr:uid="{681F22D7-0E01-45C9-93B1-91B574E3D828}">
      <text>
        <r>
          <rPr>
            <b/>
            <sz val="9"/>
            <color indexed="81"/>
            <rFont val="Tahoma"/>
            <family val="2"/>
          </rPr>
          <t>Deng, Lisa L [GIR]:</t>
        </r>
        <r>
          <rPr>
            <sz val="9"/>
            <color indexed="81"/>
            <rFont val="Tahoma"/>
            <family val="2"/>
          </rPr>
          <t xml:space="preserve">
ANZ was low teens (Gse) due to rebound of distributors and cooking. SK is growing significantly above APAC numbers. </t>
        </r>
      </text>
    </comment>
    <comment ref="M52" authorId="1" shapeId="0" xr:uid="{00000000-0006-0000-1100-000030000000}">
      <text>
        <r>
          <rPr>
            <b/>
            <sz val="9"/>
            <color indexed="81"/>
            <rFont val="Tahoma"/>
            <family val="2"/>
          </rPr>
          <t>Chandra, Ashwini [GIR]:</t>
        </r>
        <r>
          <rPr>
            <sz val="9"/>
            <color indexed="81"/>
            <rFont val="Tahoma"/>
            <family val="2"/>
          </rPr>
          <t xml:space="preserve">
actual full year average from BBG</t>
        </r>
      </text>
    </comment>
    <comment ref="N52" authorId="3" shapeId="0" xr:uid="{00000000-0006-0000-1100-000031000000}">
      <text>
        <r>
          <rPr>
            <b/>
            <sz val="9"/>
            <color indexed="81"/>
            <rFont val="Tahoma"/>
            <family val="2"/>
          </rPr>
          <t>Carran, Sophie [GIR]:</t>
        </r>
        <r>
          <rPr>
            <sz val="9"/>
            <color indexed="81"/>
            <rFont val="Tahoma"/>
            <family val="2"/>
          </rPr>
          <t xml:space="preserve">
Implied based on CC growth rate</t>
        </r>
      </text>
    </comment>
    <comment ref="P55" authorId="1" shapeId="0" xr:uid="{00000000-0006-0000-1100-000035000000}">
      <text>
        <r>
          <rPr>
            <b/>
            <sz val="9"/>
            <color indexed="81"/>
            <rFont val="Tahoma"/>
            <family val="2"/>
          </rPr>
          <t>Chandra, Ashwini [GIR]:</t>
        </r>
        <r>
          <rPr>
            <sz val="9"/>
            <color indexed="81"/>
            <rFont val="Tahoma"/>
            <family val="2"/>
          </rPr>
          <t xml:space="preserve">
58.4%</t>
        </r>
      </text>
    </comment>
    <comment ref="S55" authorId="5" shapeId="0" xr:uid="{00000000-0006-0000-1100-000036000000}">
      <text>
        <r>
          <rPr>
            <b/>
            <sz val="9"/>
            <color indexed="81"/>
            <rFont val="Tahoma"/>
            <family val="2"/>
          </rPr>
          <t>Deng, Lisa L [GIR]:</t>
        </r>
        <r>
          <rPr>
            <sz val="9"/>
            <color indexed="81"/>
            <rFont val="Tahoma"/>
            <family val="2"/>
          </rPr>
          <t xml:space="preserve">
Europe softer both from sell-out and sell-in perspective, CFO June 2022</t>
        </r>
      </text>
    </comment>
    <comment ref="Y55" authorId="5" shapeId="0" xr:uid="{CA5B7B9D-1D7A-4F99-9C96-82E83220699B}">
      <text>
        <r>
          <rPr>
            <b/>
            <sz val="9"/>
            <color indexed="81"/>
            <rFont val="Tahoma"/>
            <family val="2"/>
          </rPr>
          <t>Deng, Lisa L [GIR]:</t>
        </r>
        <r>
          <rPr>
            <sz val="9"/>
            <color indexed="81"/>
            <rFont val="Tahoma"/>
            <family val="2"/>
          </rPr>
          <t xml:space="preserve">
1H24 mgmt ~20% of sales from indirect, dragging on saels due to larger pool of inventory to destock. Expect to cycle through in 1H. </t>
        </r>
      </text>
    </comment>
    <comment ref="P56" authorId="5" shapeId="0" xr:uid="{00000000-0006-0000-1100-000038000000}">
      <text>
        <r>
          <rPr>
            <b/>
            <sz val="9"/>
            <color indexed="81"/>
            <rFont val="Tahoma"/>
            <family val="2"/>
          </rPr>
          <t>Deng, Lisa L [GIR]:</t>
        </r>
        <r>
          <rPr>
            <sz val="9"/>
            <color indexed="81"/>
            <rFont val="Tahoma"/>
            <family val="2"/>
          </rPr>
          <t xml:space="preserve">
entry into Franch 1Q, entry into Portugal and Italy 4Q. </t>
        </r>
      </text>
    </comment>
    <comment ref="V56" authorId="5" shapeId="0" xr:uid="{1670A7F2-D0F7-4A3B-901A-BAE443DA9BF3}">
      <text>
        <r>
          <rPr>
            <b/>
            <sz val="9"/>
            <color indexed="81"/>
            <rFont val="Tahoma"/>
            <family val="2"/>
          </rPr>
          <t>Deng, Lisa L [GIR]:</t>
        </r>
        <r>
          <rPr>
            <sz val="9"/>
            <color indexed="81"/>
            <rFont val="Tahoma"/>
            <family val="2"/>
          </rPr>
          <t xml:space="preserve">
includes A$64.5mn of Lelit acquired sales. Organic growth -25% YOY. </t>
        </r>
      </text>
    </comment>
    <comment ref="Z64" authorId="5" shapeId="0" xr:uid="{DADBCDCA-707F-49B2-B9D6-01349AD353C0}">
      <text>
        <r>
          <rPr>
            <b/>
            <sz val="9"/>
            <color indexed="81"/>
            <rFont val="Tahoma"/>
            <family val="2"/>
          </rPr>
          <t>Deng, Lisa L [GIR]:</t>
        </r>
        <r>
          <rPr>
            <sz val="9"/>
            <color indexed="81"/>
            <rFont val="Tahoma"/>
            <family val="2"/>
          </rPr>
          <t xml:space="preserve">
slightly weaker YoY due to 1) freight to EMEA and 2) weaker AUD. </t>
        </r>
      </text>
    </comment>
    <comment ref="AF64" authorId="6" shapeId="0" xr:uid="{9AFE3FA8-1E08-46E7-93A4-B74A5E060833}">
      <text>
        <r>
          <rPr>
            <b/>
            <sz val="9"/>
            <color indexed="81"/>
            <rFont val="Tahoma"/>
            <family val="2"/>
          </rPr>
          <t>Leigh, James [GIR]:</t>
        </r>
        <r>
          <rPr>
            <sz val="9"/>
            <color indexed="81"/>
            <rFont val="Tahoma"/>
            <family val="2"/>
          </rPr>
          <t xml:space="preserve">
Per sensitivity 2.4Z% impact</t>
        </r>
      </text>
    </comment>
    <comment ref="M71" authorId="1" shapeId="0" xr:uid="{00000000-0006-0000-1100-00003A000000}">
      <text>
        <r>
          <rPr>
            <b/>
            <sz val="9"/>
            <color indexed="81"/>
            <rFont val="Tahoma"/>
            <family val="2"/>
          </rPr>
          <t xml:space="preserve">Normalized segment EBIT per FY21 investor preso </t>
        </r>
      </text>
    </comment>
    <comment ref="P71" authorId="1" shapeId="0" xr:uid="{00000000-0006-0000-1100-00003B000000}">
      <text>
        <r>
          <rPr>
            <b/>
            <sz val="9"/>
            <color indexed="81"/>
            <rFont val="Tahoma"/>
            <family val="2"/>
          </rPr>
          <t>Chandra, Ashwini [GIR]:</t>
        </r>
        <r>
          <rPr>
            <sz val="9"/>
            <color indexed="81"/>
            <rFont val="Tahoma"/>
            <family val="2"/>
          </rPr>
          <t xml:space="preserve">
From segmentals (Note 2 to accounts)
A$111.109mn</t>
        </r>
      </text>
    </comment>
    <comment ref="S71" authorId="6" shapeId="0" xr:uid="{00000000-0006-0000-1100-00003C000000}">
      <text>
        <r>
          <rPr>
            <b/>
            <sz val="9"/>
            <color indexed="81"/>
            <rFont val="Tahoma"/>
            <family val="2"/>
          </rPr>
          <t>Leigh, James [GIR]:</t>
        </r>
        <r>
          <rPr>
            <sz val="9"/>
            <color indexed="81"/>
            <rFont val="Tahoma"/>
            <family val="2"/>
          </rPr>
          <t xml:space="preserve">
Not provided like it has been historically.</t>
        </r>
      </text>
    </comment>
    <comment ref="T71" authorId="6" shapeId="0" xr:uid="{FBDC382A-92F9-4C05-A386-06FC025EBDD4}">
      <text>
        <r>
          <rPr>
            <b/>
            <sz val="9"/>
            <color indexed="81"/>
            <rFont val="Tahoma"/>
            <family val="2"/>
          </rPr>
          <t>Leigh, James [GIR]:</t>
        </r>
        <r>
          <rPr>
            <sz val="9"/>
            <color indexed="81"/>
            <rFont val="Tahoma"/>
            <family val="2"/>
          </rPr>
          <t xml:space="preserve">
Not provided like it has been historically.</t>
        </r>
      </text>
    </comment>
    <comment ref="V71" authorId="6" shapeId="0" xr:uid="{5C3C61BB-26DC-4EB6-A8D0-382F5CFC4079}">
      <text>
        <r>
          <rPr>
            <b/>
            <sz val="9"/>
            <color indexed="81"/>
            <rFont val="Tahoma"/>
            <family val="2"/>
          </rPr>
          <t>Leigh, James [GIR]:</t>
        </r>
        <r>
          <rPr>
            <sz val="9"/>
            <color indexed="81"/>
            <rFont val="Tahoma"/>
            <family val="2"/>
          </rPr>
          <t xml:space="preserve">
Not provided like it has been historically.</t>
        </r>
      </text>
    </comment>
    <comment ref="W71" authorId="6" shapeId="0" xr:uid="{88C21549-709A-4F33-96B0-24D2DDAB5524}">
      <text>
        <r>
          <rPr>
            <b/>
            <sz val="9"/>
            <color indexed="81"/>
            <rFont val="Tahoma"/>
            <family val="2"/>
          </rPr>
          <t>Leigh, James [GIR]:</t>
        </r>
        <r>
          <rPr>
            <sz val="9"/>
            <color indexed="81"/>
            <rFont val="Tahoma"/>
            <family val="2"/>
          </rPr>
          <t xml:space="preserve">
Not provided like it has been historically.</t>
        </r>
      </text>
    </comment>
    <comment ref="U73" authorId="5" shapeId="0" xr:uid="{00000000-0006-0000-1100-00003D000000}">
      <text>
        <r>
          <rPr>
            <b/>
            <sz val="9"/>
            <color indexed="81"/>
            <rFont val="Tahoma"/>
            <family val="2"/>
          </rPr>
          <t>Deng, Lisa L [GIR]:</t>
        </r>
        <r>
          <rPr>
            <sz val="9"/>
            <color indexed="81"/>
            <rFont val="Tahoma"/>
            <family val="2"/>
          </rPr>
          <t xml:space="preserve">
alleviation of shipping cost pressure. </t>
        </r>
      </text>
    </comment>
    <comment ref="M84" authorId="1" shapeId="0" xr:uid="{00000000-0006-0000-1100-00003F000000}">
      <text>
        <r>
          <rPr>
            <b/>
            <sz val="9"/>
            <color indexed="81"/>
            <rFont val="Tahoma"/>
            <family val="2"/>
          </rPr>
          <t xml:space="preserve">Normalized segment EBIT per FY21 investor preso </t>
        </r>
      </text>
    </comment>
    <comment ref="P84" authorId="1" shapeId="0" xr:uid="{00000000-0006-0000-1100-000040000000}">
      <text>
        <r>
          <rPr>
            <b/>
            <sz val="9"/>
            <color indexed="81"/>
            <rFont val="Tahoma"/>
            <family val="2"/>
          </rPr>
          <t>Chandra, Ashwini [GIR]:</t>
        </r>
        <r>
          <rPr>
            <sz val="9"/>
            <color indexed="81"/>
            <rFont val="Tahoma"/>
            <family val="2"/>
          </rPr>
          <t xml:space="preserve">
A$25.321mn from segmentals</t>
        </r>
      </text>
    </comment>
    <comment ref="S84" authorId="6" shapeId="0" xr:uid="{00000000-0006-0000-1100-000041000000}">
      <text>
        <r>
          <rPr>
            <b/>
            <sz val="9"/>
            <color indexed="81"/>
            <rFont val="Tahoma"/>
            <family val="2"/>
          </rPr>
          <t>Leigh, James [GIR]:</t>
        </r>
        <r>
          <rPr>
            <sz val="9"/>
            <color indexed="81"/>
            <rFont val="Tahoma"/>
            <family val="2"/>
          </rPr>
          <t xml:space="preserve">
Not provided like it has historically been</t>
        </r>
      </text>
    </comment>
    <comment ref="V84" authorId="6" shapeId="0" xr:uid="{002D8ACE-F33C-4127-8B50-D9BF04201BF8}">
      <text>
        <r>
          <rPr>
            <b/>
            <sz val="9"/>
            <color indexed="81"/>
            <rFont val="Tahoma"/>
            <family val="2"/>
          </rPr>
          <t>Leigh, James [GIR]:</t>
        </r>
        <r>
          <rPr>
            <sz val="9"/>
            <color indexed="81"/>
            <rFont val="Tahoma"/>
            <family val="2"/>
          </rPr>
          <t xml:space="preserve">
Not provided like it has historically been</t>
        </r>
      </text>
    </comment>
    <comment ref="S86" authorId="6" shapeId="0" xr:uid="{00000000-0006-0000-1100-000042000000}">
      <text>
        <r>
          <rPr>
            <b/>
            <sz val="9"/>
            <color indexed="81"/>
            <rFont val="Tahoma"/>
            <family val="2"/>
          </rPr>
          <t>Leigh, James [GIR]:</t>
        </r>
        <r>
          <rPr>
            <sz val="9"/>
            <color indexed="81"/>
            <rFont val="Tahoma"/>
            <family val="2"/>
          </rPr>
          <t xml:space="preserve">
change in GPM from year to year assumed to be same as EBIT margin change
</t>
        </r>
      </text>
    </comment>
    <comment ref="T86" authorId="6" shapeId="0" xr:uid="{DD13CEEA-4CEC-4631-822A-97287CBC2F30}">
      <text>
        <r>
          <rPr>
            <b/>
            <sz val="9"/>
            <color indexed="81"/>
            <rFont val="Tahoma"/>
            <family val="2"/>
          </rPr>
          <t>Leigh, James [GIR]:</t>
        </r>
        <r>
          <rPr>
            <sz val="9"/>
            <color indexed="81"/>
            <rFont val="Tahoma"/>
            <family val="2"/>
          </rPr>
          <t xml:space="preserve">
EBIT margin expansion at group level of 80bp YoY. Kept constant on poor Distro sales 
GPM +22.5% </t>
        </r>
      </text>
    </comment>
    <comment ref="U86" authorId="5" shapeId="0" xr:uid="{00000000-0006-0000-1100-000043000000}">
      <text>
        <r>
          <rPr>
            <b/>
            <sz val="9"/>
            <color indexed="81"/>
            <rFont val="Tahoma"/>
            <family val="2"/>
          </rPr>
          <t>Deng, Lisa L [GIR]:</t>
        </r>
        <r>
          <rPr>
            <sz val="9"/>
            <color indexed="81"/>
            <rFont val="Tahoma"/>
            <family val="2"/>
          </rPr>
          <t xml:space="preserve">
alleviation of inflation pressure. </t>
        </r>
      </text>
    </comment>
    <comment ref="V86" authorId="6" shapeId="0" xr:uid="{07742C39-8948-4478-8EFE-829D704D217A}">
      <text>
        <r>
          <rPr>
            <b/>
            <sz val="9"/>
            <color indexed="81"/>
            <rFont val="Tahoma"/>
            <family val="2"/>
          </rPr>
          <t>Leigh, James [GIR]:</t>
        </r>
        <r>
          <rPr>
            <sz val="9"/>
            <color indexed="81"/>
            <rFont val="Tahoma"/>
            <family val="2"/>
          </rPr>
          <t xml:space="preserve">
Distribution GPM -50bps YoY, assume this falls through to EBIT margin. </t>
        </r>
      </text>
    </comment>
    <comment ref="W86" authorId="5" shapeId="0" xr:uid="{F4C10C0A-AB84-4F58-8313-2EE294F8EAE6}">
      <text>
        <r>
          <rPr>
            <b/>
            <sz val="9"/>
            <color indexed="81"/>
            <rFont val="Tahoma"/>
            <family val="2"/>
          </rPr>
          <t>Deng, Lisa L [GIR]:</t>
        </r>
        <r>
          <rPr>
            <sz val="9"/>
            <color indexed="81"/>
            <rFont val="Tahoma"/>
            <family val="2"/>
          </rPr>
          <t xml:space="preserve">
GPM +4.2% to 26.7% from 22.5%. </t>
        </r>
      </text>
    </comment>
    <comment ref="X86" authorId="5" shapeId="0" xr:uid="{E8055121-6206-4DCD-9C6D-724EFC38912B}">
      <text>
        <r>
          <rPr>
            <b/>
            <sz val="9"/>
            <color indexed="81"/>
            <rFont val="Tahoma"/>
            <family val="2"/>
          </rPr>
          <t>Deng, Lisa L [GIR]:</t>
        </r>
        <r>
          <rPr>
            <sz val="9"/>
            <color indexed="81"/>
            <rFont val="Tahoma"/>
            <family val="2"/>
          </rPr>
          <t xml:space="preserve">
alleviation of inflation pressure. </t>
        </r>
      </text>
    </comment>
    <comment ref="Y86" authorId="6" shapeId="0" xr:uid="{33EBC5C7-C240-4699-ACDA-71D02A72B573}">
      <text>
        <r>
          <rPr>
            <b/>
            <sz val="9"/>
            <color indexed="81"/>
            <rFont val="Tahoma"/>
            <family val="2"/>
          </rPr>
          <t>Leigh, James [GIR]:</t>
        </r>
        <r>
          <rPr>
            <sz val="9"/>
            <color indexed="81"/>
            <rFont val="Tahoma"/>
            <family val="2"/>
          </rPr>
          <t xml:space="preserve">
Grown in line with GP margin growth
</t>
        </r>
      </text>
    </comment>
    <comment ref="AA86" authorId="5" shapeId="0" xr:uid="{21CEAB1B-9B78-4E1F-84DF-6941B3F739A6}">
      <text>
        <r>
          <rPr>
            <b/>
            <sz val="9"/>
            <color indexed="81"/>
            <rFont val="Tahoma"/>
            <family val="2"/>
          </rPr>
          <t>Deng, Lisa L [GIR]:</t>
        </r>
        <r>
          <rPr>
            <sz val="9"/>
            <color indexed="81"/>
            <rFont val="Tahoma"/>
            <family val="2"/>
          </rPr>
          <t xml:space="preserve">
alleviation of inflation pressure. </t>
        </r>
      </text>
    </comment>
    <comment ref="D103" authorId="0" shapeId="0" xr:uid="{00000000-0006-0000-1100-000039000000}">
      <text>
        <r>
          <rPr>
            <b/>
            <sz val="9"/>
            <color indexed="81"/>
            <rFont val="Tahoma"/>
            <family val="2"/>
          </rPr>
          <t>Ashwini Chandra:</t>
        </r>
        <r>
          <rPr>
            <sz val="9"/>
            <color indexed="81"/>
            <rFont val="Tahoma"/>
            <family val="2"/>
          </rPr>
          <t xml:space="preserve">
In CCY 8.0% growth</t>
        </r>
      </text>
    </comment>
    <comment ref="P110" authorId="3" shapeId="0" xr:uid="{00000000-0006-0000-1100-000046000000}">
      <text>
        <r>
          <rPr>
            <b/>
            <sz val="9"/>
            <color indexed="81"/>
            <rFont val="Tahoma"/>
            <family val="2"/>
          </rPr>
          <t xml:space="preserve">Ashwini Chandra
</t>
        </r>
        <r>
          <rPr>
            <sz val="9"/>
            <color indexed="81"/>
            <rFont val="Tahoma"/>
            <family val="2"/>
          </rPr>
          <t>Actual A$136.430mn</t>
        </r>
      </text>
    </comment>
    <comment ref="S110" authorId="6" shapeId="0" xr:uid="{00000000-0006-0000-1100-000047000000}">
      <text>
        <r>
          <rPr>
            <b/>
            <sz val="9"/>
            <color indexed="81"/>
            <rFont val="Tahoma"/>
            <family val="2"/>
          </rPr>
          <t>Leigh, James [GIR]:</t>
        </r>
        <r>
          <rPr>
            <sz val="9"/>
            <color indexed="81"/>
            <rFont val="Tahoma"/>
            <family val="2"/>
          </rPr>
          <t xml:space="preserve">
Plugged this information in the absense on EBIT by segment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Leigh, James [GIR]</author>
    <author>Deng, Lisa L [GIR]</author>
    <author>Nair Syama, Darshana [GIR]</author>
    <author>Yeoh, Aaron [GIR]</author>
  </authors>
  <commentList>
    <comment ref="S5" authorId="0" shapeId="0" xr:uid="{00000000-0006-0000-1200-000001000000}">
      <text>
        <r>
          <rPr>
            <b/>
            <sz val="9"/>
            <color indexed="81"/>
            <rFont val="Tahoma"/>
            <family val="2"/>
          </rPr>
          <t>Leigh, James [GIR]:</t>
        </r>
        <r>
          <rPr>
            <sz val="9"/>
            <color indexed="81"/>
            <rFont val="Tahoma"/>
            <family val="2"/>
          </rPr>
          <t xml:space="preserve">
includes transfer from intangibles to PPE
</t>
        </r>
      </text>
    </comment>
    <comment ref="S7" authorId="0" shapeId="0" xr:uid="{00000000-0006-0000-1200-000002000000}">
      <text>
        <r>
          <rPr>
            <b/>
            <sz val="9"/>
            <color indexed="81"/>
            <rFont val="Tahoma"/>
            <family val="2"/>
          </rPr>
          <t>Leigh, James [GIR]:</t>
        </r>
        <r>
          <rPr>
            <sz val="9"/>
            <color indexed="81"/>
            <rFont val="Tahoma"/>
            <family val="2"/>
          </rPr>
          <t xml:space="preserve">
unadjusted. Statement says 26.796
</t>
        </r>
      </text>
    </comment>
    <comment ref="T11" authorId="1" shapeId="0" xr:uid="{DC59B498-796D-418D-9037-151F1CB788AC}">
      <text>
        <r>
          <rPr>
            <b/>
            <sz val="9"/>
            <color indexed="81"/>
            <rFont val="Tahoma"/>
            <family val="2"/>
          </rPr>
          <t>Deng, Lisa L [GIR]:</t>
        </r>
        <r>
          <rPr>
            <sz val="9"/>
            <color indexed="81"/>
            <rFont val="Tahoma"/>
            <family val="2"/>
          </rPr>
          <t xml:space="preserve">
note 7 of 1H23 report. </t>
        </r>
      </text>
    </comment>
    <comment ref="S12" authorId="0" shapeId="0" xr:uid="{00000000-0006-0000-1200-000004000000}">
      <text>
        <r>
          <rPr>
            <b/>
            <sz val="9"/>
            <color indexed="81"/>
            <rFont val="Tahoma"/>
            <family val="2"/>
          </rPr>
          <t>Leigh, James [GIR]:</t>
        </r>
        <r>
          <rPr>
            <sz val="9"/>
            <color indexed="81"/>
            <rFont val="Tahoma"/>
            <family val="2"/>
          </rPr>
          <t xml:space="preserve">
Difference between old and new starting balance adjustment. Intagibles moved to PPE</t>
        </r>
      </text>
    </comment>
    <comment ref="M22" authorId="2" shapeId="0" xr:uid="{00000000-0006-0000-1200-000005000000}">
      <text>
        <r>
          <rPr>
            <b/>
            <sz val="9"/>
            <color indexed="81"/>
            <rFont val="Tahoma"/>
            <family val="2"/>
          </rPr>
          <t>Nair Syama, Darshana [GIR]:</t>
        </r>
        <r>
          <rPr>
            <sz val="9"/>
            <color indexed="81"/>
            <rFont val="Tahoma"/>
            <family val="2"/>
          </rPr>
          <t xml:space="preserve">
ChefSteps acquisition</t>
        </r>
      </text>
    </comment>
    <comment ref="P22" authorId="2" shapeId="0" xr:uid="{00000000-0006-0000-1200-000006000000}">
      <text>
        <r>
          <rPr>
            <b/>
            <sz val="9"/>
            <color indexed="81"/>
            <rFont val="Tahoma"/>
            <family val="2"/>
          </rPr>
          <t>Nair Syama, Darshana [GIR]:</t>
        </r>
        <r>
          <rPr>
            <sz val="9"/>
            <color indexed="81"/>
            <rFont val="Tahoma"/>
            <family val="2"/>
          </rPr>
          <t xml:space="preserve">
Baratza acquisition</t>
        </r>
      </text>
    </comment>
    <comment ref="V22" authorId="1" shapeId="0" xr:uid="{7E3EDECA-734D-4E5E-885A-9977E45D1BEB}">
      <text>
        <r>
          <rPr>
            <b/>
            <sz val="9"/>
            <color indexed="81"/>
            <rFont val="Tahoma"/>
            <family val="2"/>
          </rPr>
          <t>Deng, Lisa L [GIR]:</t>
        </r>
        <r>
          <rPr>
            <sz val="9"/>
            <color indexed="81"/>
            <rFont val="Tahoma"/>
            <family val="2"/>
          </rPr>
          <t xml:space="preserve">
Lelit Acquisition </t>
        </r>
      </text>
    </comment>
    <comment ref="M31" authorId="2" shapeId="0" xr:uid="{00000000-0006-0000-1200-000007000000}">
      <text>
        <r>
          <rPr>
            <b/>
            <sz val="9"/>
            <color indexed="81"/>
            <rFont val="Tahoma"/>
            <family val="2"/>
          </rPr>
          <t>Nair Syama, Darshana [GIR]:</t>
        </r>
        <r>
          <rPr>
            <sz val="9"/>
            <color indexed="81"/>
            <rFont val="Tahoma"/>
            <family val="2"/>
          </rPr>
          <t xml:space="preserve">
does not match with figures on FY20 balance sheet as the numbers have been restated for a change in accounting policy as per which some of the previously capitalized costs have been now been reclassified as expenses retrospectively</t>
        </r>
      </text>
    </comment>
    <comment ref="M36" authorId="2" shapeId="0" xr:uid="{00000000-0006-0000-1200-000008000000}">
      <text>
        <r>
          <rPr>
            <b/>
            <sz val="9"/>
            <color indexed="81"/>
            <rFont val="Tahoma"/>
            <family val="2"/>
          </rPr>
          <t>Nair Syama, Darshana [GIR]:</t>
        </r>
        <r>
          <rPr>
            <sz val="9"/>
            <color indexed="81"/>
            <rFont val="Tahoma"/>
            <family val="2"/>
          </rPr>
          <t xml:space="preserve">
impairment to the IoT platform</t>
        </r>
      </text>
    </comment>
    <comment ref="G37" authorId="2" shapeId="0" xr:uid="{00000000-0006-0000-1200-000009000000}">
      <text>
        <r>
          <rPr>
            <b/>
            <sz val="9"/>
            <color indexed="81"/>
            <rFont val="Tahoma"/>
            <family val="2"/>
          </rPr>
          <t>Nair Syama, Darshana [GIR]:</t>
        </r>
        <r>
          <rPr>
            <sz val="9"/>
            <color indexed="81"/>
            <rFont val="Tahoma"/>
            <family val="2"/>
          </rPr>
          <t xml:space="preserve">
includes impairment charge of -0.554 for computer software</t>
        </r>
      </text>
    </comment>
    <comment ref="Y37" authorId="1" shapeId="0" xr:uid="{C28A3F7A-6F62-486B-84AB-173BDA9D74D1}">
      <text>
        <r>
          <rPr>
            <b/>
            <sz val="9"/>
            <color indexed="81"/>
            <rFont val="Tahoma"/>
            <family val="2"/>
          </rPr>
          <t>Deng, Lisa L [GIR]:</t>
        </r>
        <r>
          <rPr>
            <sz val="9"/>
            <color indexed="81"/>
            <rFont val="Tahoma"/>
            <family val="2"/>
          </rPr>
          <t xml:space="preserve">
guided up due to capitalized development cost beginning to amortize due to NPD. </t>
        </r>
      </text>
    </comment>
    <comment ref="S38" authorId="0" shapeId="0" xr:uid="{00000000-0006-0000-1200-00000A000000}">
      <text>
        <r>
          <rPr>
            <b/>
            <sz val="9"/>
            <color indexed="81"/>
            <rFont val="Tahoma"/>
            <family val="2"/>
          </rPr>
          <t>Leigh, James [GIR]:</t>
        </r>
        <r>
          <rPr>
            <sz val="9"/>
            <color indexed="81"/>
            <rFont val="Tahoma"/>
            <family val="2"/>
          </rPr>
          <t xml:space="preserve">
Difference between old and new starting balance adjustment. Intagibles moved to PPE</t>
        </r>
      </text>
    </comment>
    <comment ref="B59" authorId="3" shapeId="0" xr:uid="{00000000-0006-0000-1200-00000B000000}">
      <text>
        <r>
          <rPr>
            <b/>
            <sz val="9"/>
            <color indexed="81"/>
            <rFont val="Tahoma"/>
            <family val="2"/>
          </rPr>
          <t>Yeoh, Aaron [GIR]:</t>
        </r>
        <r>
          <rPr>
            <sz val="9"/>
            <color indexed="81"/>
            <rFont val="Tahoma"/>
            <family val="2"/>
          </rPr>
          <t xml:space="preserve">
A$11-13mn project capex
A$2.5-4mn in IT infrastructure</t>
        </r>
      </text>
    </comment>
    <comment ref="Y65" authorId="0" shapeId="0" xr:uid="{00000000-0006-0000-1200-00000F000000}">
      <text>
        <r>
          <rPr>
            <b/>
            <sz val="9"/>
            <color indexed="81"/>
            <rFont val="Tahoma"/>
            <family val="2"/>
          </rPr>
          <t>Leigh, James [GIR]:</t>
        </r>
        <r>
          <rPr>
            <sz val="9"/>
            <color indexed="81"/>
            <rFont val="Tahoma"/>
            <family val="2"/>
          </rPr>
          <t xml:space="preserve">
2m of additiona depreciation assumed from LELIT transaction</t>
        </r>
      </text>
    </comment>
    <comment ref="Z65" authorId="0" shapeId="0" xr:uid="{D373EC0F-45B4-49AC-AFEA-63ACED7B5FDB}">
      <text>
        <r>
          <rPr>
            <b/>
            <sz val="9"/>
            <color indexed="81"/>
            <rFont val="Tahoma"/>
            <family val="2"/>
          </rPr>
          <t>Leigh, James [GIR]:</t>
        </r>
        <r>
          <rPr>
            <sz val="9"/>
            <color indexed="81"/>
            <rFont val="Tahoma"/>
            <family val="2"/>
          </rPr>
          <t xml:space="preserve">
2m of additiona depreciation assumed from LELIT transaction</t>
        </r>
      </text>
    </comment>
    <comment ref="AC65" authorId="0" shapeId="0" xr:uid="{F898F253-A68F-48BB-BE21-0532E9C9CBBB}">
      <text>
        <r>
          <rPr>
            <b/>
            <sz val="9"/>
            <color indexed="81"/>
            <rFont val="Tahoma"/>
            <family val="2"/>
          </rPr>
          <t>Leigh, James [GIR]:</t>
        </r>
        <r>
          <rPr>
            <sz val="9"/>
            <color indexed="81"/>
            <rFont val="Tahoma"/>
            <family val="2"/>
          </rPr>
          <t xml:space="preserve">
2m of additiona depreciation assumed from LELIT transaction</t>
        </r>
      </text>
    </comment>
    <comment ref="AF65" authorId="0" shapeId="0" xr:uid="{860594EF-DB94-4E63-9AB9-2E7271935851}">
      <text>
        <r>
          <rPr>
            <b/>
            <sz val="9"/>
            <color indexed="81"/>
            <rFont val="Tahoma"/>
            <family val="2"/>
          </rPr>
          <t>Leigh, James [GIR]:</t>
        </r>
        <r>
          <rPr>
            <sz val="9"/>
            <color indexed="81"/>
            <rFont val="Tahoma"/>
            <family val="2"/>
          </rPr>
          <t xml:space="preserve">
2m of additiona depreciation assumed from LELIT transaction</t>
        </r>
      </text>
    </comment>
    <comment ref="AI65" authorId="0" shapeId="0" xr:uid="{52B77D7C-EA8D-47DA-AE52-2165773A8AD0}">
      <text>
        <r>
          <rPr>
            <b/>
            <sz val="9"/>
            <color indexed="81"/>
            <rFont val="Tahoma"/>
            <family val="2"/>
          </rPr>
          <t>Leigh, James [GIR]:</t>
        </r>
        <r>
          <rPr>
            <sz val="9"/>
            <color indexed="81"/>
            <rFont val="Tahoma"/>
            <family val="2"/>
          </rPr>
          <t xml:space="preserve">
2m of additiona depreciation assumed from LELIT transaction</t>
        </r>
      </text>
    </comment>
    <comment ref="Y67" authorId="1" shapeId="0" xr:uid="{7177E1C9-05DD-4279-9040-5F9CF99FCB03}">
      <text>
        <r>
          <rPr>
            <b/>
            <sz val="9"/>
            <color indexed="81"/>
            <rFont val="Tahoma"/>
            <family val="2"/>
          </rPr>
          <t>Deng, Lisa L [GIR]:</t>
        </r>
        <r>
          <rPr>
            <sz val="9"/>
            <color indexed="81"/>
            <rFont val="Tahoma"/>
            <family val="2"/>
          </rPr>
          <t xml:space="preserve">
increase due to shift of P&amp;L expense to D&amp;A seen in 2H23.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<sst xmlns="http://schemas.openxmlformats.org/spreadsheetml/2006/main" count="4030" uniqueCount="2020">
  <si>
    <t xml:space="preserve">   Goodwill Asset impairment Charge (Post Tax)</t>
  </si>
  <si>
    <t xml:space="preserve">   Other Asset impairment Charge (Post Tax)</t>
  </si>
  <si>
    <t xml:space="preserve">   Financial instruments/hedging (Post Tax)</t>
  </si>
  <si>
    <t xml:space="preserve">   Other IFRS adjustments (Post Tax)</t>
  </si>
  <si>
    <t>Total IFRS Adjustments (Post Tax)</t>
  </si>
  <si>
    <t>Abnormal Items Breakdown (Post Tax)</t>
  </si>
  <si>
    <t xml:space="preserve">  Foreign Exchange (gains/losses)</t>
  </si>
  <si>
    <t xml:space="preserve">  Asset Sales (gains/losses)</t>
  </si>
  <si>
    <t xml:space="preserve">  Restructuring Costs</t>
  </si>
  <si>
    <t xml:space="preserve">  Other Abnormal Items</t>
  </si>
  <si>
    <t>Total Abnormal Items (Post Tax)</t>
  </si>
  <si>
    <t>Financial Instruments/Hedging</t>
  </si>
  <si>
    <t>Research &amp; Development - Capitalised</t>
  </si>
  <si>
    <t>Other Intangibles - Depreciable</t>
  </si>
  <si>
    <t>Other Intangibles - Non-Depreciable</t>
  </si>
  <si>
    <t>Defined Benefit Surplus</t>
  </si>
  <si>
    <t>Defined Benefit Obligation</t>
  </si>
  <si>
    <t>Proceeds from the sale of equity investments</t>
  </si>
  <si>
    <t>Proceeds from the sale of operating businesses</t>
  </si>
  <si>
    <t>Payment for the purchase of operating businesses</t>
  </si>
  <si>
    <t>Risk to Earnings</t>
  </si>
  <si>
    <t>RISK_TO_EARNINGS</t>
  </si>
  <si>
    <t>NET_PROFIT_REPORTED</t>
  </si>
  <si>
    <t>EPS_REPORTED</t>
  </si>
  <si>
    <t>PER_GSJBW</t>
  </si>
  <si>
    <t>PER_REPORTED</t>
  </si>
  <si>
    <t>FREE_CASH_FLOW_PER_SHARE</t>
  </si>
  <si>
    <t>PRICE_FREE_CASH_FLOW</t>
  </si>
  <si>
    <t>COST_OF_GOODS_SOLD</t>
  </si>
  <si>
    <t>SELLING_GENERAL_ADMIN</t>
  </si>
  <si>
    <t>MARKETING_ADVERTISNIG</t>
  </si>
  <si>
    <t>LABOUR</t>
  </si>
  <si>
    <t>ACCESS_CONNECTION</t>
  </si>
  <si>
    <t>RESEARCH_DEVELOPMENT</t>
  </si>
  <si>
    <t>SHARE_BASED_PAYMENTS</t>
  </si>
  <si>
    <t>OTHER</t>
  </si>
  <si>
    <t>PROFIT_DEFBEN_PLAN_PRE_TAX</t>
  </si>
  <si>
    <t>GWILL_ASSET_IMPAIR_CHG_PRE_TAX</t>
  </si>
  <si>
    <t>OTHER_ASSET_IMPAIR_CHG_PRE_TAX</t>
  </si>
  <si>
    <t>FIN_INSTRUMENT_HEDGE_PRE_TAX</t>
  </si>
  <si>
    <t>OTHER_IFRS_ADJUST_PRE_TAX</t>
  </si>
  <si>
    <t>TOTAL_IFRS_ADJUST_PRE_TAX</t>
  </si>
  <si>
    <t>PROFIT_DEFBEN_PLAN_POST_TAX</t>
  </si>
  <si>
    <t>GWILL_ASSET_IMP_CHG_POST_TAX</t>
  </si>
  <si>
    <t>OTH_ASSET_IMPAIR_CHG_POST_TAX</t>
  </si>
  <si>
    <t>FIN_INSTRUMENT_HEDGE_POST_TAX</t>
  </si>
  <si>
    <t>OTHER_IFRS_ADJUST_POST_TAX</t>
  </si>
  <si>
    <t>TOTAL_IFRS_ADJUST_POST_TAX</t>
  </si>
  <si>
    <t>FOREIGN_EXCHANGE_GAIN_LOSS</t>
  </si>
  <si>
    <t>ASSET_SALES_GAIN_LOSS</t>
  </si>
  <si>
    <t>RESTRUC_COSTS</t>
  </si>
  <si>
    <t>OTHER_ABNORMAL_ITEMS</t>
  </si>
  <si>
    <t>TOT_ABNORMAL_ITEMS_POST_TAX</t>
  </si>
  <si>
    <t>FIN_INSTR_HEDGE_CURRENT</t>
  </si>
  <si>
    <t>R_AND_D_CAP</t>
  </si>
  <si>
    <t>OTHER_INTANGIBLES_DEPREC</t>
  </si>
  <si>
    <t>OTHER_INTANGIBLES_NON_DEPREC</t>
  </si>
  <si>
    <t>DEFINED_BENEFIT_SURPLUS</t>
  </si>
  <si>
    <t>FIN_INSTR_HEDGE_NON_CURRENT</t>
  </si>
  <si>
    <t>FIN_INSTR_HEDGE_CURR_LIABILITY</t>
  </si>
  <si>
    <t>DEFINED_BENEFIT_OBLIGATION</t>
  </si>
  <si>
    <t>FIN_INSTR_HEDGE_NON_CURR_LIAB</t>
  </si>
  <si>
    <t>PROCEEDS_SALE_EQUITY_INV</t>
  </si>
  <si>
    <t>PROCEEDS_SALE_OPER_BUS</t>
  </si>
  <si>
    <t>PROCEEDS_PURCH_OPER_BUS</t>
  </si>
  <si>
    <t>ORD_SHARES_ISSUED</t>
  </si>
  <si>
    <t>CONVERTIBLE_NOTES</t>
  </si>
  <si>
    <t>PREFERENCE_SHARES</t>
  </si>
  <si>
    <t xml:space="preserve">PARTLY_PAID_SHARES  </t>
  </si>
  <si>
    <t>OPTIONS</t>
  </si>
  <si>
    <t xml:space="preserve">OTHER_CAPITAL </t>
  </si>
  <si>
    <t xml:space="preserve">TOTAL_CAPITAL  </t>
  </si>
  <si>
    <t>NO_OF_EMPLOYEES</t>
  </si>
  <si>
    <t xml:space="preserve">BAL_OF_FRANK_CREDITS </t>
  </si>
  <si>
    <t>OTHER_1</t>
  </si>
  <si>
    <t>OTHER_2</t>
  </si>
  <si>
    <t>OTHER_3</t>
  </si>
  <si>
    <t>OTHER_4</t>
  </si>
  <si>
    <t>OTHER_5</t>
  </si>
  <si>
    <t>OTHER_6</t>
  </si>
  <si>
    <t>OTHER_7</t>
  </si>
  <si>
    <t>OTHER_8</t>
  </si>
  <si>
    <t>OTHER_9</t>
  </si>
  <si>
    <t>OTHER_10</t>
  </si>
  <si>
    <t xml:space="preserve">VALUE_NON_LISTED_EQTY </t>
  </si>
  <si>
    <t xml:space="preserve">BENEFITS_TAX_LOSSES   </t>
  </si>
  <si>
    <t>DIVIDEND_INVEST_INCOME</t>
  </si>
  <si>
    <t>NON_EBITDA_ASSET</t>
  </si>
  <si>
    <t>CUSTOMER_RECEIPTS</t>
  </si>
  <si>
    <t>SUPPLIER_EMPLOYEE_PAYS</t>
  </si>
  <si>
    <t>INT_OTHERS_RECEIVED</t>
  </si>
  <si>
    <t>INT_OTHERS_PAID</t>
  </si>
  <si>
    <t>INCOME_TAXES_PAID</t>
  </si>
  <si>
    <t>OTHER_OPERATING</t>
  </si>
  <si>
    <t>NET_OPR_CASH_FLOWS</t>
  </si>
  <si>
    <t>PURCH_PROP_PLANT_MAINT</t>
  </si>
  <si>
    <t>PURCH_PROP_PLANT_EXPAN</t>
  </si>
  <si>
    <t>SALE_PROP_PLANT_EQUIP</t>
  </si>
  <si>
    <t>PURCH_EQUITY_INVESTS</t>
  </si>
  <si>
    <t>LOANS_OTHER_ENTITIES</t>
  </si>
  <si>
    <t>LOAN_REPAID_OTHER_ENTS</t>
  </si>
  <si>
    <t>OTHER_INVESTING</t>
  </si>
  <si>
    <t>NZ</t>
  </si>
  <si>
    <t>US</t>
  </si>
  <si>
    <t>China</t>
  </si>
  <si>
    <t>North America</t>
  </si>
  <si>
    <t>NET_INVEST_CASHFLOW</t>
  </si>
  <si>
    <t>PROCEEDS_SHARE_ISSUES</t>
  </si>
  <si>
    <t>PROCEEDS_BORROWINGS</t>
  </si>
  <si>
    <t>REPAY_BORROWINGS</t>
  </si>
  <si>
    <t>DIVIDENDS_PAID</t>
  </si>
  <si>
    <t>OTHER_FINANCE</t>
  </si>
  <si>
    <t>NET_FINANCE_CASHFLOW</t>
  </si>
  <si>
    <t>ANZ_LIST</t>
  </si>
  <si>
    <t>ANZ_CONVICTION</t>
  </si>
  <si>
    <t>LEGAL_RATING</t>
  </si>
  <si>
    <t>Target price</t>
  </si>
  <si>
    <t>TARGET_PRICE</t>
  </si>
  <si>
    <t>TP_PERIOD</t>
  </si>
  <si>
    <t>NUM_SH1</t>
  </si>
  <si>
    <t>FOREIGN_HOLDNG</t>
  </si>
  <si>
    <t>CATALYST1_DATE</t>
  </si>
  <si>
    <t>CATALYST1_EVENT</t>
  </si>
  <si>
    <t>CATALYST2_DATE</t>
  </si>
  <si>
    <t>CATALYST2_EVENT</t>
  </si>
  <si>
    <t>CATALYST3_DATE</t>
  </si>
  <si>
    <t>CATALYST3_EVENT</t>
  </si>
  <si>
    <t>CATALYST4_DATE</t>
  </si>
  <si>
    <t>CATALYST4_EVENT</t>
  </si>
  <si>
    <t>CATALYST5_DATE</t>
  </si>
  <si>
    <t>CATALYST5_EVENT</t>
  </si>
  <si>
    <t>PRI_TARG_MULT</t>
  </si>
  <si>
    <t>PRI_TARG_METH</t>
  </si>
  <si>
    <t>BVPS_PUB</t>
  </si>
  <si>
    <t>DPS_PUB</t>
  </si>
  <si>
    <t>EBITDA_PUB</t>
  </si>
  <si>
    <t>EPS_PUB</t>
  </si>
  <si>
    <t>EV_ADJ_PUB</t>
  </si>
  <si>
    <t>NET_DEBT_PUB</t>
  </si>
  <si>
    <t>NI_PUB</t>
  </si>
  <si>
    <t>EBIT_PUB</t>
  </si>
  <si>
    <t>PTP_PUB</t>
  </si>
  <si>
    <t>REVS_PUB</t>
  </si>
  <si>
    <t>EQ_PUB</t>
  </si>
  <si>
    <t>EPS_CONS_PUB</t>
  </si>
  <si>
    <t>DCF_CASH_FLOW</t>
  </si>
  <si>
    <t>Cost of equity</t>
  </si>
  <si>
    <t>COST_OF_EQUITY_DCF</t>
  </si>
  <si>
    <t>DEBT_RISK_MARGIN_DCF</t>
  </si>
  <si>
    <t>PERPETUITY_GROWTH_RATE_DCF</t>
  </si>
  <si>
    <t>DISCOUNT_FACTOR_DCF</t>
  </si>
  <si>
    <t>PRESENT_VALUE_OF_CASH_FLOW_DCF</t>
  </si>
  <si>
    <t>CUM_PRESENT_VAL_CASH_FLOWS_DCF</t>
  </si>
  <si>
    <t>TERMINAL_YEAR_DCF</t>
  </si>
  <si>
    <t>MARKET_VALUE_OF_INVESTMENTS_DCF</t>
  </si>
  <si>
    <t>NET_DEBT_NET_CASH_DCF</t>
  </si>
  <si>
    <t>EQUITY_VALUE_DCF</t>
  </si>
  <si>
    <t>IMP_CREDITS_PER_SHARE_DCF</t>
  </si>
  <si>
    <t>BASE_CASE_VAL_DCF</t>
  </si>
  <si>
    <t>RISK_ADJ_OPTION_VALUE_DCF</t>
  </si>
  <si>
    <t>INTRINSIC_PER_SHARE_VALUE_DCF</t>
  </si>
  <si>
    <t>YEAR_END_CAPITAL_EVA</t>
  </si>
  <si>
    <t>NI_REPT_PUB</t>
  </si>
  <si>
    <t>FRANKING_ANZPUB</t>
  </si>
  <si>
    <t>PERSONNEL</t>
  </si>
  <si>
    <t>COST_GD_SD</t>
  </si>
  <si>
    <t>SEL_GL_AD</t>
  </si>
  <si>
    <t>OP_COST</t>
  </si>
  <si>
    <t>RD_EXP</t>
  </si>
  <si>
    <t>OTH_OP_INC_EXP</t>
  </si>
  <si>
    <t>TOT_OPS_EXP_DDA</t>
  </si>
  <si>
    <t>TOT_OPS_EXP</t>
  </si>
  <si>
    <t>EBITDA_CALC</t>
  </si>
  <si>
    <t>DEPREC</t>
  </si>
  <si>
    <t>GOODWILL_AMORT</t>
  </si>
  <si>
    <t>INT_INC_IND</t>
  </si>
  <si>
    <t>INT_EXP_IND</t>
  </si>
  <si>
    <t>NET_INT_EXP</t>
  </si>
  <si>
    <t>ASSOCIATE</t>
  </si>
  <si>
    <t>PROFIT_ON_DISP</t>
  </si>
  <si>
    <t>OTH_COST_INC</t>
  </si>
  <si>
    <t>PT_PROF</t>
  </si>
  <si>
    <t>PROV_INC_TAX</t>
  </si>
  <si>
    <t>INC_MINORITY</t>
  </si>
  <si>
    <t>NI_PRE_PREF</t>
  </si>
  <si>
    <t>PREF_DIV</t>
  </si>
  <si>
    <t>NET_EARNING</t>
  </si>
  <si>
    <t>TAX_EXC</t>
  </si>
  <si>
    <t>NET_INC</t>
  </si>
  <si>
    <t>EPS</t>
  </si>
  <si>
    <t>EPS_FUL_DIL</t>
  </si>
  <si>
    <t>EPS_POST_BASIC</t>
  </si>
  <si>
    <t>FULLY_DIL_EPS</t>
  </si>
  <si>
    <t>COMMON_DIV_PAID</t>
  </si>
  <si>
    <t>SH1</t>
  </si>
  <si>
    <t>DILUTE_SHARES</t>
  </si>
  <si>
    <t>NON_OP_ADD</t>
  </si>
  <si>
    <t>SEL_GL_AD_OTHER</t>
  </si>
  <si>
    <t>EBITDA_CONSOLIDATED</t>
  </si>
  <si>
    <t>AMORT_OF_INTANGIBLES_ADJ</t>
  </si>
  <si>
    <t>EBIT_CONSOLIDATED_PRE_ASSOC</t>
  </si>
  <si>
    <t>EBIT_CONSOLIDATED</t>
  </si>
  <si>
    <t>OPPL_BTAX_EX_ASSOC</t>
  </si>
  <si>
    <t>EBITDAF</t>
  </si>
  <si>
    <t>NZ_FRANKING</t>
  </si>
  <si>
    <t>PARTLY_PAID_SHARES</t>
  </si>
  <si>
    <t>OTHER_CAPITAL</t>
  </si>
  <si>
    <t>TOTAL_CAPITAL</t>
  </si>
  <si>
    <t>LEASE_PAY</t>
  </si>
  <si>
    <t>LEASE_DEEM_INT</t>
  </si>
  <si>
    <t>LEASE_DEEM_DEPR</t>
  </si>
  <si>
    <t>NET_INT_CH</t>
  </si>
  <si>
    <t>ASSOCIATE_OP</t>
  </si>
  <si>
    <t>MARGIN_TAX_RATE</t>
  </si>
  <si>
    <t>NI_CONS</t>
  </si>
  <si>
    <t>CASH_EQ</t>
  </si>
  <si>
    <t>DEBTORS</t>
  </si>
  <si>
    <t>STOCKS</t>
  </si>
  <si>
    <t>OTH_CUR_ASS</t>
  </si>
  <si>
    <t>CUR_ASS</t>
  </si>
  <si>
    <t>GR_FIX_ASS</t>
  </si>
  <si>
    <t>ACC_DDA</t>
  </si>
  <si>
    <t>NET_FIX_ASS</t>
  </si>
  <si>
    <t>GR_INTANG</t>
  </si>
  <si>
    <t>ACC_AMORT</t>
  </si>
  <si>
    <t>NET_INTANG</t>
  </si>
  <si>
    <t>FIX_ASS_INV</t>
  </si>
  <si>
    <t>INV_SECUR</t>
  </si>
  <si>
    <t>OTH_LT_ASS</t>
  </si>
  <si>
    <t>TOT_ASSET</t>
  </si>
  <si>
    <t>ACC_PAY_GQ</t>
  </si>
  <si>
    <t>SHORT_T_DEBT</t>
  </si>
  <si>
    <t>OTH_CUR_LIABS</t>
  </si>
  <si>
    <t>SHORT_TERM_LIABS</t>
  </si>
  <si>
    <t>LT_DEBT</t>
  </si>
  <si>
    <t>OTH_LT_CRED_GQ</t>
  </si>
  <si>
    <t>TOT_LT_LIAB</t>
  </si>
  <si>
    <t>TOT_LIAB</t>
  </si>
  <si>
    <t>PREF_SH</t>
  </si>
  <si>
    <t>ORD_SH_FUND</t>
  </si>
  <si>
    <t>MINORITIES</t>
  </si>
  <si>
    <t>EQ</t>
  </si>
  <si>
    <t>TOT_LIAB_EQ</t>
  </si>
  <si>
    <t>BVPS</t>
  </si>
  <si>
    <t>CUR_ASS_MISC</t>
  </si>
  <si>
    <t>GOODWILL_NET_AMNT</t>
  </si>
  <si>
    <t>NCASSET_MISC</t>
  </si>
  <si>
    <t>CUR_LIABS_MISC</t>
  </si>
  <si>
    <t>NCLIAB_MISC</t>
  </si>
  <si>
    <t>NET_TANGIBLE_ASSETS_ADJUSTED_NZ</t>
  </si>
  <si>
    <t>CAP_LEASES</t>
  </si>
  <si>
    <t>DEF_INC_TAX</t>
  </si>
  <si>
    <t>MV_ASSOCIATES</t>
  </si>
  <si>
    <t>NET_DEBT_ADJ</t>
  </si>
  <si>
    <t>CO_BOR_MARGIN</t>
  </si>
  <si>
    <t>UNF_PENS</t>
  </si>
  <si>
    <t>UNF_PENS_OFF</t>
  </si>
  <si>
    <t>UNF_PENS_LIAB_OTH</t>
  </si>
  <si>
    <t>ADJ_UNF_PENS_GOOD</t>
  </si>
  <si>
    <t>OTH_GCI_ADJ</t>
  </si>
  <si>
    <t>GCI_INFL</t>
  </si>
  <si>
    <t>BAL_MINO_INT</t>
  </si>
  <si>
    <t>CF_NI_PRE_PREF</t>
  </si>
  <si>
    <t>CF_INC_MINORITY</t>
  </si>
  <si>
    <t>DEPR_AMORT</t>
  </si>
  <si>
    <t>WORK_CAP</t>
  </si>
  <si>
    <t>OTH_OP_CF</t>
  </si>
  <si>
    <t>CF_OPS</t>
  </si>
  <si>
    <t>CAPEX</t>
  </si>
  <si>
    <t>ACQ</t>
  </si>
  <si>
    <t>DIVEST</t>
  </si>
  <si>
    <t>OTH_INV_CF</t>
  </si>
  <si>
    <t>CF_INV</t>
  </si>
  <si>
    <t>DIV_PAID</t>
  </si>
  <si>
    <t>SH_REPUR</t>
  </si>
  <si>
    <t>CHG_LT_DEBT</t>
  </si>
  <si>
    <t>OTH_FIN_CF</t>
  </si>
  <si>
    <t>CF_FIN</t>
  </si>
  <si>
    <t>TOT_CF</t>
  </si>
  <si>
    <t>CF_OPS_MISC</t>
  </si>
  <si>
    <t>CF_OPS_SHARE_NZ</t>
  </si>
  <si>
    <t>CF_INV_MISC</t>
  </si>
  <si>
    <t>ASSOC_JV_ADDBK</t>
  </si>
  <si>
    <t>PL_SALE_ASSETS</t>
  </si>
  <si>
    <t>OTH_NONCASH_ADJ</t>
  </si>
  <si>
    <t>OTH_DACF_ADJ</t>
  </si>
  <si>
    <t>CASH_INT_EXP</t>
  </si>
  <si>
    <t>CASH_TAX_EXP</t>
  </si>
  <si>
    <t>DIVDS_ASSOC_JV</t>
  </si>
  <si>
    <t>CAPEX_MAINTENANCE</t>
  </si>
  <si>
    <t>CAPEX_EXPANSION</t>
  </si>
  <si>
    <t>NONPPE_CAPEX</t>
  </si>
  <si>
    <t>DIVDS_PD_MINORITIES</t>
  </si>
  <si>
    <t>EMPLOYEES</t>
  </si>
  <si>
    <t>BETA_ANALYST</t>
  </si>
  <si>
    <t>MKT_EQ_RISK_PREM</t>
  </si>
  <si>
    <t>RISK_FR_RATE</t>
  </si>
  <si>
    <t>BAL_OF_FRANK_CREDITS</t>
  </si>
  <si>
    <t>BENEFITS_TAX_LOSSES</t>
  </si>
  <si>
    <t>MV_NET_OTHER_STAKEHOLDERS</t>
  </si>
  <si>
    <t>MV_CONVERTIBLE_NOTES</t>
  </si>
  <si>
    <t>TV_LICENCES_MASTERHEADS</t>
  </si>
  <si>
    <t>TAX_RATE_DCF</t>
  </si>
  <si>
    <t>COST_OF_DEBT_DCF</t>
  </si>
  <si>
    <t>DEBT_TO_EQUITY_MKT_VALUES_DCF</t>
  </si>
  <si>
    <t>WACC_DCF</t>
  </si>
  <si>
    <t>STD_FREE_OP_CASH_FLOW_DCF</t>
  </si>
  <si>
    <t>TOTAL_CAPITAL_EMPLOYED_ADJ</t>
  </si>
  <si>
    <t>AVG_CAPITAL_EMPLOYED_ADJ</t>
  </si>
  <si>
    <t>ROCE_ANZ</t>
  </si>
  <si>
    <t>SALES_TOT_AM</t>
  </si>
  <si>
    <t>SALES_US</t>
  </si>
  <si>
    <t>SALES_CANADA</t>
  </si>
  <si>
    <t>SALES_BRAZIL</t>
  </si>
  <si>
    <t>SALES_OTH_AM</t>
  </si>
  <si>
    <t>SALES_TOT_EMEA</t>
  </si>
  <si>
    <t>SALES_UK</t>
  </si>
  <si>
    <t>SALES_EU_EX_UK</t>
  </si>
  <si>
    <t>SALES_AUSTRIA</t>
  </si>
  <si>
    <t>SALES_BEL</t>
  </si>
  <si>
    <t>SALES_DEN</t>
  </si>
  <si>
    <t>SALES_FIN</t>
  </si>
  <si>
    <t>SALES_FRA</t>
  </si>
  <si>
    <t>SALES_GER</t>
  </si>
  <si>
    <t>SALES_GRE</t>
  </si>
  <si>
    <t>SALES_ICE</t>
  </si>
  <si>
    <t>SALES_IRE</t>
  </si>
  <si>
    <t>SALES_ITA</t>
  </si>
  <si>
    <t>SALES_NETH</t>
  </si>
  <si>
    <t>SALES_NOR</t>
  </si>
  <si>
    <t>SALES_POR</t>
  </si>
  <si>
    <t>SALES_SPA</t>
  </si>
  <si>
    <t>SALES_SWE</t>
  </si>
  <si>
    <t>SALES_SWIT</t>
  </si>
  <si>
    <t>SALES_CEE</t>
  </si>
  <si>
    <t>SALES_ME</t>
  </si>
  <si>
    <t>SALES_RUSSIA</t>
  </si>
  <si>
    <t>SALES_OTH_EMEA</t>
  </si>
  <si>
    <t>SALES_TOT_ASIA</t>
  </si>
  <si>
    <t>SALES_JAPAN</t>
  </si>
  <si>
    <t>SALES_CHINA</t>
  </si>
  <si>
    <t>SALES_INDIA</t>
  </si>
  <si>
    <t>SALES_SK</t>
  </si>
  <si>
    <t>SALES_AUSTRA</t>
  </si>
  <si>
    <t>SALES_NZ</t>
  </si>
  <si>
    <t>SALES_OTH_AEJ</t>
  </si>
  <si>
    <t>SALES_OTHER</t>
  </si>
  <si>
    <t>OP_TOT_AM</t>
  </si>
  <si>
    <t>OP_US</t>
  </si>
  <si>
    <t>OP_CANADA</t>
  </si>
  <si>
    <t>OP_BRAZIL</t>
  </si>
  <si>
    <t>OP_OTH_AM</t>
  </si>
  <si>
    <t>OP_TOT_EMEA</t>
  </si>
  <si>
    <t>OP_UK</t>
  </si>
  <si>
    <t>OP_EU_EX_UK</t>
  </si>
  <si>
    <t>OP_AUSTRIA</t>
  </si>
  <si>
    <t>OP_BEL</t>
  </si>
  <si>
    <t>OP_DEN</t>
  </si>
  <si>
    <t>OP_FIN</t>
  </si>
  <si>
    <t>OP_FRA</t>
  </si>
  <si>
    <t>OP_GER</t>
  </si>
  <si>
    <t>OP_GRE</t>
  </si>
  <si>
    <t>OP_ICE</t>
  </si>
  <si>
    <t>OP_IRE</t>
  </si>
  <si>
    <t>OP_ITA</t>
  </si>
  <si>
    <t>OP_NETH</t>
  </si>
  <si>
    <t>HOLD</t>
  </si>
  <si>
    <t>OP_NOR</t>
  </si>
  <si>
    <t>OP_POR</t>
  </si>
  <si>
    <t>OP_SPA</t>
  </si>
  <si>
    <t>OP_SWE</t>
  </si>
  <si>
    <t>OP_SWIT</t>
  </si>
  <si>
    <t>OP_CEE</t>
  </si>
  <si>
    <t>OP_ME</t>
  </si>
  <si>
    <t>OP_RUSSIA</t>
  </si>
  <si>
    <t>OP_OTH_EMEA</t>
  </si>
  <si>
    <t>OP_TOT_ASIA</t>
  </si>
  <si>
    <t>OP_JAPAN</t>
  </si>
  <si>
    <t>OP_CHINA</t>
  </si>
  <si>
    <t>OP_INDIA</t>
  </si>
  <si>
    <t>OP_SK</t>
  </si>
  <si>
    <t>OP_AUSTRA</t>
  </si>
  <si>
    <t>OP_NZ</t>
  </si>
  <si>
    <t>OP_OTH_AEJ</t>
  </si>
  <si>
    <t>OP_OTHER</t>
  </si>
  <si>
    <t>SALES_CONS</t>
  </si>
  <si>
    <t>SALES_IND</t>
  </si>
  <si>
    <t>SALES_GOV</t>
  </si>
  <si>
    <t>OP_CONS</t>
  </si>
  <si>
    <t>OP_IND</t>
  </si>
  <si>
    <t>OP_GOV</t>
  </si>
  <si>
    <t>Actual</t>
  </si>
  <si>
    <t>NET_INC_DEC_CASH_HELD</t>
  </si>
  <si>
    <t>CHANGE_IN_WORK_CAP</t>
  </si>
  <si>
    <t>SALES</t>
  </si>
  <si>
    <t>ASSET</t>
  </si>
  <si>
    <t>Year to 30 June</t>
  </si>
  <si>
    <t>ROE</t>
  </si>
  <si>
    <t>Net interest expense</t>
  </si>
  <si>
    <t>Pre tax profit</t>
  </si>
  <si>
    <t>Tax expense</t>
  </si>
  <si>
    <t>Minorities</t>
  </si>
  <si>
    <t>Dividends</t>
  </si>
  <si>
    <t>Interim (¢ps)</t>
  </si>
  <si>
    <t>Final (¢ps)</t>
  </si>
  <si>
    <t>Total payout ($m)</t>
  </si>
  <si>
    <t>Payout ratio</t>
  </si>
  <si>
    <t>CASHFLOW SUMMARY</t>
  </si>
  <si>
    <t>Depreciation</t>
  </si>
  <si>
    <t>Tax paid</t>
  </si>
  <si>
    <t>(Profit)/loss on asset sales</t>
  </si>
  <si>
    <t>Other/working capital adjustment</t>
  </si>
  <si>
    <t>Net operating cashflow</t>
  </si>
  <si>
    <t>Capital expenditure - maintenance</t>
  </si>
  <si>
    <t>Capital expenditure - expansion</t>
  </si>
  <si>
    <t>Acquisitions</t>
  </si>
  <si>
    <t>Asset sales</t>
  </si>
  <si>
    <t>Net investing cashflow</t>
  </si>
  <si>
    <t>Borrowings incurred/(repaid)</t>
  </si>
  <si>
    <t>Equity raised</t>
  </si>
  <si>
    <t>Net financing cashflow</t>
  </si>
  <si>
    <t>Increase/(decrease) in cash held</t>
  </si>
  <si>
    <t>Interest cover</t>
  </si>
  <si>
    <t>BALANCE SHEET SUMMARY</t>
  </si>
  <si>
    <t>Current assets</t>
  </si>
  <si>
    <t>Cash</t>
  </si>
  <si>
    <t>Total current assets</t>
  </si>
  <si>
    <t>Non-current assets</t>
  </si>
  <si>
    <t>Other intangibles</t>
  </si>
  <si>
    <t>FITB</t>
  </si>
  <si>
    <t>Tax Rate</t>
  </si>
  <si>
    <t>G.B</t>
  </si>
  <si>
    <t>Total non-current assets</t>
  </si>
  <si>
    <t>Total assets</t>
  </si>
  <si>
    <t>Current liabilities</t>
  </si>
  <si>
    <t>Lease liabilities</t>
  </si>
  <si>
    <t>Trade creditors</t>
  </si>
  <si>
    <t>Other creditors</t>
  </si>
  <si>
    <t>2019F</t>
  </si>
  <si>
    <t>Total current liabilities</t>
  </si>
  <si>
    <t>Non-current liabilities</t>
  </si>
  <si>
    <t>Deferred income tax provision</t>
  </si>
  <si>
    <t>Total non current liabilities</t>
  </si>
  <si>
    <t>Total liabilities</t>
  </si>
  <si>
    <t>Shareholders' equity</t>
  </si>
  <si>
    <t>Share capital</t>
  </si>
  <si>
    <t>Retained profits</t>
  </si>
  <si>
    <t>Minority interests</t>
  </si>
  <si>
    <t>Total equity</t>
  </si>
  <si>
    <t>Current assets/Total assets</t>
  </si>
  <si>
    <t>Current liabilites/Total liabilites</t>
  </si>
  <si>
    <t>Working capital</t>
  </si>
  <si>
    <t>(Increase)/decrease in working capital</t>
  </si>
  <si>
    <t>Working capital/Sales</t>
  </si>
  <si>
    <t>Funds employed</t>
  </si>
  <si>
    <t>Average funds employed</t>
  </si>
  <si>
    <t>Adjusted EBIT</t>
  </si>
  <si>
    <t>ROFE</t>
  </si>
  <si>
    <t>Screen 1</t>
  </si>
  <si>
    <t>NPAT ($m)</t>
  </si>
  <si>
    <t>EPS (pre goodwill amortisation) (¢)</t>
  </si>
  <si>
    <t>EPS (post goodwill amortisation) (¢)</t>
  </si>
  <si>
    <t>DPS (¢)</t>
  </si>
  <si>
    <t>Franking (%)</t>
  </si>
  <si>
    <t>CFPS (¢)</t>
  </si>
  <si>
    <t>Debt/equity (%)</t>
  </si>
  <si>
    <t>NTA (¢ps)</t>
  </si>
  <si>
    <t>Screen 2</t>
  </si>
  <si>
    <t>Depreciation &amp; amortisation</t>
  </si>
  <si>
    <t>EV/EBITDA</t>
  </si>
  <si>
    <t>Inventory/Sales</t>
  </si>
  <si>
    <t>Receivables/Sales</t>
  </si>
  <si>
    <t>Creditors/Sales</t>
  </si>
  <si>
    <t>Net debt at year end</t>
  </si>
  <si>
    <t>New Zealand</t>
  </si>
  <si>
    <t>North America the key driver of growth. DCF $4.</t>
  </si>
  <si>
    <t>EPS growth (pre goodwill amortisation)</t>
  </si>
  <si>
    <t>EPS growth (post goodwill amortisation)</t>
  </si>
  <si>
    <t>WACC</t>
  </si>
  <si>
    <t>2021F</t>
  </si>
  <si>
    <t>Net Debt/Equity ratio</t>
  </si>
  <si>
    <t>12 Month Price Target</t>
  </si>
  <si>
    <t>12 month price target</t>
  </si>
  <si>
    <t>FORWARD_PRICE_12MTH</t>
  </si>
  <si>
    <t>ROFE calculation</t>
  </si>
  <si>
    <t>Global Distribution</t>
  </si>
  <si>
    <t>BRG tax rate</t>
  </si>
  <si>
    <t>BRG</t>
  </si>
  <si>
    <t>Breville Group Ltd</t>
  </si>
  <si>
    <t>NTA</t>
  </si>
  <si>
    <t>NOPAT</t>
  </si>
  <si>
    <t>Capex / sales</t>
  </si>
  <si>
    <t>Beta</t>
  </si>
  <si>
    <t>Standard Free Operating Cash Flow</t>
  </si>
  <si>
    <t>Present Value of Cash Flow</t>
  </si>
  <si>
    <t>Cumulative Present Value of Cash Flows</t>
  </si>
  <si>
    <t>Equity Value</t>
  </si>
  <si>
    <t>Intrinsic per Share Value (pre Imputation Credits)</t>
  </si>
  <si>
    <t>Value of Imputation Credits per Share</t>
  </si>
  <si>
    <t>Pre-tax profit</t>
  </si>
  <si>
    <t>Base case valuation</t>
  </si>
  <si>
    <t>Trade debtors days</t>
  </si>
  <si>
    <t>Inventory days</t>
  </si>
  <si>
    <t>Trade creditors days</t>
  </si>
  <si>
    <t>UKG</t>
  </si>
  <si>
    <t>UK</t>
  </si>
  <si>
    <t>EXUK</t>
  </si>
  <si>
    <t>Europe ex UK</t>
  </si>
  <si>
    <t>JPN</t>
  </si>
  <si>
    <t>Japan</t>
  </si>
  <si>
    <t>OAS</t>
  </si>
  <si>
    <t>ASIA ex China &amp; Japan</t>
  </si>
  <si>
    <t>SAM</t>
  </si>
  <si>
    <t>Sth America</t>
  </si>
  <si>
    <t>AFR</t>
  </si>
  <si>
    <t>Africa</t>
  </si>
  <si>
    <t>Price/BV</t>
  </si>
  <si>
    <t>USA</t>
  </si>
  <si>
    <t>HWI EBIT margin</t>
  </si>
  <si>
    <t>Net property, plant &amp; equipment</t>
  </si>
  <si>
    <t>HWI</t>
  </si>
  <si>
    <t>Gross operating cashflow</t>
  </si>
  <si>
    <t>EFPOWA (unadjusted)</t>
  </si>
  <si>
    <t>EFPO (unadjusted)</t>
  </si>
  <si>
    <t>2018F</t>
  </si>
  <si>
    <t>WJC</t>
  </si>
  <si>
    <t>Reported Net Profit</t>
  </si>
  <si>
    <t>NET PROFIT (pre NRIs)</t>
  </si>
  <si>
    <t>NRIs (after tax)</t>
  </si>
  <si>
    <t>Instructions for Inserting Template into the Target Model.</t>
  </si>
  <si>
    <t xml:space="preserve"> Sales</t>
  </si>
  <si>
    <t xml:space="preserve"> Operating  EBITDA</t>
  </si>
  <si>
    <t>STEP 1:       Enter Location of Target Model in Box Below</t>
  </si>
  <si>
    <t xml:space="preserve">  D &amp; A (excl. G/Will)</t>
  </si>
  <si>
    <t xml:space="preserve"> Operating  EBITA</t>
  </si>
  <si>
    <t xml:space="preserve"> Goodwill Amortisation</t>
  </si>
  <si>
    <t xml:space="preserve"> Other (Non Operating Inc.)</t>
  </si>
  <si>
    <t>AAC</t>
  </si>
  <si>
    <t>K:\EXCEL\M031\mjm\divind\fcl\aaco.XLS</t>
  </si>
  <si>
    <t xml:space="preserve"> EBIT</t>
  </si>
  <si>
    <t>K:\EXCEL\M031\MCH\COMPANY\MISIND\Hwi\Profit.hwi\hwimodel_breville.xls</t>
  </si>
  <si>
    <t>AEO</t>
  </si>
  <si>
    <t>K:\EXCEL\M031\l.c\media\company\aeo\model\aeomodel.XLS</t>
  </si>
  <si>
    <t>Total Revenue</t>
  </si>
  <si>
    <t>AGL</t>
  </si>
  <si>
    <t>K:\EXCEL\M031\GGR\COMPANY\AGL\AGL.XLS</t>
  </si>
  <si>
    <t xml:space="preserve"> PreTax Profit (pre NRI's)</t>
  </si>
  <si>
    <t>ALS</t>
  </si>
  <si>
    <t>K:\EXCEL\M031\MCH\COMPANY\MISIND\Als\PROFIT.Als\AlsMODEL.XLS</t>
  </si>
  <si>
    <t xml:space="preserve"> Tax Expense (pre NRI's)</t>
  </si>
  <si>
    <t>ALL</t>
  </si>
  <si>
    <t>K:\EXCEL\M031\coh\COMPANY\casinos\ALL\Profit.all\allmodel.xls</t>
  </si>
  <si>
    <t xml:space="preserve"> Assoc./ JV NPAT</t>
  </si>
  <si>
    <t>Or do a 'Quick Search' for the Location of Model (still must manually enter location in box above)</t>
  </si>
  <si>
    <t>ALN</t>
  </si>
  <si>
    <t>K:\EXCEL\M031\GGR\COMPANY\ALN\ALN.XLS</t>
  </si>
  <si>
    <t xml:space="preserve"> Minorities (after Tax)</t>
  </si>
  <si>
    <t>AMC</t>
  </si>
  <si>
    <t>K:\EXCEL\M031\BRL\AMC\AMC.xls</t>
  </si>
  <si>
    <t xml:space="preserve"> Pref. Dividends</t>
  </si>
  <si>
    <t>ANZ</t>
  </si>
  <si>
    <t>K:\EXCEL\M031\BANKS\MODELS\MAJORS\profit.anz</t>
  </si>
  <si>
    <t xml:space="preserve"> Other Adj </t>
  </si>
  <si>
    <t>APN</t>
  </si>
  <si>
    <t>K:\EXCEL\M031\l.c\media\company\APN\model\APNmodel.XLS</t>
  </si>
  <si>
    <t>ASX</t>
  </si>
  <si>
    <t>K:\EXCEL\M031\CMS\COMPANY\ASX\PROFIT\ASXMODEL.xls</t>
  </si>
  <si>
    <t xml:space="preserve"> Non Recurring Items (after Tax)</t>
  </si>
  <si>
    <t>AUD</t>
  </si>
  <si>
    <t>K:\EXCEL\M031\CMS\COMPANY\AUSDOC\PROFIT.AUD\AUDMODEL.xls</t>
  </si>
  <si>
    <t xml:space="preserve"> Reported NPAT (post NRI's)</t>
  </si>
  <si>
    <t>AUN</t>
  </si>
  <si>
    <t>K:\Excel\M031\L.c\media\company\aun\model\aunmodel.xls</t>
  </si>
  <si>
    <t xml:space="preserve"> Reported EPS</t>
  </si>
  <si>
    <t>BBG</t>
  </si>
  <si>
    <t>K:\EXCEL\M031\G.B\COMPANY\RET_COY\BBG\BILLABONG MODEL Revised.XLS</t>
  </si>
  <si>
    <t>Enter Stock Code of Target Model =&gt;</t>
  </si>
  <si>
    <t>hwi</t>
  </si>
  <si>
    <t>Location current to 15 October 2001 only!</t>
  </si>
  <si>
    <t>BDF</t>
  </si>
  <si>
    <t>K:\EXCEL\M031\CMS\COMPANY\BDF\BDFMODEL.XLS</t>
  </si>
  <si>
    <t xml:space="preserve"> Reported NPAT (Pre NRI's) </t>
  </si>
  <si>
    <t>BIL</t>
  </si>
  <si>
    <t>k:\excel\m031\kmh\company\bil\new folder\bil_prof.xls</t>
  </si>
  <si>
    <t>BIR</t>
  </si>
  <si>
    <t>K:\EXCEL\M031\COH\COMPANY\CASINOS\BURSWOOD\EARN_S2.BSD</t>
  </si>
  <si>
    <t>ASSETS:</t>
  </si>
  <si>
    <t>BLD</t>
  </si>
  <si>
    <t>K:\EXCEL\M031\MJM\BUILD\BOR\BORAL.XLS</t>
  </si>
  <si>
    <t xml:space="preserve"> EPS (Adj.)</t>
  </si>
  <si>
    <t xml:space="preserve"> Cash</t>
  </si>
  <si>
    <t>Remember to 'Copy Paste Special Values' to box above</t>
  </si>
  <si>
    <t>BPC</t>
  </si>
  <si>
    <t>K:\EXCEL\M031\G.B\COMPANY\FOOD\BPC\PROFIT.BPC\PE1SUM.BPC</t>
  </si>
  <si>
    <t xml:space="preserve"> Trade Debtors</t>
  </si>
  <si>
    <t>BRL</t>
  </si>
  <si>
    <t>K:\EXCEL\M031\IAB\COMPANY\WINE\BRL\BRL_PROF.XLS</t>
  </si>
  <si>
    <t xml:space="preserve"> Sales Growth </t>
  </si>
  <si>
    <t>(%)</t>
  </si>
  <si>
    <t>PER</t>
  </si>
  <si>
    <t>Free Cash Flow</t>
  </si>
  <si>
    <t xml:space="preserve"> Inventory</t>
  </si>
  <si>
    <t>BRZ</t>
  </si>
  <si>
    <t>K:\EXCEL\M031\G.B\COMPANY\RET_COY\BRZ\BRZMODEL.xls</t>
  </si>
  <si>
    <t xml:space="preserve"> Op. EBITDA Growth</t>
  </si>
  <si>
    <t xml:space="preserve"> Prop., Plant &amp; Equip. (net)</t>
  </si>
  <si>
    <t>BWA</t>
  </si>
  <si>
    <t>K:\EXCEL\M031\BANKS\MODELS\REGIONAL\PROFIT1.BWA</t>
  </si>
  <si>
    <t xml:space="preserve"> NPAT (Adj.) Growth</t>
  </si>
  <si>
    <t xml:space="preserve"> Intangibles</t>
  </si>
  <si>
    <t>CAB</t>
  </si>
  <si>
    <t>K:\EXCEL\M031\MCH\COMPANY\MISIND\CAB\PROFIT.CAB\CABMODEL.XLS</t>
  </si>
  <si>
    <t xml:space="preserve"> EPS (Adj.) Growth</t>
  </si>
  <si>
    <t xml:space="preserve"> Investments</t>
  </si>
  <si>
    <t xml:space="preserve">Other Amortisation </t>
  </si>
  <si>
    <t>Warning!!:  It may be prudent to save the target model under a different file name, and test the procedure on this version. Once (if!) this is successful overwrite the original with the new version. Also close down all othe excel programs prior to loading</t>
  </si>
  <si>
    <t>CBA</t>
  </si>
  <si>
    <t>K:\EXCEL\M031\BANKS\MODELS\MAJORS\profit.cba</t>
  </si>
  <si>
    <t xml:space="preserve"> Op. EBITDA Margin</t>
  </si>
  <si>
    <t xml:space="preserve"> Other</t>
  </si>
  <si>
    <t>CCL</t>
  </si>
  <si>
    <t>K:\EXCEL\M031\G.B\COMPANY\FOOD\CCL\ESTIMATE\HYEST.CCL</t>
  </si>
  <si>
    <t xml:space="preserve"> Op. EBITA Margin</t>
  </si>
  <si>
    <t xml:space="preserve"> TOTAL ASSETS</t>
  </si>
  <si>
    <t>CML</t>
  </si>
  <si>
    <t>K:\EXCEL\M031\G.B\COMPANY\RET_COY\CML\PROFITES\FORECAST2.CML</t>
  </si>
  <si>
    <t xml:space="preserve"> D&amp;A / Sales</t>
  </si>
  <si>
    <t xml:space="preserve"> Debt </t>
  </si>
  <si>
    <t>COA</t>
  </si>
  <si>
    <t>K:\EXCEL\M031\MCH\COMPANY\MISIND\COA\PROFIT.COA\COAMODEL.XLS</t>
  </si>
  <si>
    <t xml:space="preserve"> Interest Cover - EBIT</t>
  </si>
  <si>
    <t>(X)</t>
  </si>
  <si>
    <t xml:space="preserve"> Trade Creditors</t>
  </si>
  <si>
    <t>COH</t>
  </si>
  <si>
    <t>K:\EXCEL\M031\KMH\COMPANY\COH\PROF_COH.XLS</t>
  </si>
  <si>
    <t xml:space="preserve"> Interest Cover - GCF</t>
  </si>
  <si>
    <t xml:space="preserve"> Provisions</t>
  </si>
  <si>
    <t>CPU</t>
  </si>
  <si>
    <t>K:\EXCEL\M031\KMH\COMPANY\CPU\PRF_CPU5.XLS</t>
  </si>
  <si>
    <t xml:space="preserve"> Tax Rate (pre Amort.)</t>
  </si>
  <si>
    <t>CRG</t>
  </si>
  <si>
    <t>K:\EXCEL\M031\MCH\COMPANY\ENG\CRG\PROFIT.CRG\CRGMODEL.xls</t>
  </si>
  <si>
    <t>ROA</t>
  </si>
  <si>
    <t xml:space="preserve"> TOTAL LIABILITIES</t>
  </si>
  <si>
    <t>STEP 2:    Click to Insert Template into Target Model</t>
  </si>
  <si>
    <t>CSL</t>
  </si>
  <si>
    <t>K:\EXCEL\M031\KMH\COMPANY\Csl\prof_csl.xls</t>
  </si>
  <si>
    <t xml:space="preserve"> EQUITY:</t>
  </si>
  <si>
    <t>CSR</t>
  </si>
  <si>
    <t>K:\EXCEL\M031\MJM\BUILD\CSR\CSR.XLS</t>
  </si>
  <si>
    <t xml:space="preserve"> Equity Reserves</t>
  </si>
  <si>
    <t>CTL</t>
  </si>
  <si>
    <t>K:\EXCEL\M031\CMS\COMPANY\CTL\CTLMODEL1.xls</t>
  </si>
  <si>
    <t>Other Countries</t>
  </si>
  <si>
    <t>Other EBIT</t>
  </si>
  <si>
    <t xml:space="preserve"> Retained Profits</t>
  </si>
  <si>
    <t>Note:</t>
  </si>
  <si>
    <t>CXP</t>
  </si>
  <si>
    <t>K:\EXCEL\M031\MCH\COMPANY\CXP\PROFIT.CXP\CXPMODEL.XLS</t>
  </si>
  <si>
    <t xml:space="preserve"> Minorities</t>
  </si>
  <si>
    <t>Remember to enter zero's into blank other lines</t>
  </si>
  <si>
    <t>CWO</t>
  </si>
  <si>
    <t>K:\EXCEL\M031\CFC\COMPANY\AUS_TEL\OPTUS\OPT1999P.XLS</t>
  </si>
  <si>
    <t xml:space="preserve"> Preference Capital</t>
  </si>
  <si>
    <t>DAD</t>
  </si>
  <si>
    <t>K:\EXCEL\M031\MCH\COMPANY\MISIND\DAD\Profit.dad\dadmodel.xls</t>
  </si>
  <si>
    <t xml:space="preserve"> Operating EBITDA</t>
  </si>
  <si>
    <t xml:space="preserve"> TOTAL EQUITY</t>
  </si>
  <si>
    <t>DJS</t>
  </si>
  <si>
    <t>K:\EXCEL\M031\G.B\COMPANY\RET_COY\DJS\FLOATES2.JOD</t>
  </si>
  <si>
    <t xml:space="preserve"> Change in Working Cap.</t>
  </si>
  <si>
    <t xml:space="preserve"> Capital Employed</t>
  </si>
  <si>
    <t>MTT</t>
  </si>
  <si>
    <t>K:\EXCEL\M031\G.B\COMPANY\RET_COY\DVD\FORE_TMP.DVD</t>
  </si>
  <si>
    <t xml:space="preserve"> Gross Cash Flow</t>
  </si>
  <si>
    <t>STEP 3:    Misc. Steps Required In Special Circumstances</t>
  </si>
  <si>
    <t>ECP</t>
  </si>
  <si>
    <t>K:\EXCEL\M031\L.C\media\company\pbl\ecp\model\ecpmodel.XLS</t>
  </si>
  <si>
    <t xml:space="preserve"> Net Interest Paid</t>
  </si>
  <si>
    <t xml:space="preserve"> Net Debt / (Net Cash)</t>
  </si>
  <si>
    <t>ENE</t>
  </si>
  <si>
    <t>COGS</t>
  </si>
  <si>
    <t>K:\EXCEL\M031\GGR\COMPANY\ENE\ENE.XLS</t>
  </si>
  <si>
    <t xml:space="preserve"> Tax Paid (inc. abs)</t>
  </si>
  <si>
    <t xml:space="preserve"> Net Debt / Equity</t>
  </si>
  <si>
    <t>ERG</t>
  </si>
  <si>
    <t>K:\EXCEL\M031\cms\company\ERG\ergmodel.xls</t>
  </si>
  <si>
    <t xml:space="preserve"> Net Debt / (D+E)</t>
  </si>
  <si>
    <t>FGL</t>
  </si>
  <si>
    <t>K:\EXCEL\M031\P.r\Fgl\model\fglmodel.XLS</t>
  </si>
  <si>
    <t xml:space="preserve"> Operating Cash Flow</t>
  </si>
  <si>
    <t xml:space="preserve"> Avg. Working Capital</t>
  </si>
  <si>
    <t xml:space="preserve">Enter the root drive of the model ie K;", C:\ </t>
  </si>
  <si>
    <t>k:\</t>
  </si>
  <si>
    <t>FCL</t>
  </si>
  <si>
    <t>K:\EXCEL\M031\BRL\FCL\FCL.xls</t>
  </si>
  <si>
    <t xml:space="preserve"> Maint. Capex</t>
  </si>
  <si>
    <t xml:space="preserve"> Avg. Work. Cap./ Sales</t>
  </si>
  <si>
    <t>FHF</t>
  </si>
  <si>
    <t>K:\EXCEL\M031\KMH\COMPANY\Fhf\prof_fhf.xls</t>
  </si>
  <si>
    <t xml:space="preserve"> FREE CASH FLOW (Pre Div's)</t>
  </si>
  <si>
    <t xml:space="preserve"> D&amp;A / PPE (net)</t>
  </si>
  <si>
    <t>FOA</t>
  </si>
  <si>
    <t>K:\EXCEL\M031\G.B\COMPANY\RET_COY\FOA\ESTIMAT.FOA</t>
  </si>
  <si>
    <t xml:space="preserve"> Dividends Paid</t>
  </si>
  <si>
    <t xml:space="preserve"> Debtors Turnover</t>
  </si>
  <si>
    <t>(days)</t>
  </si>
  <si>
    <t>FXJ</t>
  </si>
  <si>
    <t>K:\EXCEL\M031\l.c\media\COMPANY\FXJ\model\fxjmodel.xls</t>
  </si>
  <si>
    <t xml:space="preserve"> Expan. Capex</t>
  </si>
  <si>
    <t xml:space="preserve"> Inventory Turnover</t>
  </si>
  <si>
    <t>GMF</t>
  </si>
  <si>
    <t>% Change</t>
  </si>
  <si>
    <t>K:\EXCEL\M031\G.B\COMPANY\FOOD\GMF\PROFTEST\NEWPROF.GMF</t>
  </si>
  <si>
    <t xml:space="preserve"> Acquisitions</t>
  </si>
  <si>
    <t xml:space="preserve"> Creditors Turnover</t>
  </si>
  <si>
    <t>Must surround by Brackets [,]</t>
  </si>
  <si>
    <t>GUD</t>
  </si>
  <si>
    <t>K:\EXCEL\M031\MCH\COMPANY\MISIND\GUD\PROFIT.GUD\GUDMODEL.XLS</t>
  </si>
  <si>
    <t xml:space="preserve"> Asset Sales</t>
  </si>
  <si>
    <t>1H F.2003</t>
  </si>
  <si>
    <t>F.2003</t>
  </si>
  <si>
    <t>% change</t>
  </si>
  <si>
    <t>NPAT</t>
  </si>
  <si>
    <t>Non Recurring Items</t>
  </si>
  <si>
    <t>n.a.</t>
  </si>
  <si>
    <t>NPAT (post NRIs)</t>
  </si>
  <si>
    <t>EPS (post goodwill)</t>
  </si>
  <si>
    <t>EPS (pre goodwill)</t>
  </si>
  <si>
    <t>Dividend</t>
  </si>
  <si>
    <t>June year end</t>
  </si>
  <si>
    <t>GWT</t>
  </si>
  <si>
    <t>K:\EXCEL\M031\MCH\COMPANY\DIVIND\GWT\PROFIT.GWT\GWTMODEL.XLS</t>
  </si>
  <si>
    <t xml:space="preserve"> Dividends Received</t>
  </si>
  <si>
    <t xml:space="preserve"> DCF Valuation       </t>
  </si>
  <si>
    <t>this should not change</t>
  </si>
  <si>
    <t>HAH</t>
  </si>
  <si>
    <t>K:\EXCEL\M031\MJM\BUILD\HAH\JAMESHARD.XLS</t>
  </si>
  <si>
    <t xml:space="preserve"> Share Issues/Repurchases</t>
  </si>
  <si>
    <t>HIL</t>
  </si>
  <si>
    <t>K:\EXCEL\M031\MCH\COMPANY\DIVIND\HIL\PROFIT.HIL\HILMODEL.XLS</t>
  </si>
  <si>
    <t xml:space="preserve"> Other (FX Adj, etc.)</t>
  </si>
  <si>
    <t>($ps)</t>
  </si>
  <si>
    <t>HSN</t>
  </si>
  <si>
    <t>K:\EXCEL\M031\CMS\COMPANY\HSN\HSNMODEL.xls</t>
  </si>
  <si>
    <t xml:space="preserve"> Inc. in Net Cash / (Debt)</t>
  </si>
  <si>
    <t xml:space="preserve"> PV of Cash Flows</t>
  </si>
  <si>
    <t>RF:</t>
  </si>
  <si>
    <t>HTA</t>
  </si>
  <si>
    <t>K:\EXCEL\M031\CFC\COMPANY\AUS_TEL\HUTCH\HUTCHEST.XLS</t>
  </si>
  <si>
    <t xml:space="preserve"> Mkt Value  of Inv.</t>
  </si>
  <si>
    <t>MRP:</t>
  </si>
  <si>
    <t>HVN</t>
  </si>
  <si>
    <t>K:\EXCEL\M031\G.B\COMPANY\RET_COY\HVN\ESTTWO.HVN</t>
  </si>
  <si>
    <t xml:space="preserve"> Gross CF / Op. EBITDA</t>
  </si>
  <si>
    <t xml:space="preserve"> (Debt) / Cash</t>
  </si>
  <si>
    <t>KE:</t>
  </si>
  <si>
    <t>K:\EXCEL\M031\MCH\COMPANY\MISIND\Hwi\Profit.hwi\hwimodel.xls</t>
  </si>
  <si>
    <t xml:space="preserve"> Maint. Capex / Sales</t>
  </si>
  <si>
    <t xml:space="preserve"> Equity Value (Pre Imp.)</t>
  </si>
  <si>
    <t>KD:</t>
  </si>
  <si>
    <t>IFM</t>
  </si>
  <si>
    <t>K:\EXCEL\M031\cms\company\Ifm\ifmmodel.xls</t>
  </si>
  <si>
    <t xml:space="preserve"> Total Capex / Sales</t>
  </si>
  <si>
    <t xml:space="preserve"> Value of Imp. Credits</t>
  </si>
  <si>
    <t>Beta:</t>
  </si>
  <si>
    <t>JJS</t>
  </si>
  <si>
    <t>K:\EXCEL\M031\G.B\COMPANY\RET_COY\JJS\Prf2_jjs.XLS</t>
  </si>
  <si>
    <t xml:space="preserve"> Maint. Capex / D&amp;A</t>
  </si>
  <si>
    <t>WACC:</t>
  </si>
  <si>
    <t>JUP</t>
  </si>
  <si>
    <t>K:\EXCEL\M031\COH\COMPANY\CASINOS\JUPITERS\JUPITERS.XLS</t>
  </si>
  <si>
    <t xml:space="preserve"> Total Capex / D&amp;A</t>
  </si>
  <si>
    <t xml:space="preserve"> Shares on Issue (m)</t>
  </si>
  <si>
    <t>KAZ</t>
  </si>
  <si>
    <t>K:\excel\m031\cms\company\kaz\kazmodel.xls</t>
  </si>
  <si>
    <t xml:space="preserve"> Maint. Capex / GCF</t>
  </si>
  <si>
    <t>WORKINGS =&gt;&gt;</t>
  </si>
  <si>
    <t>KIC</t>
  </si>
  <si>
    <t>K:\EXCEL\M031\MCH\COMPANY\Food\KIC\profit.kic\kicmodel.xls</t>
  </si>
  <si>
    <t>ROCE Analysis</t>
  </si>
  <si>
    <t>LAC</t>
  </si>
  <si>
    <t>K:\EXCEL\M031\MCH\COMPANY\misind\lac\profit.lac\LACMODEL.XLS</t>
  </si>
  <si>
    <t>LEI</t>
  </si>
  <si>
    <t>K:\EXCEL\M031\GGR\COMPANY\Lei\Lei.XLS</t>
  </si>
  <si>
    <t>LLC</t>
  </si>
  <si>
    <t>K:\EXCEL\M031\GGR\COMPANY\LLC\LLC.XLS</t>
  </si>
  <si>
    <t xml:space="preserve"> Adjusted NOPAT</t>
  </si>
  <si>
    <t>MAQ</t>
  </si>
  <si>
    <t>K:\EXCEL\M031\CFC\COMPANY\AUS_TEL\MACQ CORP\MAQP.XLS</t>
  </si>
  <si>
    <t xml:space="preserve">Revenue </t>
  </si>
  <si>
    <t xml:space="preserve"> Avg. Capital Employed</t>
  </si>
  <si>
    <t>MAY</t>
  </si>
  <si>
    <t>BETA</t>
  </si>
  <si>
    <t>K:\EXCEL\M031\KMH\COMPANY\MAY\model\PROF_MAY.XLS</t>
  </si>
  <si>
    <t xml:space="preserve"> ROCE</t>
  </si>
  <si>
    <t>Month Conversations</t>
  </si>
  <si>
    <t>MBL</t>
  </si>
  <si>
    <t>K:\EXCEL\M031\BANKS\MODELS\REGIONAL\profit.mac</t>
  </si>
  <si>
    <t xml:space="preserve">Corporate </t>
  </si>
  <si>
    <t>(3)    ROE excludes Pref. Capital.</t>
  </si>
  <si>
    <t xml:space="preserve"> WACC</t>
  </si>
  <si>
    <t xml:space="preserve"> Investments Statistics</t>
  </si>
  <si>
    <t>MLB</t>
  </si>
  <si>
    <t>K:\EXCEL\M031\cms\company\MelbIT\mlbmodel.xls</t>
  </si>
  <si>
    <t>(4)    Growth Spend represents Expansionary Capex &amp; Acquistions</t>
  </si>
  <si>
    <t xml:space="preserve"> ROCE Spread</t>
  </si>
  <si>
    <t>(abs.)</t>
  </si>
  <si>
    <t>MYO</t>
  </si>
  <si>
    <t>K:\EXCEL\M031\CMS\COMPANY\MYOB\PROFIT.MYO\MYOMODEL.xls</t>
  </si>
  <si>
    <t xml:space="preserve"> Change in ROCE</t>
  </si>
  <si>
    <t>Jan</t>
  </si>
  <si>
    <t>NAB</t>
  </si>
  <si>
    <t>K:\EXCEL\M031\BANKS\MODELS\MAJORS\profit.nab</t>
  </si>
  <si>
    <t>Year End</t>
  </si>
  <si>
    <t>June</t>
  </si>
  <si>
    <t>Feb</t>
  </si>
  <si>
    <t>NCP</t>
  </si>
  <si>
    <t>K:\EXCEL\M031\BRL\NCP\ncp.xls</t>
  </si>
  <si>
    <t>Mar</t>
  </si>
  <si>
    <t>NEV</t>
  </si>
  <si>
    <t>K:\EXCEL\M031\CMS\COMPANY\NEV\NEVMODEL.xls</t>
  </si>
  <si>
    <t xml:space="preserve"> Reported NPAT (Pre NRI)</t>
  </si>
  <si>
    <t>Apr</t>
  </si>
  <si>
    <t>Net Profit - GSA</t>
  </si>
  <si>
    <t>EPS - GSA</t>
  </si>
  <si>
    <t>PER - GSA</t>
  </si>
  <si>
    <t>Source: Company data &amp; GSA Research Estimates</t>
  </si>
  <si>
    <t>NFD</t>
  </si>
  <si>
    <t>K:\EXCEL\M031\G.B\COMPANY\FOOD\NFD\ESTIMATE.NFD</t>
  </si>
  <si>
    <t xml:space="preserve">  - EPS (Reported)</t>
  </si>
  <si>
    <t>(A$)</t>
  </si>
  <si>
    <t>May</t>
  </si>
  <si>
    <t>OKN</t>
  </si>
  <si>
    <t>K:\EXCEL\M031\CMS\COMPANY\OKN\OKNMODEL.xls</t>
  </si>
  <si>
    <t xml:space="preserve">  - PER (Reported) </t>
  </si>
  <si>
    <t>Jun</t>
  </si>
  <si>
    <t>OPS</t>
  </si>
  <si>
    <t>K:\EXCEL\M031\KMH\COMPANY\OPS\model\PRF_OPS.XLS</t>
  </si>
  <si>
    <t>Jul</t>
  </si>
  <si>
    <t>ORG</t>
  </si>
  <si>
    <t>K:\EXCEL\M031\GGR\COMPANY\ORG\ORG.XLS</t>
  </si>
  <si>
    <t xml:space="preserve">  - EPS (Adj.)</t>
  </si>
  <si>
    <t>Aug</t>
  </si>
  <si>
    <t>ORI</t>
  </si>
  <si>
    <t>K:\EXCEL\M031\MNC\COMPANY\CHEM\ICI\PROFIT.ICI\PROF_ICI.XLS</t>
  </si>
  <si>
    <t xml:space="preserve">  - EPS Growth</t>
  </si>
  <si>
    <t>Sep</t>
  </si>
  <si>
    <t>OST</t>
  </si>
  <si>
    <t>K:\EXCEL\M031\BRL\ONESTEEL\ONESTEEL.XLS</t>
  </si>
  <si>
    <t xml:space="preserve"> - PER (Adj.)</t>
  </si>
  <si>
    <t>Oct</t>
  </si>
  <si>
    <t>PBB</t>
  </si>
  <si>
    <t>K:\EXCEL\M031\MJM\DIVIND\PBB\PROF_PBB.XLS</t>
  </si>
  <si>
    <t xml:space="preserve"> Dividend</t>
  </si>
  <si>
    <t>Nov</t>
  </si>
  <si>
    <t>PBL</t>
  </si>
  <si>
    <t>K:\EXCEL\M031\l.c\media\company\pbl\model\PBLmodel.XLS</t>
  </si>
  <si>
    <t xml:space="preserve"> - Yield</t>
  </si>
  <si>
    <t>Dec</t>
  </si>
  <si>
    <t>PDP</t>
  </si>
  <si>
    <t>K:\EXCEL\M031\MNC\COMPANY\PDP\PROFIT.PDP\PROF_PDP.XLS</t>
  </si>
  <si>
    <t xml:space="preserve">  - Franking</t>
  </si>
  <si>
    <t>PHY</t>
  </si>
  <si>
    <t>K:\EXCEL\M031\GGR\COMPANY\PHY\PHY.XLS</t>
  </si>
  <si>
    <t>PLM</t>
  </si>
  <si>
    <t>K:\EXCEL\M031\IAB\COMPANY\WINE\PLM\EARNING.PLM</t>
  </si>
  <si>
    <t xml:space="preserve"> - P / FCF</t>
  </si>
  <si>
    <t>Month Code</t>
  </si>
  <si>
    <t>PLW</t>
  </si>
  <si>
    <t>K:\EXCEL\M031\IAB\COMPANY\WINE\PLW\EARN.PLW</t>
  </si>
  <si>
    <t xml:space="preserve"> NTA per share</t>
  </si>
  <si>
    <t>PME</t>
  </si>
  <si>
    <t>K:\EXCEL\M031\MCH\COMPANY\MISIND\PME\PROFIT.PME\PMEMODEL.XLS</t>
  </si>
  <si>
    <t xml:space="preserve"> BV per share</t>
  </si>
  <si>
    <t xml:space="preserve">YEAR END </t>
  </si>
  <si>
    <t>PPT</t>
  </si>
  <si>
    <t>K:\EXCEL\M031\COH\COMPANY\INSURANC\PPT\PPTMODEL.XLS</t>
  </si>
  <si>
    <t xml:space="preserve"> P/BV</t>
  </si>
  <si>
    <t>PPX</t>
  </si>
  <si>
    <t>K:\EXCEL\M031\BRL\PPX\PPX.XLS</t>
  </si>
  <si>
    <t xml:space="preserve"> EV / EBITDA</t>
  </si>
  <si>
    <t>PRG</t>
  </si>
  <si>
    <t>K:\EXCEL\M031\MCH\COMPANY\MISIND\PRG\PROFIT.PRG\PRGMODEL.XLS</t>
  </si>
  <si>
    <t xml:space="preserve"> Avg. Shares (diluted)</t>
  </si>
  <si>
    <t>(mill)</t>
  </si>
  <si>
    <t>ALU</t>
  </si>
  <si>
    <t>K:\EXCEL\M031\CMS\COMPANY\alu\aluMODEL.XLS</t>
  </si>
  <si>
    <t>PRT</t>
  </si>
  <si>
    <t>K:\EXCEL\M031\l.c\MEDIA\company\PRt\model\prtmodel.XLS</t>
  </si>
  <si>
    <t>(1) Net Profit (adj.) is before goodwill amortisation, NRI's &amp; after Pref. Dividends</t>
  </si>
  <si>
    <t>PWT</t>
  </si>
  <si>
    <t>K:\EXCEL\M031\CFC\COMPANY\AUS_TEL\PWT\PWTEST.XLS</t>
  </si>
  <si>
    <t>(2) Free Cash Flow is post Maintenance Capex</t>
  </si>
  <si>
    <t>QAN</t>
  </si>
  <si>
    <t>K:\EXCEL\M031\KMH\COMPANY\QAN\QAN_PROF1.XLS</t>
  </si>
  <si>
    <t>QVL</t>
  </si>
  <si>
    <t>K:\EXCEL\M031\MCH\COMPANY\QVL\PROFIT.QVL\QVLMODEL.XLS</t>
  </si>
  <si>
    <t>REG</t>
  </si>
  <si>
    <t>K:\EXCEL\M031\l.c\MEDIA\company\reg\model\regmodel.XLS</t>
  </si>
  <si>
    <t xml:space="preserve"> EV Analysis:</t>
  </si>
  <si>
    <t>RMD</t>
  </si>
  <si>
    <t>K:\EXCEL\M031\KMH\COMPANY\rmd\model\PROF_rmd5.xls</t>
  </si>
  <si>
    <t xml:space="preserve"> Mkt. Val. Inv. / Assoc.</t>
  </si>
  <si>
    <t>RUP</t>
  </si>
  <si>
    <t>K:\EXCEL\M031\l.c\MEDIA\company\rup\model\rupmodel.XLS</t>
  </si>
  <si>
    <t xml:space="preserve"> Mkt. Val. OEI (Not owned)</t>
  </si>
  <si>
    <t>SMX</t>
  </si>
  <si>
    <t>K:\EXCEL\M031\CMS\COMPANY\Smx\SmxMODEL.xls</t>
  </si>
  <si>
    <t>SBC</t>
  </si>
  <si>
    <t>K:\EXCEL\M031\l.c\MEDIA\company\SBC\model\sbcmodel.xls</t>
  </si>
  <si>
    <t xml:space="preserve"> EV (Adj.) / SALES</t>
  </si>
  <si>
    <t>SEV</t>
  </si>
  <si>
    <t>K:\EXCEL\M031\l.c\media\COMPANY\sev\model\sevmodel.xls</t>
  </si>
  <si>
    <t xml:space="preserve"> EV (Adj.) / EBITDA</t>
  </si>
  <si>
    <t>SGB</t>
  </si>
  <si>
    <t>K:\EXCEL\M031\banks\models\regional\profit2.sgb</t>
  </si>
  <si>
    <t>SGT</t>
  </si>
  <si>
    <t>K:\EXCEL\M031\CFC\COMPANY\AUS_TEL\optus\SingTel with template added at front.xls</t>
  </si>
  <si>
    <t xml:space="preserve"> Working Cap.</t>
  </si>
  <si>
    <t>SKE</t>
  </si>
  <si>
    <t>K:\EXCEL\M031\MCH\COMPANY\MISIND\ske\Profit.ske\skeMODEL.XLS</t>
  </si>
  <si>
    <t>SMI</t>
  </si>
  <si>
    <t>K:\EXCEL\M031\BRL\SMI\SMI.xls</t>
  </si>
  <si>
    <t>SMS</t>
  </si>
  <si>
    <t>K:\EXCEL\M031\MNC\COMPANY\ENG\SMS\PROFIT.SMS\PROF_SMS.XLS</t>
  </si>
  <si>
    <t>SOH</t>
  </si>
  <si>
    <t>K:\EXCEL\M031\CMS\COMPANY\SOH\SOHMODEL.xls</t>
  </si>
  <si>
    <t>Check on Change in Net Debt (Cash) vs Balance Sheet</t>
  </si>
  <si>
    <t>SPT</t>
  </si>
  <si>
    <t>K:\EXCEL\M031\MCH\COMPANY\MISIND\SPT\PROFIT.SPT\SPTMODEL.xls</t>
  </si>
  <si>
    <t>SRP</t>
  </si>
  <si>
    <t>K:\EXCEL\M031\KMH\COMPANY\SRP\srp_prof.XLS</t>
  </si>
  <si>
    <t>SSX</t>
  </si>
  <si>
    <t>K:\EXCEL\M031\BRL\SSX\SSX.XLS</t>
  </si>
  <si>
    <t>Change indicated in Balance Sheet</t>
  </si>
  <si>
    <t>SWS</t>
  </si>
  <si>
    <t>NRIs (pre tax)</t>
  </si>
  <si>
    <t>Tax on NRIs</t>
  </si>
  <si>
    <t>K:\EXCEL\M031\IAB\COMPANY\WINE\SIMEON\EARN.SWS</t>
  </si>
  <si>
    <t>Change in Cash Flow</t>
  </si>
  <si>
    <t>TAB</t>
  </si>
  <si>
    <t>K:\EXCEL\M031\COH\COMPANY\CASINOS\NSWTab\nswmodel.xls</t>
  </si>
  <si>
    <t>TAH</t>
  </si>
  <si>
    <t>K:\EXCEL\M031\COH\COMPANY\CASINOS\TABCORP\MEDTAB.XLS</t>
  </si>
  <si>
    <t>TEN</t>
  </si>
  <si>
    <t>K:\EXCEL\M031\L.c\MEDIA\company\TEN\model\tenmodel.xls</t>
  </si>
  <si>
    <t>TLS</t>
  </si>
  <si>
    <t>Annual Dividend (¢ps)</t>
  </si>
  <si>
    <t>K:\EXCEL\M031\CFC\COMPANY\AUS_TEL\TELSTRA\MODELS\CURRENT\TLS1999P.XLS</t>
  </si>
  <si>
    <t>TNE</t>
  </si>
  <si>
    <t>K:\EXCEL\M031\CMS\COMPANY\TNE\TNEMODEL.XLS</t>
  </si>
  <si>
    <t>TOL</t>
  </si>
  <si>
    <t>K:\EXCEL\M031\KMH\COMPANY\TOL\model\PROF_TOL.xls</t>
  </si>
  <si>
    <t>TQL</t>
  </si>
  <si>
    <t>K:\EXCEL\M031\COH\COMPANY\CASINOS\TAB Qland\TQLmodel.xls</t>
  </si>
  <si>
    <t>TXT</t>
  </si>
  <si>
    <t>K:\EXCEL\M031\L.C\MEDIA\company\txt\model\txtmodel.xls</t>
  </si>
  <si>
    <t>UEC</t>
  </si>
  <si>
    <t>2020F</t>
  </si>
  <si>
    <t>K:\EXCEL\M031\CFC\COMPANY\AUS_TEL\UECOMM\UECOMM ESTIMATE.XLS</t>
  </si>
  <si>
    <t>UEL</t>
  </si>
  <si>
    <t>K:\EXCEL\M031\GGR\Company\UEL\uel.xls</t>
  </si>
  <si>
    <t>WAN</t>
  </si>
  <si>
    <t>K:\EXCEL\M031\l.c\media\company\wan\model\wanmodel.XLS</t>
  </si>
  <si>
    <t>WBC</t>
  </si>
  <si>
    <t>K:\EXCEL\M031\BANKS\MODELS\MAJORS\profit.wbc</t>
  </si>
  <si>
    <t>WES</t>
  </si>
  <si>
    <t>K:\EXCEL\M031\MJM\DIVIND\WES\WESFARM.XLS</t>
  </si>
  <si>
    <t>WOW</t>
  </si>
  <si>
    <t>12 Months Trailing</t>
  </si>
  <si>
    <t>K:\EXCEL\M031\G.B\COMPANY\RET_COY\WOW\estimat3.WOW</t>
  </si>
  <si>
    <t>WSF</t>
  </si>
  <si>
    <t>K:\EXCEL\M031\GGR\COMPANY\WSF\WSF.XLS</t>
  </si>
  <si>
    <t>BHP</t>
  </si>
  <si>
    <t>K:\EXCEL\M032\NSG\BHP\MODEL\BHPBLTMAIN.XLS</t>
  </si>
  <si>
    <t>CAA</t>
  </si>
  <si>
    <t>K:\EXCEL\M032\CPM\COMPANY\ALC\EARNINGS.ALC</t>
  </si>
  <si>
    <t>DGD</t>
  </si>
  <si>
    <t>K:\EXCEL\M032\RAW\GOLDSHEE\DGD.XLS</t>
  </si>
  <si>
    <t>ILU</t>
  </si>
  <si>
    <t>K:\EXCEL\M032\raw\Base metals\company\ILU\ILUmodel.XLS</t>
  </si>
  <si>
    <t>MIM</t>
  </si>
  <si>
    <t>Breville Group</t>
  </si>
  <si>
    <t>K:\Excel\M032\RAW\Base metals\Company\MIM\MIMmodel.xls</t>
  </si>
  <si>
    <t>NCM</t>
  </si>
  <si>
    <t>K:\EXCEL\M032\RAW\GOLDSHEE\NCM.XLS</t>
  </si>
  <si>
    <t xml:space="preserve"> Net Debt / EBITDA</t>
  </si>
  <si>
    <t>Katie Hudson</t>
  </si>
  <si>
    <t>NDY</t>
  </si>
  <si>
    <t>K:\EXCEL\M032\RAW\GOLDSHEE\NDY.XLS</t>
  </si>
  <si>
    <t>Matthew McNee</t>
  </si>
  <si>
    <t>OSH</t>
  </si>
  <si>
    <t>K:\EXCEL\M032\JHH\OSH.FLD\oshmod.xls</t>
  </si>
  <si>
    <t>George Batsakis</t>
  </si>
  <si>
    <t>PAS</t>
  </si>
  <si>
    <t>K:\EXCEL\M032\RAW\BASE METALS\COMPANY\PAS\PASMODEL.XLS</t>
  </si>
  <si>
    <t>Ian Betts</t>
  </si>
  <si>
    <t>RIO</t>
  </si>
  <si>
    <t>K:\Excel\M032\NSG\Rio\Model\RIO_MAIN.XLS</t>
  </si>
  <si>
    <t>SGW</t>
  </si>
  <si>
    <t>K:\EXCEL\M032\RAW\GOLDSHEE\SGW.XLS</t>
  </si>
  <si>
    <t>STO</t>
  </si>
  <si>
    <t>K:\EXCEL\M032\JHH\STO.FLD\STOMOD.XLS</t>
  </si>
  <si>
    <t>WMC</t>
  </si>
  <si>
    <t>K:\excel\m032\sjh\company\wmc\models\wmcnew1.xls</t>
  </si>
  <si>
    <t>WPL</t>
  </si>
  <si>
    <t>K:\EXCEL\M032\JHH\WPL.FLD\WPLMOD.XLS</t>
  </si>
  <si>
    <t>% Change in NPAT</t>
  </si>
  <si>
    <t>2017F</t>
  </si>
  <si>
    <t>INDUSTRIALS RESEARCH TEMPLATE</t>
  </si>
  <si>
    <t>Security Code</t>
  </si>
  <si>
    <t>Security Name</t>
  </si>
  <si>
    <t>Analyst Code</t>
  </si>
  <si>
    <t>Print On ISDL (Y/N)</t>
  </si>
  <si>
    <t>N</t>
  </si>
  <si>
    <t>Rec'd Long Term</t>
  </si>
  <si>
    <t>Rec'd Short Term</t>
  </si>
  <si>
    <t>Alt-User</t>
  </si>
  <si>
    <t>Small Company (Y/N)</t>
  </si>
  <si>
    <t>Y</t>
  </si>
  <si>
    <t>Commentary</t>
  </si>
  <si>
    <t>Equinet(Y/N)</t>
  </si>
  <si>
    <t>Next Interim Dividend Amount</t>
  </si>
  <si>
    <t>Current Price</t>
  </si>
  <si>
    <t>Ord. Shares</t>
  </si>
  <si>
    <t>Next Interim Dividend Ex-date</t>
  </si>
  <si>
    <t xml:space="preserve"> </t>
  </si>
  <si>
    <t>Rep. Type A/H/Q</t>
  </si>
  <si>
    <t>A</t>
  </si>
  <si>
    <t>Next Interim Dividend Franking</t>
  </si>
  <si>
    <t>Next Int. Div. Frank Tax Rate</t>
  </si>
  <si>
    <t>(H)istoric/(E)stimate</t>
  </si>
  <si>
    <t>H</t>
  </si>
  <si>
    <t>E</t>
  </si>
  <si>
    <t>Next Interim Reporting Date</t>
  </si>
  <si>
    <t>Period Flag (Y,H,Q1,Q3)</t>
  </si>
  <si>
    <t>Next Final Dividend Amount</t>
  </si>
  <si>
    <t>Period Ending</t>
  </si>
  <si>
    <t>Next Final Dividend Ex-date</t>
  </si>
  <si>
    <t>Update Flag</t>
  </si>
  <si>
    <t>Next Final Dividend Franking</t>
  </si>
  <si>
    <t>Next Final Div. Frank Tax Rate</t>
  </si>
  <si>
    <t>Next Final Reporting Date</t>
  </si>
  <si>
    <t>Capital Changes Last Year</t>
  </si>
  <si>
    <t>INVESTMENT STATISTICS</t>
  </si>
  <si>
    <t>DRP Exists (Y/N)</t>
  </si>
  <si>
    <t>DRP Period</t>
  </si>
  <si>
    <t>DRP Discount</t>
  </si>
  <si>
    <t>AGM Reporting Date</t>
  </si>
  <si>
    <t>Assumption 1</t>
  </si>
  <si>
    <t>Dividend Per Share</t>
  </si>
  <si>
    <t>Assumption 2</t>
  </si>
  <si>
    <t>Yield</t>
  </si>
  <si>
    <t>Assumption 3</t>
  </si>
  <si>
    <t>Franking</t>
  </si>
  <si>
    <t>Assumption 4</t>
  </si>
  <si>
    <t>Assumption 5</t>
  </si>
  <si>
    <t>Debt/Equity</t>
  </si>
  <si>
    <t>Remarks 1</t>
  </si>
  <si>
    <t>NTA Per Share</t>
  </si>
  <si>
    <t>Remarks 2</t>
  </si>
  <si>
    <t>EFPOWA</t>
  </si>
  <si>
    <t>Remarks 3</t>
  </si>
  <si>
    <t>Share Base For NTA Calculation</t>
  </si>
  <si>
    <t>Sales</t>
  </si>
  <si>
    <t>Other Securities Information</t>
  </si>
  <si>
    <t>EBITDA</t>
  </si>
  <si>
    <t>Depreciation/Amortisation</t>
  </si>
  <si>
    <t>Buy Price</t>
  </si>
  <si>
    <t>Net Interest</t>
  </si>
  <si>
    <t>Sell Price</t>
  </si>
  <si>
    <t>Tax Expense</t>
  </si>
  <si>
    <t>Management Rating (1-10)</t>
  </si>
  <si>
    <t>Minority Interest</t>
  </si>
  <si>
    <t>EPS Growth Rate Forecast -Yr3</t>
  </si>
  <si>
    <t>Net Debt Year End</t>
  </si>
  <si>
    <t>EPS Growth Rate Forecast -Yr4</t>
  </si>
  <si>
    <t>EPS Growth Rate Forecast -Yr5</t>
  </si>
  <si>
    <t>EPS Growth Rate Forecast -Yr6</t>
  </si>
  <si>
    <t>EPS Growth Rate Forecast -Yr7</t>
  </si>
  <si>
    <t>EPS Growth Rate Forecast -Yr8</t>
  </si>
  <si>
    <t>EPS Growth Rate Forecast -Yr9</t>
  </si>
  <si>
    <t>EPS Growth Rate Forecast -Yr10</t>
  </si>
  <si>
    <t>Low Range Forecast Net Profit</t>
  </si>
  <si>
    <t xml:space="preserve"> PROFIT &amp; LOSS STATEMENT</t>
  </si>
  <si>
    <t>High Range Forecast Net Profit</t>
  </si>
  <si>
    <t>Operating Revenue</t>
  </si>
  <si>
    <t>Bal. Of Tax Losses - Forecast</t>
  </si>
  <si>
    <t>Sales Revenue</t>
  </si>
  <si>
    <t>Free Float %</t>
  </si>
  <si>
    <t>Interest Revenue</t>
  </si>
  <si>
    <t>Normalised EPS</t>
  </si>
  <si>
    <t>Dividends Received</t>
  </si>
  <si>
    <t>Latest Historic ROE</t>
  </si>
  <si>
    <t>Proceeds arising from the sale of non-current assets</t>
  </si>
  <si>
    <t>Five Year Peak ROE</t>
  </si>
  <si>
    <t>Other Revenue</t>
  </si>
  <si>
    <t>Total Operating Revenue</t>
  </si>
  <si>
    <t>Total Operating Costs</t>
  </si>
  <si>
    <t>Book value of non-current assets sold</t>
  </si>
  <si>
    <t>Other Non Trading Profit</t>
  </si>
  <si>
    <t>Expenses</t>
  </si>
  <si>
    <t>Depreciation of Fixed Assets</t>
  </si>
  <si>
    <t>Amortisation of Intangibles</t>
  </si>
  <si>
    <t>Amortisation of Goodwill</t>
  </si>
  <si>
    <t>Total Depreciation/Amortisation</t>
  </si>
  <si>
    <t>EBIT</t>
  </si>
  <si>
    <t>Interest Expense</t>
  </si>
  <si>
    <t>Net Interest Income / Expense</t>
  </si>
  <si>
    <t>Operating profit or loss before tax (pre abnormals)</t>
  </si>
  <si>
    <t>Income tax attrib. to operating profit or loss (pre abnorm)</t>
  </si>
  <si>
    <t>Operating profit or loss after income tax (pre abnormals)</t>
  </si>
  <si>
    <t>Share Of Associated Company Earnings (Post Tax) (Where applicable)</t>
  </si>
  <si>
    <t>Profit or loss before tax on abnormal items</t>
  </si>
  <si>
    <t>Income tax attributable to profit or loss on abnormal items</t>
  </si>
  <si>
    <t>Profit or loss on abnormal items after income tax</t>
  </si>
  <si>
    <t>Operating profit or loss before tax (post abnormals)</t>
  </si>
  <si>
    <t>Income tax attributable to operating profit or loss (post abnormals)</t>
  </si>
  <si>
    <t>Operating profit or loss after income tax (post abnormals)</t>
  </si>
  <si>
    <t>Profit or loss before tax on extraordinary items</t>
  </si>
  <si>
    <t>Income tax attributable to profit or loss on extraordinary items</t>
  </si>
  <si>
    <t>Profit or loss on extraordinary items after income tax</t>
  </si>
  <si>
    <t>Opr. profit or loss and extraord. items after inc. tax (post abnorm)</t>
  </si>
  <si>
    <t>Outside equity interests in opr. profit or loss and extraord items after inc. tax</t>
  </si>
  <si>
    <t>Preference Dividends provided for or paid</t>
  </si>
  <si>
    <t>Opr. profit or loss and extraord. items after inc. tax attrib.to mbrs of the chief entity</t>
  </si>
  <si>
    <t>Retained profits or accum losses at the beginning of the financial year</t>
  </si>
  <si>
    <t>Aggregate of amounts transferred from reserves</t>
  </si>
  <si>
    <t>Total available for appropriation</t>
  </si>
  <si>
    <t>Ordinary Dividends provided for or paid</t>
  </si>
  <si>
    <t>Franking Tax Rate</t>
  </si>
  <si>
    <t>Net aggregate of amounts transferred to reserves</t>
  </si>
  <si>
    <t>Other appropriations</t>
  </si>
  <si>
    <t>Retained profits or accumulated losses at the end of the financial year</t>
  </si>
  <si>
    <t>Profit Adjustment for EPS</t>
  </si>
  <si>
    <t>BALANCE SHEET</t>
  </si>
  <si>
    <t>Current Assets</t>
  </si>
  <si>
    <t>Cash &amp; Equivalents</t>
  </si>
  <si>
    <t>Trade Debtors</t>
  </si>
  <si>
    <t>Other receivables</t>
  </si>
  <si>
    <t>Investments</t>
  </si>
  <si>
    <t>Inventories</t>
  </si>
  <si>
    <t>Other</t>
  </si>
  <si>
    <t>Total Current Assets</t>
  </si>
  <si>
    <t>Non Current Assets</t>
  </si>
  <si>
    <t>Trade debtors</t>
  </si>
  <si>
    <t>Land &amp; Buildings</t>
  </si>
  <si>
    <t>Plant And Equipment</t>
  </si>
  <si>
    <t>Goodwill</t>
  </si>
  <si>
    <t>Total Non Current Assets</t>
  </si>
  <si>
    <t>Total Assets</t>
  </si>
  <si>
    <t>Bank Overdraft</t>
  </si>
  <si>
    <t>Trade Creditors</t>
  </si>
  <si>
    <t>Other Creditors</t>
  </si>
  <si>
    <t>Borrowings</t>
  </si>
  <si>
    <t>Provisions</t>
  </si>
  <si>
    <t>Total Current Liabilities</t>
  </si>
  <si>
    <t>AUS</t>
  </si>
  <si>
    <t>NZL</t>
  </si>
  <si>
    <t>CHI</t>
  </si>
  <si>
    <t>OTH</t>
  </si>
  <si>
    <t>Non Current Liabilities</t>
  </si>
  <si>
    <t>Total Non Current Liabilities</t>
  </si>
  <si>
    <t>Total Liabilities</t>
  </si>
  <si>
    <t>Net Assets</t>
  </si>
  <si>
    <t>Net Tangible Assets</t>
  </si>
  <si>
    <t>Shareholders' Equity</t>
  </si>
  <si>
    <t>Ordinary Capital</t>
  </si>
  <si>
    <t>Preference, ConvertIble &amp; Other Capital</t>
  </si>
  <si>
    <t>Reserves</t>
  </si>
  <si>
    <t>Retained profits or accumulated losses</t>
  </si>
  <si>
    <t>Shareholders' equity attributable to members of the chief entity</t>
  </si>
  <si>
    <t>Outside equity interests in controlled entities</t>
  </si>
  <si>
    <t>Total Shareholders Equity</t>
  </si>
  <si>
    <t>NTA Adjustment for NTA Per Share Calculation</t>
  </si>
  <si>
    <t>Capital</t>
  </si>
  <si>
    <t>Ordinary Shares On Issue</t>
  </si>
  <si>
    <t>ConvertIble Notes</t>
  </si>
  <si>
    <t>Preference Shares</t>
  </si>
  <si>
    <t>Partly Paid Shares</t>
  </si>
  <si>
    <t>Options</t>
  </si>
  <si>
    <t>Total Capital</t>
  </si>
  <si>
    <t>Miscellaneous</t>
  </si>
  <si>
    <t>Number of Employees</t>
  </si>
  <si>
    <t>Balance Of Franking Credits</t>
  </si>
  <si>
    <t>Other 1</t>
  </si>
  <si>
    <t>Other 2</t>
  </si>
  <si>
    <t>Other 3</t>
  </si>
  <si>
    <t>Other 5</t>
  </si>
  <si>
    <t>Other 6</t>
  </si>
  <si>
    <t>Other 7</t>
  </si>
  <si>
    <t>Other 8</t>
  </si>
  <si>
    <t>Other 9</t>
  </si>
  <si>
    <t>Other 10</t>
  </si>
  <si>
    <t>Assumptions For Aggregate Market Value / EBITDA Calculations</t>
  </si>
  <si>
    <t>Value Of Non Listed Equity</t>
  </si>
  <si>
    <t>Present Value Of Benefits From Tax Losses</t>
  </si>
  <si>
    <t>Dividend / Investment Income</t>
  </si>
  <si>
    <t>Non-EBITDA Assets</t>
  </si>
  <si>
    <t>STATEMENT OF CASH FLOWS</t>
  </si>
  <si>
    <t>Cash Flows Relating To Operating Activities</t>
  </si>
  <si>
    <t>Receipts from customers</t>
  </si>
  <si>
    <t>Payments to suppliers and employees</t>
  </si>
  <si>
    <t>Dividends received</t>
  </si>
  <si>
    <t>Interest and other items of similar nature received</t>
  </si>
  <si>
    <t>Interest and other costs of finance paid</t>
  </si>
  <si>
    <t>Income taxes paid</t>
  </si>
  <si>
    <t>Net Operating Cash Flows</t>
  </si>
  <si>
    <t>Cash Flows Related To Investing Activities</t>
  </si>
  <si>
    <t>Payment for purchases of property, plant and equipment - Maintenance</t>
  </si>
  <si>
    <t>Payment for purchases of property, plant and equipment - Expansionary</t>
  </si>
  <si>
    <t>Proceeds from the sale of property, plant and equipment</t>
  </si>
  <si>
    <t>Payment for purchases of equity investments</t>
  </si>
  <si>
    <t>Loans to other entities</t>
  </si>
  <si>
    <t>Loans repaid by other entities</t>
  </si>
  <si>
    <t>Net Investing Cash Flows</t>
  </si>
  <si>
    <t>Cash Flows Related To Financing Activities</t>
  </si>
  <si>
    <t>Proceeds from issues of shares, options, etc.</t>
  </si>
  <si>
    <t>Proceeds from borrowings</t>
  </si>
  <si>
    <t>Repayment of borrowings</t>
  </si>
  <si>
    <t>Dividends paid</t>
  </si>
  <si>
    <t>Net Financing Cash Flows</t>
  </si>
  <si>
    <t>Net Increase(Decrease) In Cash Held</t>
  </si>
  <si>
    <t>Change In Working Capital</t>
  </si>
  <si>
    <t>GEOGRAPHICAL BREAKDOWN</t>
  </si>
  <si>
    <t>Code</t>
  </si>
  <si>
    <t>SALES REVENUE ($m)</t>
  </si>
  <si>
    <t>N/A</t>
  </si>
  <si>
    <t>Australia</t>
  </si>
  <si>
    <t>EBIT ($M)</t>
  </si>
  <si>
    <t>TOTAL ASSETS ($m)</t>
  </si>
  <si>
    <t>DIVISIONAL BREAKDOWN</t>
  </si>
  <si>
    <t>Oracle Temp. Table Name :</t>
  </si>
  <si>
    <t>INDUST_FINANCE_TEMP</t>
  </si>
  <si>
    <t>SE Cell Range:</t>
  </si>
  <si>
    <t>* Refers to Starting/Ending row for SE validation in this sheet.</t>
  </si>
  <si>
    <t>IS Cells Range :</t>
  </si>
  <si>
    <t>* Refers to starting/ending row for IS items in Industrials Template start/end rows.</t>
  </si>
  <si>
    <t xml:space="preserve">Starting Row in this sheet should be </t>
  </si>
  <si>
    <t>Financials Cells Range :</t>
  </si>
  <si>
    <t>Average</t>
  </si>
  <si>
    <t>Sum</t>
  </si>
  <si>
    <t>1995-2009E</t>
  </si>
  <si>
    <t>* Refers to starting/ending row for financial items in Industrials Template start/end rows.</t>
  </si>
  <si>
    <t>Cash Flow Cells Range:</t>
  </si>
  <si>
    <t>* Refers to starting/ending row for cash flow items in Industrials Template start/end rows.</t>
  </si>
  <si>
    <t>Segmentals Cell Range:</t>
  </si>
  <si>
    <t>* Refers to starting/ending row for Segmentals items in Industrials Template start/end rows.</t>
  </si>
  <si>
    <t>12 months</t>
  </si>
  <si>
    <t>Divisions Cell Range:</t>
  </si>
  <si>
    <t>Equity accounted / Associates</t>
  </si>
  <si>
    <t>* Refers to starting/ending row for Divisional items in Industrials Template start/end rows.</t>
  </si>
  <si>
    <t>SECURITY TABLE VALIDATION</t>
  </si>
  <si>
    <t>Description</t>
  </si>
  <si>
    <t>Oracle Column</t>
  </si>
  <si>
    <t>Template Column</t>
  </si>
  <si>
    <t>Template Row</t>
  </si>
  <si>
    <t>Validation</t>
  </si>
  <si>
    <t>Is It Required ?</t>
  </si>
  <si>
    <t>Conversion</t>
  </si>
  <si>
    <t>SE_CODE</t>
  </si>
  <si>
    <t>Name</t>
  </si>
  <si>
    <t>NAME</t>
  </si>
  <si>
    <t>ANALYST_CODE</t>
  </si>
  <si>
    <t>Current Year End</t>
  </si>
  <si>
    <t>Long Term Recommend.</t>
  </si>
  <si>
    <t>RECOMMEND_LTERM</t>
  </si>
  <si>
    <t>2016F</t>
  </si>
  <si>
    <t>Short Term Recommend.</t>
  </si>
  <si>
    <t>RECOMMEND_STERM</t>
  </si>
  <si>
    <t>Commentary 1</t>
  </si>
  <si>
    <t>COMMENTS1</t>
  </si>
  <si>
    <t>Commentary 2</t>
  </si>
  <si>
    <t>COMMENTS2</t>
  </si>
  <si>
    <t>Interim Dividend Amount</t>
  </si>
  <si>
    <t>INT_DIV_AMOUNT</t>
  </si>
  <si>
    <t>Interim Dividend Ex Date</t>
  </si>
  <si>
    <t>INT_DIV_EXDATE</t>
  </si>
  <si>
    <t>Interim Dividend Franking</t>
  </si>
  <si>
    <t>INT_DIV_FRANK</t>
  </si>
  <si>
    <t>Interim Dividend Frank Rate</t>
  </si>
  <si>
    <t>INT_DIV_TAXRATE</t>
  </si>
  <si>
    <t>Final Dividend Amount</t>
  </si>
  <si>
    <t>FINAL_DIV_AMOUNT</t>
  </si>
  <si>
    <t>Final Dividend Ex Date</t>
  </si>
  <si>
    <t>FINAL_DIV_EXDATE</t>
  </si>
  <si>
    <t>Final Dividend Franking</t>
  </si>
  <si>
    <t>FINAL_DIV_FRANK</t>
  </si>
  <si>
    <t>Final Dividend Frank Rate</t>
  </si>
  <si>
    <t>FINAL_DIV_TAXRATE</t>
  </si>
  <si>
    <t>Interim Reporting Date</t>
  </si>
  <si>
    <t>INT_REP_DATE</t>
  </si>
  <si>
    <t>Final Reporting Date</t>
  </si>
  <si>
    <t>FINAL_REP_DATE</t>
  </si>
  <si>
    <t>AGM_REP_DATE</t>
  </si>
  <si>
    <t>Alt User</t>
  </si>
  <si>
    <t>ALT_USER</t>
  </si>
  <si>
    <t>Assumption Header 1</t>
  </si>
  <si>
    <t>ASSUMPT_HEADER1</t>
  </si>
  <si>
    <t>Assumption Header 2</t>
  </si>
  <si>
    <t>ASSUMPT_HEADER2</t>
  </si>
  <si>
    <t>Assumption Header 3</t>
  </si>
  <si>
    <t>ASSUMPT_HEADER3</t>
  </si>
  <si>
    <t>Assumption Header 4</t>
  </si>
  <si>
    <t>ASSUMPT_HEADER4</t>
  </si>
  <si>
    <t>Assumption Header 5</t>
  </si>
  <si>
    <t>ASSUMPT_HEADER5</t>
  </si>
  <si>
    <t>Note - dif from model b/c this sheet requires statutory reported PBT (ie. not removing effects of associates). LION will also be inconsistent with model no.</t>
  </si>
  <si>
    <t>REMARK1</t>
  </si>
  <si>
    <t>REMARK2</t>
  </si>
  <si>
    <t>REMARK3</t>
  </si>
  <si>
    <t>Print On ISDL</t>
  </si>
  <si>
    <t>PRINT_ON_ISDL</t>
  </si>
  <si>
    <t>Small Company</t>
  </si>
  <si>
    <t>SMALL_CO</t>
  </si>
  <si>
    <t>Equinet</t>
  </si>
  <si>
    <t>EQUINET</t>
  </si>
  <si>
    <t>Capital Changes</t>
  </si>
  <si>
    <t>CAPITAL_CHANGES</t>
  </si>
  <si>
    <t>DRP Exists</t>
  </si>
  <si>
    <t>DRP_EXISTS</t>
  </si>
  <si>
    <t>DRP_PERIOD</t>
  </si>
  <si>
    <t>DRP_DISCOUNT</t>
  </si>
  <si>
    <t>Report Type</t>
  </si>
  <si>
    <t>REPORT_TYPE</t>
  </si>
  <si>
    <t>BUY_PRICE</t>
  </si>
  <si>
    <t>SELL_PRICE</t>
  </si>
  <si>
    <t>Management Rating</t>
  </si>
  <si>
    <t>MGMT_RATING</t>
  </si>
  <si>
    <t>Est. EPS Growth Rate - Year 3</t>
  </si>
  <si>
    <t>EPS_GROWTH_YR3</t>
  </si>
  <si>
    <t>Est. EPS Growth Rate - Year 4</t>
  </si>
  <si>
    <t>EPS_GROWTH_YR4</t>
  </si>
  <si>
    <t>Est. EPS Growth Rate - Year 5</t>
  </si>
  <si>
    <t>EPS_GROWTH_YR5</t>
  </si>
  <si>
    <t>Est. EPS Growth Rate - Year 6</t>
  </si>
  <si>
    <t>Interest revenue</t>
  </si>
  <si>
    <t>Interest expense</t>
  </si>
  <si>
    <t>EPS_GROWTH_YR6</t>
  </si>
  <si>
    <t>Est. EPS Growth Rate - Year 7</t>
  </si>
  <si>
    <t>EPS_GROWTH_YR7</t>
  </si>
  <si>
    <t>Est. EPS Growth Rate - Year 8</t>
  </si>
  <si>
    <t>EPS_GROWTH_YR8</t>
  </si>
  <si>
    <t>Est. EPS Growth Rate - Year 9</t>
  </si>
  <si>
    <t>EPS_GROWTH_YR9</t>
  </si>
  <si>
    <t>Est. EPS Growth Rate - Year 10</t>
  </si>
  <si>
    <t>EPS_GROWTH_YR10</t>
  </si>
  <si>
    <t>Low Range Forecast Net Opr. Profit</t>
  </si>
  <si>
    <t>LOW_RANGE_FORECAST</t>
  </si>
  <si>
    <t>High Range Forecast Net Opr. Profit</t>
  </si>
  <si>
    <t>HIGH_RANGE_FORECAST</t>
  </si>
  <si>
    <t>Balance Of Tax Losses - Forecast</t>
  </si>
  <si>
    <t>BALANCE_TAX_LOSSES</t>
  </si>
  <si>
    <t>FREE_FLOAT</t>
  </si>
  <si>
    <t>NORMALISED_EPS</t>
  </si>
  <si>
    <t>LATEST_HIST_ROE</t>
  </si>
  <si>
    <t>5 Year Peak ROE</t>
  </si>
  <si>
    <t>FIVE_YR_PEAK_ROE</t>
  </si>
  <si>
    <t>Growth</t>
  </si>
  <si>
    <t>** NOTE - Blank columns in validation items denote either a matching</t>
  </si>
  <si>
    <t xml:space="preserve">blank line in the template or template items that are displayed but not </t>
  </si>
  <si>
    <t>stored in the research database.</t>
  </si>
  <si>
    <t>TEMPLATE FINANCIAL ITEM VALIDATION</t>
  </si>
  <si>
    <t>Oracle Column Names</t>
  </si>
  <si>
    <t>Conversion Factor</t>
  </si>
  <si>
    <t>Ceiling</t>
  </si>
  <si>
    <t>Required</t>
  </si>
  <si>
    <t>NET_PROFIT</t>
  </si>
  <si>
    <t>EPS_PRE_GWILL</t>
  </si>
  <si>
    <t>DPS</t>
  </si>
  <si>
    <t>FRANKING</t>
  </si>
  <si>
    <t>DEBT_EQUITY</t>
  </si>
  <si>
    <t>NTA_PER_SHARE</t>
  </si>
  <si>
    <t>Risk to earnings (+,0,-):</t>
  </si>
  <si>
    <t>EFPO</t>
  </si>
  <si>
    <t>OUTSIDE_EQTY_PRE_AB</t>
  </si>
  <si>
    <t>NET_DEBT</t>
  </si>
  <si>
    <t>ASSUMPT1</t>
  </si>
  <si>
    <t>ASSUMPT2</t>
  </si>
  <si>
    <t>ASSUMPT3</t>
  </si>
  <si>
    <t>ASSUMPT4</t>
  </si>
  <si>
    <t>ASSUMPT5</t>
  </si>
  <si>
    <t>SALES_REVENUE</t>
  </si>
  <si>
    <t>INTEREST_REVENUE</t>
  </si>
  <si>
    <t>DIVIDENDS_RECEIVED</t>
  </si>
  <si>
    <t>PROCEEDS_NCASSET</t>
  </si>
  <si>
    <t>OTHER_REVENUE</t>
  </si>
  <si>
    <t>TOTAL_OPR_REVENUE</t>
  </si>
  <si>
    <t>TOTAL_OPR_COSTS</t>
  </si>
  <si>
    <t>NCASSET_BOOK_VAL</t>
  </si>
  <si>
    <t xml:space="preserve">OTHER_NON_TRADE_PROFIT </t>
  </si>
  <si>
    <t>DEPREC_FIXED_ASSET</t>
  </si>
  <si>
    <t>AMORT_OF_INTANGIBLES</t>
  </si>
  <si>
    <t>AMORT_OF_GWILL</t>
  </si>
  <si>
    <t>TOTAL_DEPREC_AMORT</t>
  </si>
  <si>
    <t>INTEREST_EXPENSE</t>
  </si>
  <si>
    <t>NET_INTEREST_INC_EXP</t>
  </si>
  <si>
    <t>OPPL_BTAX_PRE_AB</t>
  </si>
  <si>
    <t>INCTAX_OPPL_PRE_AB</t>
  </si>
  <si>
    <t>OPPL_ATAX_PRE_AB</t>
  </si>
  <si>
    <t xml:space="preserve">SHARE_OF_ASSOC_EARNS  </t>
  </si>
  <si>
    <t>PL_BTAX_ON_AB</t>
  </si>
  <si>
    <t>INCTAX_PL_ON_AB</t>
  </si>
  <si>
    <t>PL_ATAX_ON_AB</t>
  </si>
  <si>
    <t>OPPL_BTAX_POST_AB</t>
  </si>
  <si>
    <t>INCTAX_PL_POST_AB</t>
  </si>
  <si>
    <t>OPPL_ATAX_POST_AB</t>
  </si>
  <si>
    <t>PL_BTAX_ON_EXT_ORD</t>
  </si>
  <si>
    <t>INCTAX_PL_ON_EXT_ORD</t>
  </si>
  <si>
    <t>PL_ATAX_ON_EXT_ORD</t>
  </si>
  <si>
    <t>OPPL_EXTRA_ATAX_POSTAB</t>
  </si>
  <si>
    <t>OUTSIDE_EQTY_IN_OPPL</t>
  </si>
  <si>
    <t>PREF_DIVIDENDS_PROV</t>
  </si>
  <si>
    <t>2009F</t>
  </si>
  <si>
    <t>OPPL_EXTRA_ATAX_MBRS</t>
  </si>
  <si>
    <t>RETAIN_PL_STARTING</t>
  </si>
  <si>
    <t>AGGREG_FROM_RESERV</t>
  </si>
  <si>
    <t>TOTAL_FOR_APPROPS</t>
  </si>
  <si>
    <t>ORD_DIVIDENDS_PAID</t>
  </si>
  <si>
    <t>FRANK_TAX_RATE</t>
  </si>
  <si>
    <t>AGGREG_TO_RESERV</t>
  </si>
  <si>
    <t>OTHER_APPROPS</t>
  </si>
  <si>
    <t>RETAIN_PL_ENDING</t>
  </si>
  <si>
    <t>PROF_ADJUST_EPS</t>
  </si>
  <si>
    <t>CASH_AND_EQUIVS</t>
  </si>
  <si>
    <t>TRADE_DEBTORS</t>
  </si>
  <si>
    <t>OTHER_RECEIVABLES</t>
  </si>
  <si>
    <t>INVESTMENTS</t>
  </si>
  <si>
    <t>INVENTORIES</t>
  </si>
  <si>
    <t>CURR_ASSET_OTHER</t>
  </si>
  <si>
    <t>TOTAL_CURR_ASSETS</t>
  </si>
  <si>
    <t>NCASSET_TRADE_DEBTORS</t>
  </si>
  <si>
    <t>NCASSET_RECEIVABLES</t>
  </si>
  <si>
    <t>NCASSET_INVESTMENT</t>
  </si>
  <si>
    <t>NCASSET_INVENTORIES</t>
  </si>
  <si>
    <t xml:space="preserve"> Net Interest (Exp.)/Rev</t>
  </si>
  <si>
    <t>LAND_BUILDINGS</t>
  </si>
  <si>
    <t>PLANT_EQUIP</t>
  </si>
  <si>
    <t>GOODWILL</t>
  </si>
  <si>
    <t>NCASSET_OTHER</t>
  </si>
  <si>
    <t>TOTAL_NONCURR_ASSETS</t>
  </si>
  <si>
    <t>TOTAL_ASSETS</t>
  </si>
  <si>
    <t>BANK_ODRAFT</t>
  </si>
  <si>
    <t>TRADE_CREDITORS</t>
  </si>
  <si>
    <t>OTHER_CREDITORS</t>
  </si>
  <si>
    <t>BORROWINGS</t>
  </si>
  <si>
    <t>PROVISIONS</t>
  </si>
  <si>
    <t>OTHER_LIAB</t>
  </si>
  <si>
    <t>1H F.2004E</t>
  </si>
  <si>
    <t>F.2004E</t>
  </si>
  <si>
    <t>on 1H F.2003</t>
  </si>
  <si>
    <t>TOTAL_CURR_LIAB</t>
  </si>
  <si>
    <t>NCLIAB_TRADE_CREDITORS</t>
  </si>
  <si>
    <t>NCLIAB_OTHER_CREDITORS</t>
  </si>
  <si>
    <t>NCLIAB_BORROWINGS</t>
  </si>
  <si>
    <t>NCLIAB_PROVISIONS</t>
  </si>
  <si>
    <t>NCLIAB_OTHER</t>
  </si>
  <si>
    <t>TOTAL_NONCURR_LIAB</t>
  </si>
  <si>
    <t>TOTAL_LIABILITIES</t>
  </si>
  <si>
    <t>NET_ASSETS</t>
  </si>
  <si>
    <t>NET_TANGIBLE_ASSETS</t>
  </si>
  <si>
    <t>ORD_SHARE_CAPITAL</t>
  </si>
  <si>
    <t>PREF_CONV_OTH_CAPITAL</t>
  </si>
  <si>
    <t>RESERVES</t>
  </si>
  <si>
    <t>RETAIN_PROFIT_LOSS</t>
  </si>
  <si>
    <t>SHOLDERS_EQUITY_MBRS</t>
  </si>
  <si>
    <t>OUTSIDE_EQUITY</t>
  </si>
  <si>
    <t>TOTAL_SHOLDERS_EQTY</t>
  </si>
  <si>
    <t>DCF</t>
  </si>
  <si>
    <t>Risk to Earnings (+,0,-)</t>
  </si>
  <si>
    <t>Annual</t>
  </si>
  <si>
    <t>Net Profit - Reported</t>
  </si>
  <si>
    <t>EPS - Reported</t>
  </si>
  <si>
    <t>PER - Reported</t>
  </si>
  <si>
    <t>Free Cash Flow Per Share</t>
  </si>
  <si>
    <t>Price Free Cash Flow</t>
  </si>
  <si>
    <t>Operating Costs</t>
  </si>
  <si>
    <t xml:space="preserve">  Cost of Goods Sold</t>
  </si>
  <si>
    <t xml:space="preserve">  Selling, General &amp; Admin</t>
  </si>
  <si>
    <t xml:space="preserve">  Marketing/Advertising</t>
  </si>
  <si>
    <t xml:space="preserve">  Labour</t>
  </si>
  <si>
    <t xml:space="preserve">  Access and Connection</t>
  </si>
  <si>
    <t xml:space="preserve">  Research &amp; Development</t>
  </si>
  <si>
    <t xml:space="preserve">  Share Based Payments</t>
  </si>
  <si>
    <t xml:space="preserve">  Other Operating Costs</t>
  </si>
  <si>
    <t>IFRS Adjustments (Pre Tax)</t>
  </si>
  <si>
    <t xml:space="preserve">   Profit/Loss on defined benefit plan contribution (Pre Tax)</t>
  </si>
  <si>
    <t xml:space="preserve">   Goodwill Asset impairment Charge (Pre Tax)</t>
  </si>
  <si>
    <t xml:space="preserve">   Other Asset impairment Charge (Pre Tax)</t>
  </si>
  <si>
    <t xml:space="preserve">   Financial instruments/hedging (Pre Tax)</t>
  </si>
  <si>
    <t xml:space="preserve">   Other IFRS adjustments (Pre Tax)</t>
  </si>
  <si>
    <t>Total IFRS Adjustments (Pre Tax)</t>
  </si>
  <si>
    <t>IFRS Adjustments (Post Tax)</t>
  </si>
  <si>
    <t xml:space="preserve">   Profit/Loss on defined benefit plan contribution (Post Tax)</t>
  </si>
  <si>
    <t>AUTO-GENERATED BY TIGR NUMBERS SUBMISSION. DO NOT MODIFY OR DELETE!</t>
  </si>
  <si>
    <t>CURRENCY_ISO</t>
  </si>
  <si>
    <t>PRICE_CURRENCY_ISO</t>
  </si>
  <si>
    <t>PUB_CURRENCY_ISO</t>
  </si>
  <si>
    <r>
      <t xml:space="preserve">Enter the stock code of the target model in the following box and the current location of the model will display below.  You then </t>
    </r>
    <r>
      <rPr>
        <b/>
        <u/>
        <sz val="8"/>
        <rFont val="Univers LT Std 45 Light"/>
        <family val="2"/>
      </rPr>
      <t>manually</t>
    </r>
    <r>
      <rPr>
        <b/>
        <sz val="8"/>
        <rFont val="Univers LT Std 45 Light"/>
        <family val="2"/>
      </rPr>
      <t xml:space="preserve"> type this into the box above or "Copy , Paste, Special Values".</t>
    </r>
  </si>
  <si>
    <r>
      <t xml:space="preserve"> Reported NPAT (Pre NRI)</t>
    </r>
    <r>
      <rPr>
        <b/>
        <vertAlign val="superscript"/>
        <sz val="8"/>
        <rFont val="Univers LT Std 45 Light"/>
        <family val="2"/>
      </rPr>
      <t xml:space="preserve"> (1)</t>
    </r>
  </si>
  <si>
    <r>
      <t xml:space="preserve"> NET PROFIT (Adj.)</t>
    </r>
    <r>
      <rPr>
        <b/>
        <vertAlign val="superscript"/>
        <sz val="8"/>
        <rFont val="Univers LT Std 45 Light"/>
        <family val="2"/>
      </rPr>
      <t xml:space="preserve"> (2)</t>
    </r>
  </si>
  <si>
    <r>
      <t xml:space="preserve"> Return on Equity </t>
    </r>
    <r>
      <rPr>
        <b/>
        <vertAlign val="superscript"/>
        <sz val="8"/>
        <rFont val="Univers LT Std 45 Light"/>
        <family val="2"/>
      </rPr>
      <t>(3)</t>
    </r>
  </si>
  <si>
    <r>
      <t xml:space="preserve">This is the name of the file from which the Template is copied </t>
    </r>
    <r>
      <rPr>
        <b/>
        <u/>
        <sz val="8"/>
        <rFont val="Univers LT Std 45 Light"/>
        <family val="2"/>
      </rPr>
      <t>from</t>
    </r>
  </si>
  <si>
    <r>
      <t xml:space="preserve"> Growth Spend </t>
    </r>
    <r>
      <rPr>
        <vertAlign val="superscript"/>
        <sz val="8"/>
        <rFont val="Univers LT Std 45 Light"/>
        <family val="2"/>
      </rPr>
      <t>(4)</t>
    </r>
  </si>
  <si>
    <r>
      <t xml:space="preserve"> NET PROFIT (Adj.)</t>
    </r>
    <r>
      <rPr>
        <b/>
        <vertAlign val="superscript"/>
        <sz val="8"/>
        <rFont val="Univers LT Std 45 Light"/>
        <family val="2"/>
      </rPr>
      <t xml:space="preserve"> 1</t>
    </r>
  </si>
  <si>
    <r>
      <t xml:space="preserve"> Free Cash Flow </t>
    </r>
    <r>
      <rPr>
        <b/>
        <vertAlign val="superscript"/>
        <sz val="8"/>
        <rFont val="Univers LT Std 45 Light"/>
        <family val="2"/>
      </rPr>
      <t>2</t>
    </r>
  </si>
  <si>
    <r>
      <t xml:space="preserve"> EV (Adj.) </t>
    </r>
    <r>
      <rPr>
        <sz val="8"/>
        <rFont val="Univers LT Std 45 Light"/>
        <family val="2"/>
      </rPr>
      <t>3</t>
    </r>
  </si>
  <si>
    <t>6/11</t>
  </si>
  <si>
    <t>6/12E</t>
  </si>
  <si>
    <t>6/13E</t>
  </si>
  <si>
    <t>6/14E</t>
  </si>
  <si>
    <t xml:space="preserve"> Profit &amp; Loss (A$mn)</t>
  </si>
  <si>
    <t xml:space="preserve"> Divisional Analysis (A$mn)</t>
  </si>
  <si>
    <t xml:space="preserve"> Balance Sheet (A$mn)</t>
  </si>
  <si>
    <t xml:space="preserve"> Cash Flow Analysis (A$mn)</t>
  </si>
  <si>
    <t>Source: Company data, IRESS &amp; Goldman Sachs Research Estimates</t>
  </si>
  <si>
    <t>(2)    Net Profit (Adj.) is before NRI's &amp; Other Adjustments &amp; after Pref. Div's.</t>
  </si>
  <si>
    <t>(A$mn)</t>
  </si>
  <si>
    <t>(1)     Reported NPAT (pre NRI's) is before abnormal &amp; NRIs &amp; after Pref. Div's.</t>
  </si>
  <si>
    <t xml:space="preserve"> Goldman Sachs Adjustments:</t>
  </si>
  <si>
    <t>Goldman Sachs DCF Value:</t>
  </si>
  <si>
    <t>Source: Company data, Goldman Sachs Research estimates</t>
  </si>
  <si>
    <t>EPS (Goldman Sachs)</t>
  </si>
  <si>
    <t>Valuation</t>
  </si>
  <si>
    <t>Change on pcp</t>
  </si>
  <si>
    <t>As % of EBITDA</t>
  </si>
  <si>
    <t>CF_FX</t>
  </si>
  <si>
    <t>6/15E</t>
  </si>
  <si>
    <t>6/12</t>
  </si>
  <si>
    <t>2013 H1</t>
  </si>
  <si>
    <t>1H13</t>
  </si>
  <si>
    <t>Product Segment</t>
  </si>
  <si>
    <t>Beverage</t>
  </si>
  <si>
    <t>Product</t>
  </si>
  <si>
    <t>%</t>
  </si>
  <si>
    <t>Cooking</t>
  </si>
  <si>
    <t>Grillers, sandwich press, rice cookers</t>
  </si>
  <si>
    <t>water fiters</t>
  </si>
  <si>
    <t>slow cookers, woks,toasters</t>
  </si>
  <si>
    <t>Food Preparation</t>
  </si>
  <si>
    <t>Food processors, blenders, mixers</t>
  </si>
  <si>
    <t>Home Care</t>
  </si>
  <si>
    <t>irons,electric blankets,vacuum cleaners</t>
  </si>
  <si>
    <t>Pernal Care</t>
  </si>
  <si>
    <t xml:space="preserve">dental care, hair clippers, epilators, </t>
  </si>
  <si>
    <t>dryers,shavers, scales</t>
  </si>
  <si>
    <t>Source: Company data</t>
  </si>
  <si>
    <t>Breville Australia - Market Share by Product Segment</t>
  </si>
  <si>
    <t>Coffee makers, juicers,kettles</t>
  </si>
  <si>
    <t>Market Share</t>
  </si>
  <si>
    <t>EBIT Margin</t>
  </si>
  <si>
    <t>1H14</t>
  </si>
  <si>
    <t>2H13</t>
  </si>
  <si>
    <t>2H14</t>
  </si>
  <si>
    <t>Gudiance</t>
  </si>
  <si>
    <t>FY13</t>
  </si>
  <si>
    <t>FY14</t>
  </si>
  <si>
    <t>AUD m</t>
  </si>
  <si>
    <t>Revenue</t>
  </si>
  <si>
    <t>Juicer Revenue</t>
  </si>
  <si>
    <t>USD m</t>
  </si>
  <si>
    <t>Gross Profits</t>
  </si>
  <si>
    <t>Global Product EBIT</t>
  </si>
  <si>
    <t>Distribution EBIT</t>
  </si>
  <si>
    <t>FY17</t>
  </si>
  <si>
    <t>GROUP EBIT Margin</t>
  </si>
  <si>
    <t>FX ASSUMPTION FOR AUDUSD</t>
  </si>
  <si>
    <t>Noth American Global Products (US$m)</t>
  </si>
  <si>
    <t>Growth in US$</t>
  </si>
  <si>
    <t>North American Global Products (A$m)</t>
  </si>
  <si>
    <t>Growth in A$</t>
  </si>
  <si>
    <t>FX ASSUMPTION FOR AUDGBP</t>
  </si>
  <si>
    <t>FX ASSUMPTION FOR AUDEUR</t>
  </si>
  <si>
    <t>Backsolved assumption for splits b/w GBP and EUR</t>
  </si>
  <si>
    <t>Growth in GBP_EUR</t>
  </si>
  <si>
    <t>Assumption for % that is UK</t>
  </si>
  <si>
    <t>Assumption for % that is EUR</t>
  </si>
  <si>
    <t>ANZ Global Products (A$m)</t>
  </si>
  <si>
    <t>Total Global Products Revenues  (A$m)</t>
  </si>
  <si>
    <t>Change</t>
  </si>
  <si>
    <t>Depreciation &amp; Amortisation</t>
  </si>
  <si>
    <t>M&amp;A probability (1 = high, 3 = low)</t>
  </si>
  <si>
    <t>Net Debt to EBITDA</t>
  </si>
  <si>
    <t>FY18</t>
  </si>
  <si>
    <t>Rest of World Products - Asia (US$mn)</t>
  </si>
  <si>
    <t>Rest of World Products  Total (A$m)</t>
  </si>
  <si>
    <t>Rest of World Products - Europe (A$mn)</t>
  </si>
  <si>
    <t>Rest of World Products - Asia (A$mn)</t>
  </si>
  <si>
    <t>1H: 2H split</t>
  </si>
  <si>
    <t>FY23E</t>
  </si>
  <si>
    <t>Depn/Sales</t>
  </si>
  <si>
    <t>FY19</t>
  </si>
  <si>
    <t xml:space="preserve">Rest of World Products - Europe </t>
  </si>
  <si>
    <t>Total Sales (A$m)</t>
  </si>
  <si>
    <t>GP Margin</t>
  </si>
  <si>
    <t>FY20</t>
  </si>
  <si>
    <t>Gross Profit (A$mn)</t>
  </si>
  <si>
    <t>…as a  % of revenues</t>
  </si>
  <si>
    <t>Employee costs</t>
  </si>
  <si>
    <t>Lease and utilities</t>
  </si>
  <si>
    <t>Advertising and marketing</t>
  </si>
  <si>
    <t>FY21</t>
  </si>
  <si>
    <t>Buy</t>
  </si>
  <si>
    <t>Rating</t>
  </si>
  <si>
    <t>Current shares outstanding (mn):</t>
  </si>
  <si>
    <t>Currency:</t>
  </si>
  <si>
    <t>Current Publication Date:</t>
  </si>
  <si>
    <t>Previous Publication Date:</t>
  </si>
  <si>
    <t xml:space="preserve">Team Contacts: </t>
  </si>
  <si>
    <t>NEW REPORTING STRUCTURE</t>
  </si>
  <si>
    <t>AMERICAS Global Products (A$m)</t>
  </si>
  <si>
    <t>AMERICAS Global Products (US$m)</t>
  </si>
  <si>
    <t>EMEA Global Products (EUR$m)</t>
  </si>
  <si>
    <t>Constant current growth</t>
  </si>
  <si>
    <t>REPORTED Net profit (after NRIs)</t>
  </si>
  <si>
    <t>Reported EBITDA</t>
  </si>
  <si>
    <t>POST AASB16 BASIS ==&gt;&gt;</t>
  </si>
  <si>
    <t>Post AASB16 
basis ==&gt;&gt;</t>
  </si>
  <si>
    <t>H1 17</t>
  </si>
  <si>
    <t>H2 17</t>
  </si>
  <si>
    <t>H1 18</t>
  </si>
  <si>
    <t>H2 18</t>
  </si>
  <si>
    <t>H1 19</t>
  </si>
  <si>
    <t>H2 19</t>
  </si>
  <si>
    <t>H1 20</t>
  </si>
  <si>
    <t>H2 20</t>
  </si>
  <si>
    <t>H1 21</t>
  </si>
  <si>
    <t>H2 21</t>
  </si>
  <si>
    <t>H1 22</t>
  </si>
  <si>
    <t>H2 22e</t>
  </si>
  <si>
    <t>Right-of-use assets</t>
  </si>
  <si>
    <t>Principal elements of lease payment</t>
  </si>
  <si>
    <t>Net forex difference</t>
  </si>
  <si>
    <t>Cash as at 1 July</t>
  </si>
  <si>
    <t>Other income</t>
  </si>
  <si>
    <t>Lease difference</t>
  </si>
  <si>
    <t>Interest AASB16</t>
  </si>
  <si>
    <t>PBT diff</t>
  </si>
  <si>
    <t>D&amp;A</t>
  </si>
  <si>
    <t>Amortisation</t>
  </si>
  <si>
    <t>Depreciation (Right of use assets)</t>
  </si>
  <si>
    <t>Lease interest expense</t>
  </si>
  <si>
    <t>EFPOWA (diluted)</t>
  </si>
  <si>
    <t>Summary P&amp;L statement</t>
  </si>
  <si>
    <t>Group Revenue</t>
  </si>
  <si>
    <t>UNDERLYING EBIT</t>
  </si>
  <si>
    <t>Plant and Equipment</t>
  </si>
  <si>
    <t>Gross carrying amount</t>
  </si>
  <si>
    <t>Accumulated depreciation and impairment</t>
  </si>
  <si>
    <t>Net Carrying amount</t>
  </si>
  <si>
    <t>Carrying amount at the beginning of the year</t>
  </si>
  <si>
    <t>Additions</t>
  </si>
  <si>
    <t>Additions from acquisitions</t>
  </si>
  <si>
    <t>Disposals</t>
  </si>
  <si>
    <t>Net exchange difference</t>
  </si>
  <si>
    <t>Carry amount at the end of the year</t>
  </si>
  <si>
    <t>Other intangible assets</t>
  </si>
  <si>
    <t>Goodwill and Brand names</t>
  </si>
  <si>
    <t>Net goodwill and brand names</t>
  </si>
  <si>
    <t>Right of use assets</t>
  </si>
  <si>
    <t>Opening balance</t>
  </si>
  <si>
    <t>Closing balance</t>
  </si>
  <si>
    <t>Principal payments</t>
  </si>
  <si>
    <t>Interest on lease</t>
  </si>
  <si>
    <t xml:space="preserve">   o/w current liabilities</t>
  </si>
  <si>
    <t>% interest</t>
  </si>
  <si>
    <t>Capex calculation</t>
  </si>
  <si>
    <t>Capital expenditure - maintenance (% of sales)</t>
  </si>
  <si>
    <t>Capital expenditure - expansion (% of sales)</t>
  </si>
  <si>
    <t>Opening borrowings</t>
  </si>
  <si>
    <t>Proceeds</t>
  </si>
  <si>
    <t>Repayments</t>
  </si>
  <si>
    <t>Impact of Forex</t>
  </si>
  <si>
    <t>Total borrowings</t>
  </si>
  <si>
    <t xml:space="preserve">   o/w Current</t>
  </si>
  <si>
    <t xml:space="preserve">   o/w Non-Current</t>
  </si>
  <si>
    <t>Finance costs (debt component)</t>
  </si>
  <si>
    <t>Finance income</t>
  </si>
  <si>
    <t>Pre-AASB16</t>
  </si>
  <si>
    <t>Opex Pre-AASB16</t>
  </si>
  <si>
    <t>D&amp;A difference</t>
  </si>
  <si>
    <t>YoY %</t>
  </si>
  <si>
    <t>Opex</t>
  </si>
  <si>
    <t>Underlying EBITDA</t>
  </si>
  <si>
    <t>Check</t>
  </si>
  <si>
    <t>Balance Sheet Ratios</t>
  </si>
  <si>
    <t xml:space="preserve">Acquisition Baratza Oct 2020 </t>
  </si>
  <si>
    <t>Forex Difference</t>
  </si>
  <si>
    <t>Sum of the Parts Valuation</t>
  </si>
  <si>
    <t>Division</t>
  </si>
  <si>
    <t>Forecast EBIT</t>
  </si>
  <si>
    <t xml:space="preserve">EBIT </t>
  </si>
  <si>
    <t>X</t>
  </si>
  <si>
    <t>A$mn</t>
  </si>
  <si>
    <t>Enterprise Value (A$mn)</t>
  </si>
  <si>
    <t>Less Minorities</t>
  </si>
  <si>
    <t>Equity Value (A$mn)</t>
  </si>
  <si>
    <t>Implied Value Per Share (A$)</t>
  </si>
  <si>
    <t>Risk Free</t>
  </si>
  <si>
    <t>MRP</t>
  </si>
  <si>
    <t>Ke</t>
  </si>
  <si>
    <t>Kd</t>
  </si>
  <si>
    <t>Key Inputs</t>
  </si>
  <si>
    <t>M&amp;A</t>
  </si>
  <si>
    <t>M&amp;A Score</t>
  </si>
  <si>
    <t>Implied M&amp;A Value</t>
  </si>
  <si>
    <t>Equity Value Per Share</t>
  </si>
  <si>
    <t>% weighting</t>
  </si>
  <si>
    <t>Target Price | Equally Weighted DCF &amp; EV/EBIT SOTP</t>
  </si>
  <si>
    <t>Dividend Yield</t>
  </si>
  <si>
    <t>Global Products</t>
  </si>
  <si>
    <t>Distribution</t>
  </si>
  <si>
    <t>Gross Profit</t>
  </si>
  <si>
    <t>DEP_AMORT_EXP</t>
  </si>
  <si>
    <t>NET_INC_ADJ</t>
  </si>
  <si>
    <t>CF_OP</t>
  </si>
  <si>
    <t>This sheet contains FactSet XML data for use with this workbook's =FDS codes.  Modifying the worksheet's contents may damage the workbook's =FDS functionality.</t>
  </si>
  <si>
    <t>Growth rate in Local Currency</t>
  </si>
  <si>
    <t>FX ASSUMPTION FOR AUD/Rest of APAC</t>
  </si>
  <si>
    <t>APAC Global Products (Local Currency)</t>
  </si>
  <si>
    <t>ANZ Consumer &amp; Retail Team</t>
  </si>
  <si>
    <t>Target Price/ Target price period/ Upside/downside to target price</t>
  </si>
  <si>
    <r>
      <t xml:space="preserve">Market Cap (US$ mn) </t>
    </r>
    <r>
      <rPr>
        <sz val="10"/>
        <rFont val="helvetica"/>
      </rPr>
      <t>(</t>
    </r>
    <r>
      <rPr>
        <i/>
        <sz val="9"/>
        <color theme="1"/>
        <rFont val="Calibri"/>
        <family val="2"/>
      </rPr>
      <t>price as of ______</t>
    </r>
    <r>
      <rPr>
        <sz val="10"/>
        <rFont val="helvetica"/>
      </rPr>
      <t>)</t>
    </r>
    <r>
      <rPr>
        <b/>
        <sz val="10.5"/>
        <color theme="1"/>
        <rFont val="Calibri"/>
        <family val="2"/>
      </rPr>
      <t>:</t>
    </r>
  </si>
  <si>
    <t>Breville Group Ltd (BRG.AX)</t>
  </si>
  <si>
    <t>Goldman Sachs</t>
  </si>
  <si>
    <t>Date of Valuation</t>
  </si>
  <si>
    <t>Stock price</t>
  </si>
  <si>
    <t>Number of shares outstanding</t>
  </si>
  <si>
    <t>Long term expected inflation</t>
  </si>
  <si>
    <t>Major assumptions in WACC calculation</t>
  </si>
  <si>
    <t>D/E</t>
  </si>
  <si>
    <t>Risk free rate</t>
  </si>
  <si>
    <t>Market risk premium</t>
  </si>
  <si>
    <t>Pre tax cost of debt</t>
  </si>
  <si>
    <t>FORECAST CASH FLOWS</t>
  </si>
  <si>
    <t>End of Financial Year</t>
  </si>
  <si>
    <t>Beyond</t>
  </si>
  <si>
    <t>Weighted Average Cost of Capital (WACC)</t>
  </si>
  <si>
    <t>Discount Factor From Mid-Year</t>
  </si>
  <si>
    <t>VALUATION</t>
  </si>
  <si>
    <t>Add : Market Value of Investments</t>
  </si>
  <si>
    <t>Less : Debt</t>
  </si>
  <si>
    <t>Number of ordinary shares outstanding</t>
  </si>
  <si>
    <t>Risked adjusted option value</t>
  </si>
  <si>
    <t>INTRINSIC PER SHARE VALUE</t>
  </si>
  <si>
    <t>CALCULATION OF STANDARD FREE OPERATING CASHFLOW</t>
  </si>
  <si>
    <t>(Minority interests)</t>
  </si>
  <si>
    <t>Depreciation and amortisation expense</t>
  </si>
  <si>
    <t>(Increase in working capital)</t>
  </si>
  <si>
    <t>(Maintenance CAPEX)</t>
  </si>
  <si>
    <t>(Profits)/losses on asset sales</t>
  </si>
  <si>
    <t>Total (pre acquisitions/disposals)</t>
  </si>
  <si>
    <t>Taxation</t>
  </si>
  <si>
    <t>Taxation per earnings statement</t>
  </si>
  <si>
    <t>(Tax on minority interests)</t>
  </si>
  <si>
    <t>(PDIT years adj)</t>
  </si>
  <si>
    <t>FITBs years adj</t>
  </si>
  <si>
    <t>Tax effect of (profits)/losses on asset sales</t>
  </si>
  <si>
    <t>Tax on net interest paid</t>
  </si>
  <si>
    <t>Effective tax</t>
  </si>
  <si>
    <t>CASHFLOW (PRE ADJUSTMENTS)</t>
  </si>
  <si>
    <t>Increase on pcp</t>
  </si>
  <si>
    <t>Adjustments for Cashflows for Acquisitions / Disposals / Expansionary CAPEX</t>
  </si>
  <si>
    <t>Proceeds from asset sales</t>
  </si>
  <si>
    <t>(Funds paid for acquisitions)</t>
  </si>
  <si>
    <t>Expansionary CAPEX (if included in profit forecasts)</t>
  </si>
  <si>
    <t>(Dividends on investments)</t>
  </si>
  <si>
    <t>STD FREE OPERATING CASHFLOW</t>
  </si>
  <si>
    <t>CALCULATION OF THE VALUE PER SHARE OF FRANKING CREDITS</t>
  </si>
  <si>
    <t>Note that this calculates the value placed on franking credits by the market.</t>
  </si>
  <si>
    <t>Their value to individual investors vary depending upon tax status.</t>
  </si>
  <si>
    <t>Dividends to be paid per share (cum only)</t>
  </si>
  <si>
    <t>Franking percentage</t>
  </si>
  <si>
    <t>Imputation credits attached</t>
  </si>
  <si>
    <t>% of imputation credits valued by market</t>
  </si>
  <si>
    <t>Discount factor to mid-year</t>
  </si>
  <si>
    <t>Present value of imputation credits</t>
  </si>
  <si>
    <t>DISCOUNTED CASH FLOW (DCF) MODEL FOR Breville Group Ltd.</t>
  </si>
  <si>
    <t>DCF MODEL</t>
  </si>
  <si>
    <t>Current share price</t>
  </si>
  <si>
    <t>Implied upside</t>
  </si>
  <si>
    <t>Total return</t>
  </si>
  <si>
    <t>Net interest (expense)/income</t>
  </si>
  <si>
    <t>CODB</t>
  </si>
  <si>
    <t>Group EBIT</t>
  </si>
  <si>
    <t>Underlying NPAT</t>
  </si>
  <si>
    <t>Operating cash flow</t>
  </si>
  <si>
    <t>% of sales Mix</t>
  </si>
  <si>
    <t>DTC EBIT</t>
  </si>
  <si>
    <t>DTC Business (solutions, products, and Beanz)</t>
  </si>
  <si>
    <t>Adjacencies: Solutions/DTC</t>
  </si>
  <si>
    <t xml:space="preserve">Contribution </t>
  </si>
  <si>
    <t>FY22</t>
  </si>
  <si>
    <t>FY23</t>
  </si>
  <si>
    <t>Europe</t>
  </si>
  <si>
    <t>Corporate</t>
  </si>
  <si>
    <t>Reported NPAT</t>
  </si>
  <si>
    <t>Underlying EPS (A¢)</t>
  </si>
  <si>
    <t>APAC</t>
  </si>
  <si>
    <t>Ditribution</t>
  </si>
  <si>
    <t>Net debt/(cash) as at 30 June (incl Lease)</t>
  </si>
  <si>
    <t>TP Implied P/E</t>
  </si>
  <si>
    <t>Net WC Days</t>
  </si>
  <si>
    <t>PEG</t>
  </si>
  <si>
    <t>Net NRI Post-Tax</t>
  </si>
  <si>
    <t>Capital Expenditure</t>
  </si>
  <si>
    <t>Net Debt (excl. Lease)</t>
  </si>
  <si>
    <t>Net Debt (incl. Lease)</t>
  </si>
  <si>
    <t>Gse</t>
  </si>
  <si>
    <t>H1 21A</t>
  </si>
  <si>
    <t>H2 21A</t>
  </si>
  <si>
    <t>FY 21A</t>
  </si>
  <si>
    <t>H1 22A</t>
  </si>
  <si>
    <t>H2 22A</t>
  </si>
  <si>
    <t>FY 22A</t>
  </si>
  <si>
    <t>H2 22 YoY %</t>
  </si>
  <si>
    <t>FY 22 YoY %</t>
  </si>
  <si>
    <t>H2 22E</t>
  </si>
  <si>
    <t>FY 22E</t>
  </si>
  <si>
    <t>H2 22 Actual vs Gse</t>
  </si>
  <si>
    <t>FY 22 Actual vs Gse</t>
  </si>
  <si>
    <t>H2 22 Consensus</t>
  </si>
  <si>
    <t>FY 22 Consensus</t>
  </si>
  <si>
    <t>2H22 Actual vs Cons.</t>
  </si>
  <si>
    <t>FY22 Actual vs Cons.</t>
  </si>
  <si>
    <t>Consensus</t>
  </si>
  <si>
    <t>NET_INC_rep</t>
  </si>
  <si>
    <t>BRG-au</t>
  </si>
  <si>
    <t>TP: A$23.4</t>
  </si>
  <si>
    <t>FY25e</t>
  </si>
  <si>
    <t>Underlying NPAT Margin</t>
  </si>
  <si>
    <t>PX: A$21.47</t>
  </si>
  <si>
    <t>Upside: 9.0%</t>
  </si>
  <si>
    <t>Depreciation as a % of sales</t>
  </si>
  <si>
    <t>Amort as a % of sales</t>
  </si>
  <si>
    <t>ROU as a % of sales</t>
  </si>
  <si>
    <t>ROIC Calc</t>
  </si>
  <si>
    <t>FY24</t>
  </si>
  <si>
    <t>FY25</t>
  </si>
  <si>
    <t>GP</t>
  </si>
  <si>
    <t>DTC</t>
  </si>
  <si>
    <t>James Leigh, james.leigh@gs.com, +61 3 9679 1083, Goldman Sachs Australia Pty Ltd</t>
  </si>
  <si>
    <t>H1 23A</t>
  </si>
  <si>
    <t>Half Year</t>
  </si>
  <si>
    <t>vs Gse</t>
  </si>
  <si>
    <t>YoY change</t>
  </si>
  <si>
    <t>vs Consensus</t>
  </si>
  <si>
    <t>Segment</t>
  </si>
  <si>
    <t>Group</t>
  </si>
  <si>
    <t>Group Gross Profit</t>
  </si>
  <si>
    <t>Group GP Margin</t>
  </si>
  <si>
    <t>ND/EBITDA (incl. lease)</t>
  </si>
  <si>
    <t>ND/EBITDA (excl. lease)</t>
  </si>
  <si>
    <t>(Lease Principal)</t>
  </si>
  <si>
    <t>Net financial interest paid</t>
  </si>
  <si>
    <t>FY26e</t>
  </si>
  <si>
    <t xml:space="preserve">FY23 Consnsus </t>
  </si>
  <si>
    <t>Lease Interest</t>
  </si>
  <si>
    <t xml:space="preserve">Group EBIT </t>
  </si>
  <si>
    <t>Group EBIT Margin</t>
  </si>
  <si>
    <t>1H 23</t>
  </si>
  <si>
    <t xml:space="preserve">2H23 </t>
  </si>
  <si>
    <t>2H 23 YoY change</t>
  </si>
  <si>
    <t>Fy23 YoY change</t>
  </si>
  <si>
    <t>FY23 vs Gse</t>
  </si>
  <si>
    <t>2H23 vs Gse</t>
  </si>
  <si>
    <t>Net Debt (ex. Lease)</t>
  </si>
  <si>
    <t>Total Sales Constant currency change (%)</t>
  </si>
  <si>
    <t>EV/EBIT multiple</t>
  </si>
  <si>
    <t>H1 24A</t>
  </si>
  <si>
    <t>H1 24E</t>
  </si>
  <si>
    <t xml:space="preserve">H1 24 </t>
  </si>
  <si>
    <t>vs Cons</t>
  </si>
  <si>
    <t>EMEA</t>
  </si>
  <si>
    <t>Americas</t>
  </si>
  <si>
    <t>Net exchange difference/other</t>
  </si>
  <si>
    <t>Opex (incl D&amp;A)</t>
  </si>
  <si>
    <t>FY35e</t>
  </si>
  <si>
    <t>FY27e</t>
  </si>
  <si>
    <t>FY28e</t>
  </si>
  <si>
    <t>FY29e</t>
  </si>
  <si>
    <t>FY30e</t>
  </si>
  <si>
    <t>FY31e</t>
  </si>
  <si>
    <t>FY32e</t>
  </si>
  <si>
    <t>FY33e</t>
  </si>
  <si>
    <t>FY34e</t>
  </si>
  <si>
    <t>H1 23</t>
  </si>
  <si>
    <t>H2 23</t>
  </si>
  <si>
    <t>H1 24</t>
  </si>
  <si>
    <t>H2 24</t>
  </si>
  <si>
    <t>Net Interest expense</t>
  </si>
  <si>
    <t>Debt Ratios</t>
  </si>
  <si>
    <t>Cashflow conversion</t>
  </si>
  <si>
    <t>FY27</t>
  </si>
  <si>
    <t>Global Product GP</t>
  </si>
  <si>
    <t>Distribution GP</t>
  </si>
  <si>
    <t>DTC GP</t>
  </si>
  <si>
    <t>Total Group</t>
  </si>
  <si>
    <t>Global Products Revenues  (A$m)</t>
  </si>
  <si>
    <t>Distribution Revenues (A$m)</t>
  </si>
  <si>
    <t>Total GP</t>
  </si>
  <si>
    <t>Growth %</t>
  </si>
  <si>
    <t>H2 26e</t>
  </si>
  <si>
    <t>Analyst</t>
  </si>
  <si>
    <t>Rayanne Haidar, rayanne.haidar@gs.com +61 2 9321 8739, Goldman Sachs Australia Pty Ltd</t>
  </si>
  <si>
    <t>FY27 EPS</t>
  </si>
  <si>
    <t>FY27 A$mn</t>
  </si>
  <si>
    <t>Less Net Debt at 30 June 2026 (excl. Lease)</t>
  </si>
  <si>
    <t>Shares on issue (m) at 30 June 2026:</t>
  </si>
  <si>
    <t>H1 27e</t>
  </si>
  <si>
    <t>H2 27e</t>
  </si>
  <si>
    <t>FY36e</t>
  </si>
  <si>
    <t>Goldman Sachs | Breville Group | BRG-AU</t>
  </si>
  <si>
    <t>P&amp;L - A$m</t>
  </si>
  <si>
    <t>Share price / Recommendation / Target price</t>
  </si>
  <si>
    <t>Underlying EBIT</t>
  </si>
  <si>
    <t>Underlying PBT</t>
  </si>
  <si>
    <t xml:space="preserve">Underlying tax expense </t>
  </si>
  <si>
    <t xml:space="preserve">Underlying NPAT </t>
  </si>
  <si>
    <t>Underlying EPS (Diluted - cps)</t>
  </si>
  <si>
    <t>DPS (cps)</t>
  </si>
  <si>
    <t>Cash flow - A$m</t>
  </si>
  <si>
    <t>PBT</t>
  </si>
  <si>
    <t>Working capital adj/Other</t>
  </si>
  <si>
    <t>Net tax paid</t>
  </si>
  <si>
    <t>Other investing cashflows</t>
  </si>
  <si>
    <t>Investing cash flow</t>
  </si>
  <si>
    <t xml:space="preserve">Net borrowings </t>
  </si>
  <si>
    <t>Payments for lease liabilities</t>
  </si>
  <si>
    <t>Other inflows/(outflows)</t>
  </si>
  <si>
    <t>Net financing cash flow</t>
  </si>
  <si>
    <t>Net increase/(decrease)</t>
  </si>
  <si>
    <t xml:space="preserve">Free cash flow </t>
  </si>
  <si>
    <t>Balance sheet - A$m</t>
  </si>
  <si>
    <t>Cash and cash equivalents</t>
  </si>
  <si>
    <t>Trade and other receivables</t>
  </si>
  <si>
    <t>PPE</t>
  </si>
  <si>
    <t xml:space="preserve">Other Intangible assets </t>
  </si>
  <si>
    <t>ROU Assets</t>
  </si>
  <si>
    <t>Deferred tax</t>
  </si>
  <si>
    <t>Total non-current liabilities</t>
  </si>
  <si>
    <t>Valuation  Methodology</t>
  </si>
  <si>
    <t>SOTP</t>
  </si>
  <si>
    <t>Avg Valuation &amp; TP</t>
  </si>
  <si>
    <t>DCF Inputs</t>
  </si>
  <si>
    <t>Terminal growth</t>
  </si>
  <si>
    <t>Rf / MRP</t>
  </si>
  <si>
    <t>Equity Beta</t>
  </si>
  <si>
    <t>Weight</t>
  </si>
  <si>
    <t>A$ps</t>
  </si>
  <si>
    <t xml:space="preserve">Recommendation &amp; Target </t>
  </si>
  <si>
    <t>Trading multiples</t>
  </si>
  <si>
    <t>Share price</t>
  </si>
  <si>
    <t>Upside/(downside)</t>
  </si>
  <si>
    <t>Misc.</t>
  </si>
  <si>
    <t>Shares on issue (m)</t>
  </si>
  <si>
    <t>Mkt capitalisation (A$m)</t>
  </si>
  <si>
    <t>Enterprise Value (A$m)</t>
  </si>
  <si>
    <t>PE</t>
  </si>
  <si>
    <t>EV/EBIT</t>
  </si>
  <si>
    <t>FCF yield</t>
  </si>
  <si>
    <t>Source: Company data, Goldman Sachs Research estimates, Visible Alpha</t>
  </si>
  <si>
    <t>3.5% / 6.0%</t>
  </si>
  <si>
    <t>Shares on Issue</t>
  </si>
  <si>
    <t>Market Cap</t>
  </si>
  <si>
    <t>EV</t>
  </si>
  <si>
    <t>Current</t>
  </si>
  <si>
    <t>TP Implied</t>
  </si>
  <si>
    <t>Group Growth</t>
  </si>
  <si>
    <t>Group Margins</t>
  </si>
  <si>
    <t>Underlying Group</t>
  </si>
  <si>
    <t xml:space="preserve">Global Product </t>
  </si>
  <si>
    <t>Divisional Sales - A$m</t>
  </si>
  <si>
    <t>Divisional EBIT - A$m</t>
  </si>
  <si>
    <t>H2 25</t>
  </si>
  <si>
    <t>Divisional Sales Growth - %</t>
  </si>
  <si>
    <t>H1 28e</t>
  </si>
  <si>
    <t>H2 28e</t>
  </si>
  <si>
    <t>H1 29e</t>
  </si>
  <si>
    <t>H2 29e</t>
  </si>
  <si>
    <t>H1 30e</t>
  </si>
  <si>
    <t>H2 30e</t>
  </si>
  <si>
    <t>H1 31e</t>
  </si>
  <si>
    <t>H2 31e</t>
  </si>
  <si>
    <t>H1 32e</t>
  </si>
  <si>
    <t>H2 32e</t>
  </si>
  <si>
    <t>H1 33e</t>
  </si>
  <si>
    <t>H2 33e</t>
  </si>
  <si>
    <t>H1 34e</t>
  </si>
  <si>
    <t>H2 34e</t>
  </si>
  <si>
    <t>H1 35e</t>
  </si>
  <si>
    <t>H2 35e</t>
  </si>
  <si>
    <t>H1 36e</t>
  </si>
  <si>
    <t>H2 36e</t>
  </si>
  <si>
    <t>Breville Group Valuation</t>
  </si>
  <si>
    <t>Multiple</t>
  </si>
  <si>
    <t>Value</t>
  </si>
  <si>
    <t>(x)</t>
  </si>
  <si>
    <t>Enterprise Value</t>
  </si>
  <si>
    <t>Less Net Debt at June 2026 (excl Leases)</t>
  </si>
  <si>
    <t>Shares on issue (m) June 2026:</t>
  </si>
  <si>
    <t>SOTP (42.5%)</t>
  </si>
  <si>
    <t>DCF (42.5%)</t>
  </si>
  <si>
    <t>M&amp;A (15%)</t>
  </si>
  <si>
    <t>12m Fwd TP</t>
  </si>
  <si>
    <t>Inputs   M&amp;A Score 2 | EV/EBIT 30.0x | Implied M&amp;A Val 6,666 |  Equity Val P/S 45.32</t>
  </si>
  <si>
    <t>Lead Analyst</t>
  </si>
  <si>
    <r>
      <t xml:space="preserve">Inputs   Rf 3.5% | MRP 6% | B 1.2 |  Ke 10.7% | Kd 4.0% | </t>
    </r>
    <r>
      <rPr>
        <b/>
        <sz val="10"/>
        <rFont val="Arial Narrow"/>
        <family val="2"/>
      </rPr>
      <t>WACC 9.4%</t>
    </r>
  </si>
  <si>
    <t>Total</t>
  </si>
  <si>
    <t>APAC Global Products (A$m)</t>
  </si>
  <si>
    <t>EMEA Global Products (A$m)</t>
  </si>
  <si>
    <t>EBIT Margin (%)</t>
  </si>
  <si>
    <t>GP Margin (%)</t>
  </si>
  <si>
    <t>Revenue Portion</t>
  </si>
  <si>
    <t>Other APAC</t>
  </si>
  <si>
    <t>Headcount</t>
  </si>
  <si>
    <t>Revenue from distribution (estimate)</t>
  </si>
  <si>
    <t>H1 25</t>
  </si>
  <si>
    <t>H1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</si>
</sst>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9">
    <numFmt numFmtId="7" formatCode="&quot;$&quot;#,##0.00;\-&quot;$&quot;#,##0.00"/>
    <numFmt numFmtId="8" formatCode="&quot;$&quot;#,##0.00;[Red]\-&quot;$&quot;#,##0.00"/>
    <numFmt numFmtId="43" formatCode="_-* #,##0.00_-;\-* #,##0.00_-;_-* &quot;-&quot;??_-;_-@_-"/>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0.0_);\(#,##0.0\)"/>
    <numFmt numFmtId="171" formatCode="0.0%"/>
    <numFmt numFmtId="172" formatCode="0.0%_);\(0.0%\)"/>
    <numFmt numFmtId="173" formatCode="0%_);\(0%\)"/>
    <numFmt numFmtId="174" formatCode="#,##0.000_);\(#,##0.000\)"/>
    <numFmt numFmtId="175" formatCode="mmmm\-yyyy"/>
    <numFmt numFmtId="176" formatCode="#,##0.0"/>
    <numFmt numFmtId="177" formatCode="##0.0;\(#,##0.0\)"/>
    <numFmt numFmtId="178" formatCode="mm/dd/yy"/>
    <numFmt numFmtId="179" formatCode="&quot;$&quot;#,##0.00"/>
    <numFmt numFmtId="180" formatCode="##0.000000;\(#,##0.000000\)"/>
    <numFmt numFmtId="181" formatCode="0.0000"/>
    <numFmt numFmtId="182" formatCode="0.000"/>
    <numFmt numFmtId="183" formatCode="dddd"/>
    <numFmt numFmtId="184" formatCode="0&quot; &quot;;\(0.0\)"/>
    <numFmt numFmtId="185" formatCode="0.0%&quot; &quot;;\(0.0%\)"/>
    <numFmt numFmtId="186" formatCode="_(* #,##0.0_);_(* \(#,##0.0\);_(* &quot;-&quot;??_);_(@_)"/>
    <numFmt numFmtId="187" formatCode="_(* #,##0.000_);_(* \(#,##0.000\);_(* &quot;-&quot;??_);_(@_)"/>
    <numFmt numFmtId="188" formatCode="&quot;$&quot;#,##0.0"/>
    <numFmt numFmtId="189" formatCode="#,##0.0;[Red]\-#,##0.0"/>
    <numFmt numFmtId="190" formatCode="#,##0.0;\(#,##0.0\);0.0"/>
    <numFmt numFmtId="191" formatCode="0.0%;\(0.0%\)"/>
    <numFmt numFmtId="192" formatCode="0.0_)\%;\(0.0\)\%;0.0_)\%;@_)_%"/>
    <numFmt numFmtId="193" formatCode="#,##0.0_)_%;\(#,##0.0\)_%;0.0_)_%;@_)_%"/>
    <numFmt numFmtId="194" formatCode="#,##0.0_);\(#,##0.0\);#,##0.0_);@_)"/>
    <numFmt numFmtId="195" formatCode="&quot;$&quot;_(#,##0.00_);&quot;$&quot;\(#,##0.00\)"/>
    <numFmt numFmtId="196" formatCode="&quot;$&quot;_(#,##0.00_);&quot;$&quot;\(#,##0.00\);&quot;$&quot;_(0.00_);@_)"/>
    <numFmt numFmtId="197" formatCode="#,##0.00_);\(#,##0.00\);0.00_);@_)"/>
    <numFmt numFmtId="198" formatCode="\€_(#,##0.00_);\€\(#,##0.00\);\€_(0.00_);@_)"/>
    <numFmt numFmtId="199" formatCode="#,##0.0_)\x;\(#,##0.0\)\x"/>
    <numFmt numFmtId="200" formatCode="#,##0_)\x;\(#,##0\)\x;0_)\x;@_)_x"/>
    <numFmt numFmtId="201" formatCode="#,##0.0_)\x;\(#,##0.0\)\x;0.0_)\x;@_)_x"/>
    <numFmt numFmtId="202" formatCode="#,##0.0_)_x;\(#,##0.0\)_x"/>
    <numFmt numFmtId="203" formatCode="#,##0_)_x;\(#,##0\)_x;0_)_x;@_)_x"/>
    <numFmt numFmtId="204" formatCode="#,##0.0_)_x;\(#,##0.0\)_x;0.0_)_x;@_)_x"/>
    <numFmt numFmtId="205" formatCode="0.0_)\%;\(0.0\)\%"/>
    <numFmt numFmtId="206" formatCode="#,##0.0_)_%;\(#,##0.0\)_%"/>
    <numFmt numFmtId="207" formatCode="#,##0;\(#,##0\)"/>
    <numFmt numFmtId="208" formatCode="0\A"/>
    <numFmt numFmtId="209" formatCode="0.00_)"/>
    <numFmt numFmtId="210" formatCode="0\p"/>
    <numFmt numFmtId="211" formatCode="\$0.00;\(\$0.00\)"/>
    <numFmt numFmtId="212" formatCode="0.0&quot;  &quot;"/>
    <numFmt numFmtId="213" formatCode="_-* #,##0_-;\(#,##0\);_-* &quot;–&quot;_-;_-@_-"/>
    <numFmt numFmtId="214" formatCode="#,##0.00;;;[White]General"/>
    <numFmt numFmtId="215" formatCode="_(* #,##0.00000_);_(* \(#,##0.00000\);_(* &quot;-&quot;??_);_(@_)"/>
    <numFmt numFmtId="216" formatCode="#,##0.000_);[Red]\(#,##0.000\)"/>
    <numFmt numFmtId="217" formatCode="&quot;$&quot;0.0"/>
    <numFmt numFmtId="218" formatCode="#,##0;\(#,##0\);\–;@"/>
    <numFmt numFmtId="219" formatCode="_(&quot;CHF&quot;* #,##0.0_);_(&quot;CHF&quot;* \(#,##0.0\);_(&quot;CHF&quot;* &quot;-&quot;??_);_(@_)"/>
    <numFmt numFmtId="220" formatCode="#,##0.0_);[Red]\(#,##0.0\)"/>
    <numFmt numFmtId="221" formatCode="#,##0.0%_);[Red]\(#,##0.0%\)"/>
    <numFmt numFmtId="222" formatCode="#,##0.0%;[Red]\(#,##0.0%\)"/>
    <numFmt numFmtId="223" formatCode="_(* #,##0.0000_);_(* \(#,##0.0000\);_(* &quot;-&quot;??_);_(@_)"/>
    <numFmt numFmtId="224" formatCode="#,##0%;[Red]\(#,##0%\)"/>
    <numFmt numFmtId="225" formatCode="&quot;A$&quot;#,##0.0_);\(&quot;A$&quot;#,##0.0\)"/>
    <numFmt numFmtId="226" formatCode="#,##0_ ;[Red]\-#,##0\ "/>
    <numFmt numFmtId="227" formatCode="#,##0.0000000000;[Red]#,##0.0000000000"/>
    <numFmt numFmtId="228" formatCode="mmmm\ dd\.\ yyyy"/>
    <numFmt numFmtId="229" formatCode="0.0&quot;m&quot;"/>
    <numFmt numFmtId="230" formatCode="_(* #,##0_);_(* \(#,##0\);_(* &quot;-&quot;??_);_(@_)"/>
    <numFmt numFmtId="231" formatCode="#,##0.00%;[Red]\(#,##0.00%\)"/>
    <numFmt numFmtId="232" formatCode="&quot;Valuation date: &quot;[$-409]d\-mmm\-yy;@"/>
    <numFmt numFmtId="233" formatCode="#,##0.0&quot; &quot;;\(#,##0.0\)"/>
    <numFmt numFmtId="234" formatCode="&quot;At current px: &quot;\A&quot;$&quot;#,##0.00"/>
    <numFmt numFmtId="235" formatCode="&quot;At target px: &quot;\A&quot;$&quot;#,##0.00"/>
    <numFmt numFmtId="236" formatCode="\A&quot;$&quot;#,##0.00"/>
    <numFmt numFmtId="237" formatCode="0.0&quot;x&quot;"/>
    <numFmt numFmtId="238" formatCode="\A&quot;$&quot;0.0"/>
    <numFmt numFmtId="239" formatCode="_-* #,##0.0_-;\-* #,##0.0_-;_-* &quot;-&quot;??_-;_-@_-"/>
  </numFmts>
  <fonts count="221">
    <font>
      <sz val="10"/>
      <name val="helvetica"/>
    </font>
    <font>
      <sz val="11"/>
      <color theme="1"/>
      <name val="Calibri"/>
      <family val="2"/>
      <scheme val="minor"/>
    </font>
    <font>
      <sz val="11"/>
      <color theme="1"/>
      <name val="Calibri"/>
      <family val="2"/>
      <scheme val="minor"/>
    </font>
    <font>
      <sz val="11"/>
      <color theme="1"/>
      <name val="Calibri"/>
      <family val="2"/>
      <scheme val="minor"/>
    </font>
    <font>
      <b/>
      <sz val="10"/>
      <name val="Helvetica"/>
      <family val="2"/>
    </font>
    <font>
      <sz val="10"/>
      <name val="Helvetica"/>
      <family val="2"/>
    </font>
    <font>
      <sz val="10"/>
      <color indexed="8"/>
      <name val="Helvetica"/>
      <family val="2"/>
    </font>
    <font>
      <sz val="10"/>
      <name val="Arial"/>
      <family val="2"/>
    </font>
    <font>
      <sz val="10"/>
      <name val="Arial"/>
      <family val="2"/>
    </font>
    <font>
      <sz val="10"/>
      <color indexed="8"/>
      <name val="Arial"/>
      <family val="2"/>
    </font>
    <font>
      <sz val="8"/>
      <name val="Arial"/>
      <family val="2"/>
    </font>
    <font>
      <sz val="8"/>
      <color indexed="8"/>
      <name val="Arial"/>
      <family val="2"/>
    </font>
    <font>
      <i/>
      <sz val="10"/>
      <name val="Arial"/>
      <family val="2"/>
    </font>
    <font>
      <b/>
      <i/>
      <sz val="10"/>
      <name val="Arial"/>
      <family val="2"/>
    </font>
    <font>
      <sz val="9"/>
      <name val="Arial"/>
      <family val="2"/>
    </font>
    <font>
      <sz val="10"/>
      <color indexed="8"/>
      <name val="Arial"/>
      <family val="2"/>
    </font>
    <font>
      <sz val="9"/>
      <name val="Arial"/>
      <family val="2"/>
    </font>
    <font>
      <sz val="9"/>
      <name val="Helvetica"/>
      <family val="2"/>
    </font>
    <font>
      <b/>
      <sz val="10"/>
      <name val="Arial"/>
      <family val="2"/>
    </font>
    <font>
      <b/>
      <sz val="10"/>
      <name val="Arial"/>
      <family val="2"/>
    </font>
    <font>
      <b/>
      <sz val="10"/>
      <name val="Times"/>
      <family val="1"/>
    </font>
    <font>
      <sz val="10"/>
      <color indexed="10"/>
      <name val="Arial"/>
      <family val="2"/>
    </font>
    <font>
      <i/>
      <sz val="10"/>
      <name val="Arial"/>
      <family val="2"/>
    </font>
    <font>
      <sz val="10"/>
      <color indexed="10"/>
      <name val="Arial"/>
      <family val="2"/>
    </font>
    <font>
      <b/>
      <i/>
      <sz val="10"/>
      <name val="Arial"/>
      <family val="2"/>
    </font>
    <font>
      <sz val="10"/>
      <color indexed="56"/>
      <name val="Arial"/>
      <family val="2"/>
    </font>
    <font>
      <b/>
      <sz val="10"/>
      <name val="Helvetica"/>
      <family val="2"/>
    </font>
    <font>
      <sz val="10"/>
      <name val="Helvetica"/>
      <family val="2"/>
    </font>
    <font>
      <sz val="10"/>
      <name val="Helvetica"/>
      <family val="2"/>
    </font>
    <font>
      <b/>
      <sz val="10"/>
      <color indexed="56"/>
      <name val="Helvetica"/>
      <family val="2"/>
    </font>
    <font>
      <b/>
      <sz val="10"/>
      <color indexed="12"/>
      <name val="Arial"/>
      <family val="2"/>
    </font>
    <font>
      <sz val="10"/>
      <color indexed="56"/>
      <name val="Helvetica"/>
      <family val="2"/>
    </font>
    <font>
      <sz val="10"/>
      <color indexed="56"/>
      <name val="Helvetica"/>
      <family val="2"/>
    </font>
    <font>
      <sz val="10"/>
      <color indexed="56"/>
      <name val="Arial"/>
      <family val="2"/>
    </font>
    <font>
      <b/>
      <sz val="12"/>
      <name val="Helvetica"/>
      <family val="2"/>
    </font>
    <font>
      <sz val="12"/>
      <name val="Helvetica"/>
      <family val="2"/>
    </font>
    <font>
      <sz val="8"/>
      <color indexed="81"/>
      <name val="Tahoma"/>
      <family val="2"/>
    </font>
    <font>
      <b/>
      <sz val="14"/>
      <name val="Times New Roman"/>
      <family val="1"/>
    </font>
    <font>
      <sz val="10"/>
      <color indexed="18"/>
      <name val="Arial"/>
      <family val="2"/>
    </font>
    <font>
      <b/>
      <sz val="8"/>
      <color indexed="81"/>
      <name val="Tahoma"/>
      <family val="2"/>
    </font>
    <font>
      <sz val="10"/>
      <name val="MS Sans Serif"/>
      <family val="2"/>
    </font>
    <font>
      <b/>
      <sz val="10"/>
      <color indexed="8"/>
      <name val="Helvetica"/>
      <family val="2"/>
    </font>
    <font>
      <sz val="10"/>
      <name val="Verdana"/>
      <family val="2"/>
    </font>
    <font>
      <b/>
      <sz val="10"/>
      <color indexed="9"/>
      <name val="Verdana"/>
      <family val="2"/>
    </font>
    <font>
      <b/>
      <sz val="10"/>
      <name val="Verdana"/>
      <family val="2"/>
    </font>
    <font>
      <sz val="8"/>
      <name val="Helvetica"/>
      <family val="2"/>
    </font>
    <font>
      <sz val="9"/>
      <name val="Verdana"/>
      <family val="2"/>
    </font>
    <font>
      <b/>
      <sz val="9"/>
      <name val="Verdana"/>
      <family val="2"/>
    </font>
    <font>
      <b/>
      <sz val="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52"/>
      <name val="Arial"/>
      <family val="2"/>
    </font>
    <font>
      <sz val="10"/>
      <color indexed="60"/>
      <name val="Arial"/>
      <family val="2"/>
    </font>
    <font>
      <b/>
      <sz val="10"/>
      <color indexed="34"/>
      <name val="Arial"/>
      <family val="2"/>
    </font>
    <font>
      <b/>
      <sz val="18"/>
      <color indexed="62"/>
      <name val="Cambria"/>
      <family val="2"/>
    </font>
    <font>
      <b/>
      <sz val="10"/>
      <color indexed="8"/>
      <name val="Arial"/>
      <family val="2"/>
    </font>
    <font>
      <sz val="8"/>
      <name val="Univers LT Std 45 Light"/>
      <family val="2"/>
    </font>
    <font>
      <sz val="8"/>
      <color indexed="8"/>
      <name val="Univers LT Std 45 Light"/>
      <family val="2"/>
    </font>
    <font>
      <b/>
      <sz val="8"/>
      <name val="Univers LT Std 45 Light"/>
      <family val="2"/>
    </font>
    <font>
      <sz val="8"/>
      <color indexed="22"/>
      <name val="Univers LT Std 45 Light"/>
      <family val="2"/>
    </font>
    <font>
      <sz val="8"/>
      <color indexed="9"/>
      <name val="Univers LT Std 45 Light"/>
      <family val="2"/>
    </font>
    <font>
      <b/>
      <sz val="8"/>
      <color indexed="8"/>
      <name val="Univers LT Std 45 Light"/>
      <family val="2"/>
    </font>
    <font>
      <b/>
      <sz val="8"/>
      <color indexed="18"/>
      <name val="Univers LT Std 45 Light"/>
      <family val="2"/>
    </font>
    <font>
      <i/>
      <sz val="8"/>
      <name val="Univers LT Std 45 Light"/>
      <family val="2"/>
    </font>
    <font>
      <sz val="8"/>
      <color indexed="18"/>
      <name val="Univers LT Std 45 Light"/>
      <family val="2"/>
    </font>
    <font>
      <b/>
      <i/>
      <sz val="8"/>
      <name val="Univers LT Std 45 Light"/>
      <family val="2"/>
    </font>
    <font>
      <b/>
      <u/>
      <sz val="8"/>
      <name val="Univers LT Std 45 Light"/>
      <family val="2"/>
    </font>
    <font>
      <b/>
      <vertAlign val="superscript"/>
      <sz val="8"/>
      <name val="Univers LT Std 45 Light"/>
      <family val="2"/>
    </font>
    <font>
      <sz val="8"/>
      <color indexed="10"/>
      <name val="Univers LT Std 45 Light"/>
      <family val="2"/>
    </font>
    <font>
      <vertAlign val="superscript"/>
      <sz val="8"/>
      <name val="Univers LT Std 45 Light"/>
      <family val="2"/>
    </font>
    <font>
      <sz val="8"/>
      <color indexed="12"/>
      <name val="Univers LT Std 45 Light"/>
      <family val="2"/>
    </font>
    <font>
      <b/>
      <sz val="8"/>
      <color indexed="9"/>
      <name val="Univers LT Std 45 Light"/>
      <family val="2"/>
    </font>
    <font>
      <b/>
      <sz val="24"/>
      <name val="Univers LT Std 45 Light"/>
      <family val="2"/>
    </font>
    <font>
      <sz val="8"/>
      <color rgb="FF000000"/>
      <name val="Tahoma"/>
      <family val="2"/>
    </font>
    <font>
      <b/>
      <sz val="10"/>
      <color rgb="FF000000"/>
      <name val="Arial"/>
      <family val="2"/>
    </font>
    <font>
      <sz val="14"/>
      <color rgb="FF000000"/>
      <name val="Arial"/>
      <family val="2"/>
    </font>
    <font>
      <sz val="11"/>
      <color theme="1"/>
      <name val="Calibri"/>
      <family val="2"/>
      <scheme val="minor"/>
    </font>
    <font>
      <sz val="11"/>
      <color rgb="FF006100"/>
      <name val="Calibri"/>
      <family val="2"/>
      <scheme val="minor"/>
    </font>
    <font>
      <sz val="11"/>
      <color rgb="FF9C6500"/>
      <name val="Calibri"/>
      <family val="2"/>
      <scheme val="minor"/>
    </font>
    <font>
      <sz val="11"/>
      <color rgb="FF9C0006"/>
      <name val="Calibri"/>
      <family val="2"/>
      <scheme val="minor"/>
    </font>
    <font>
      <b/>
      <sz val="11"/>
      <color rgb="FF3F3F3F"/>
      <name val="Calibri"/>
      <family val="2"/>
      <scheme val="minor"/>
    </font>
    <font>
      <sz val="10"/>
      <name val="GS TheSans"/>
      <family val="2"/>
    </font>
    <font>
      <sz val="8"/>
      <name val="Tahoma"/>
      <family val="2"/>
    </font>
    <font>
      <b/>
      <sz val="10"/>
      <name val="MS Sans Serif"/>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9"/>
      <color indexed="8"/>
      <name val="Times New Roman"/>
      <family val="1"/>
    </font>
    <font>
      <b/>
      <sz val="10"/>
      <color indexed="8"/>
      <name val="Times New Roman"/>
      <family val="1"/>
    </font>
    <font>
      <sz val="8"/>
      <name val="Times"/>
      <family val="1"/>
    </font>
    <font>
      <b/>
      <sz val="12"/>
      <name val="Tms Rmn"/>
    </font>
    <font>
      <sz val="9"/>
      <color indexed="9"/>
      <name val="Times New Roman"/>
      <family val="1"/>
    </font>
    <font>
      <sz val="8"/>
      <color indexed="12"/>
      <name val="Tms Rmn"/>
    </font>
    <font>
      <b/>
      <i/>
      <sz val="8"/>
      <name val="Arial"/>
      <family val="2"/>
    </font>
    <font>
      <b/>
      <sz val="10"/>
      <name val="Bookman"/>
      <family val="1"/>
    </font>
    <font>
      <b/>
      <sz val="24"/>
      <name val="Times New Roman"/>
      <family val="1"/>
    </font>
    <font>
      <b/>
      <sz val="14"/>
      <name val="Book Antiqua"/>
      <family val="1"/>
    </font>
    <font>
      <sz val="11"/>
      <color indexed="12"/>
      <name val="Book Antiqua"/>
      <family val="1"/>
    </font>
    <font>
      <b/>
      <u/>
      <sz val="7"/>
      <name val="Helvetica"/>
      <family val="2"/>
    </font>
    <font>
      <sz val="9"/>
      <name val="Times New Roman"/>
      <family val="1"/>
    </font>
    <font>
      <sz val="10"/>
      <name val="Book Antiqua"/>
      <family val="1"/>
    </font>
    <font>
      <sz val="7"/>
      <name val="Arial"/>
      <family val="2"/>
    </font>
    <font>
      <b/>
      <sz val="8.5"/>
      <color indexed="17"/>
      <name val="Arial"/>
      <family val="2"/>
    </font>
    <font>
      <b/>
      <sz val="7"/>
      <color indexed="17"/>
      <name val="Arial"/>
      <family val="2"/>
    </font>
    <font>
      <sz val="8.5"/>
      <color indexed="8"/>
      <name val="Arial"/>
      <family val="2"/>
    </font>
    <font>
      <b/>
      <sz val="8"/>
      <name val="Book Antiqua"/>
      <family val="1"/>
    </font>
    <font>
      <b/>
      <sz val="12"/>
      <name val="Arial"/>
      <family val="2"/>
    </font>
    <font>
      <b/>
      <sz val="10"/>
      <name val="Palatino"/>
      <family val="1"/>
    </font>
    <font>
      <b/>
      <sz val="14"/>
      <name val="Arial"/>
      <family val="2"/>
    </font>
    <font>
      <sz val="8"/>
      <name val="Book Antiqua"/>
      <family val="1"/>
    </font>
    <font>
      <i/>
      <sz val="7"/>
      <name val="Book Antiqua"/>
      <family val="1"/>
    </font>
    <font>
      <sz val="8"/>
      <color indexed="9"/>
      <name val="Arial"/>
      <family val="2"/>
    </font>
    <font>
      <b/>
      <i/>
      <sz val="16"/>
      <name val="Helv"/>
    </font>
    <font>
      <sz val="10"/>
      <color indexed="72"/>
      <name val="System"/>
      <family val="2"/>
    </font>
    <font>
      <sz val="10"/>
      <name val="Palatino"/>
      <family val="1"/>
    </font>
    <font>
      <sz val="8"/>
      <name val="Helv"/>
      <family val="2"/>
    </font>
    <font>
      <sz val="10"/>
      <name val="Times New Roman"/>
      <family val="1"/>
    </font>
    <font>
      <sz val="8"/>
      <name val="Helv"/>
    </font>
    <font>
      <b/>
      <sz val="14"/>
      <name val="Bookman"/>
      <family val="1"/>
    </font>
    <font>
      <b/>
      <sz val="8"/>
      <name val="HelveticaNeue Condensed"/>
    </font>
    <font>
      <sz val="8"/>
      <name val="HelveticaNeue LightCond"/>
      <family val="2"/>
    </font>
    <font>
      <b/>
      <sz val="7"/>
      <name val="HelveticaNeue Condensed"/>
      <family val="2"/>
    </font>
    <font>
      <b/>
      <sz val="9"/>
      <name val="Times New Roman"/>
      <family val="1"/>
    </font>
    <font>
      <b/>
      <sz val="11"/>
      <name val="Times New Roman"/>
      <family val="1"/>
    </font>
    <font>
      <b/>
      <sz val="8.5"/>
      <color indexed="8"/>
      <name val="Arial"/>
      <family val="2"/>
    </font>
    <font>
      <b/>
      <sz val="12"/>
      <color indexed="16"/>
      <name val="Arial"/>
      <family val="2"/>
    </font>
    <font>
      <sz val="7"/>
      <name val="Times New Roman"/>
      <family val="1"/>
    </font>
    <font>
      <b/>
      <u/>
      <sz val="9"/>
      <name val="Arial"/>
      <family val="2"/>
    </font>
    <font>
      <b/>
      <u/>
      <sz val="14"/>
      <name val="Book Antiqua"/>
      <family val="1"/>
    </font>
    <font>
      <b/>
      <sz val="10"/>
      <name val="Book Antiqua"/>
      <family val="1"/>
    </font>
    <font>
      <b/>
      <sz val="7"/>
      <name val="Arial"/>
      <family val="2"/>
    </font>
    <font>
      <b/>
      <sz val="9"/>
      <name val="Arial"/>
      <family val="2"/>
    </font>
    <font>
      <b/>
      <sz val="10"/>
      <name val="Times New Roman"/>
      <family val="1"/>
    </font>
    <font>
      <sz val="10"/>
      <name val="Univers LT Std 55"/>
      <family val="2"/>
    </font>
    <font>
      <b/>
      <sz val="10"/>
      <name val="Univers LT Std 55"/>
      <family val="2"/>
    </font>
    <font>
      <sz val="9"/>
      <color indexed="81"/>
      <name val="Tahoma"/>
      <family val="2"/>
    </font>
    <font>
      <b/>
      <sz val="9"/>
      <color indexed="81"/>
      <name val="Tahoma"/>
      <family val="2"/>
    </font>
    <font>
      <b/>
      <sz val="10"/>
      <name val="Calibri"/>
      <family val="2"/>
      <scheme val="minor"/>
    </font>
    <font>
      <sz val="10"/>
      <name val="Calibri"/>
      <family val="2"/>
      <scheme val="minor"/>
    </font>
    <font>
      <sz val="10"/>
      <color theme="0"/>
      <name val="Calibri"/>
      <family val="2"/>
      <scheme val="minor"/>
    </font>
    <font>
      <b/>
      <sz val="10"/>
      <color theme="0"/>
      <name val="Calibri"/>
      <family val="2"/>
      <scheme val="minor"/>
    </font>
    <font>
      <b/>
      <u/>
      <sz val="10"/>
      <name val="Calibri"/>
      <family val="2"/>
      <scheme val="minor"/>
    </font>
    <font>
      <sz val="10"/>
      <color indexed="8"/>
      <name val="Calibri"/>
      <family val="2"/>
      <scheme val="minor"/>
    </font>
    <font>
      <b/>
      <sz val="10"/>
      <color indexed="8"/>
      <name val="Calibri"/>
      <family val="2"/>
      <scheme val="minor"/>
    </font>
    <font>
      <b/>
      <sz val="10"/>
      <color indexed="9"/>
      <name val="Calibri"/>
      <family val="2"/>
      <scheme val="minor"/>
    </font>
    <font>
      <sz val="10"/>
      <color indexed="9"/>
      <name val="Calibri"/>
      <family val="2"/>
      <scheme val="minor"/>
    </font>
    <font>
      <b/>
      <u/>
      <sz val="10"/>
      <color indexed="8"/>
      <name val="Calibri"/>
      <family val="2"/>
      <scheme val="minor"/>
    </font>
    <font>
      <sz val="10"/>
      <color rgb="FF0000FF"/>
      <name val="Calibri"/>
      <family val="2"/>
      <scheme val="minor"/>
    </font>
    <font>
      <b/>
      <sz val="11"/>
      <name val="Calibri"/>
      <family val="2"/>
      <scheme val="minor"/>
    </font>
    <font>
      <sz val="10"/>
      <color indexed="12"/>
      <name val="Calibri"/>
      <family val="2"/>
      <scheme val="minor"/>
    </font>
    <font>
      <b/>
      <sz val="11"/>
      <color indexed="9"/>
      <name val="Calibri"/>
      <family val="2"/>
      <scheme val="minor"/>
    </font>
    <font>
      <b/>
      <sz val="10"/>
      <color rgb="FF0000FF"/>
      <name val="Calibri"/>
      <family val="2"/>
      <scheme val="minor"/>
    </font>
    <font>
      <sz val="10"/>
      <color theme="1"/>
      <name val="Calibri"/>
      <family val="2"/>
    </font>
    <font>
      <sz val="10.5"/>
      <color theme="1"/>
      <name val="Calibri"/>
      <family val="2"/>
    </font>
    <font>
      <b/>
      <u/>
      <sz val="9"/>
      <color indexed="81"/>
      <name val="Tahoma"/>
      <family val="2"/>
    </font>
    <font>
      <b/>
      <sz val="20"/>
      <color theme="0"/>
      <name val="Calibri"/>
      <family val="2"/>
      <scheme val="minor"/>
    </font>
    <font>
      <b/>
      <i/>
      <sz val="10"/>
      <name val="Calibri"/>
      <family val="2"/>
      <scheme val="minor"/>
    </font>
    <font>
      <sz val="10"/>
      <color rgb="FFFF0000"/>
      <name val="Calibri"/>
      <family val="2"/>
      <scheme val="minor"/>
    </font>
    <font>
      <i/>
      <sz val="10"/>
      <color rgb="FFFF0000"/>
      <name val="Calibri"/>
      <family val="2"/>
      <scheme val="minor"/>
    </font>
    <font>
      <b/>
      <sz val="10"/>
      <color rgb="FFFF0000"/>
      <name val="Calibri"/>
      <family val="2"/>
      <scheme val="minor"/>
    </font>
    <font>
      <sz val="10"/>
      <name val="helvetica"/>
    </font>
    <font>
      <b/>
      <sz val="10"/>
      <color theme="0"/>
      <name val="Arial"/>
      <family val="2"/>
    </font>
    <font>
      <sz val="10"/>
      <name val="MS Sans Serif"/>
    </font>
    <font>
      <sz val="11"/>
      <color theme="0"/>
      <name val="Calibri"/>
      <family val="2"/>
      <scheme val="minor"/>
    </font>
    <font>
      <b/>
      <sz val="11"/>
      <color theme="0"/>
      <name val="Calibri"/>
      <family val="2"/>
      <scheme val="minor"/>
    </font>
    <font>
      <b/>
      <sz val="11"/>
      <color theme="1"/>
      <name val="Calibri"/>
      <family val="2"/>
    </font>
    <font>
      <b/>
      <sz val="11.5"/>
      <color theme="0"/>
      <name val="Calibri"/>
      <family val="2"/>
    </font>
    <font>
      <b/>
      <sz val="10.5"/>
      <color theme="1"/>
      <name val="Calibri"/>
      <family val="2"/>
    </font>
    <font>
      <i/>
      <sz val="9"/>
      <color theme="1"/>
      <name val="Calibri"/>
      <family val="2"/>
    </font>
    <font>
      <b/>
      <sz val="16"/>
      <name val="Helvetica"/>
      <family val="2"/>
    </font>
    <font>
      <b/>
      <sz val="14"/>
      <name val="Helvetica"/>
      <family val="2"/>
    </font>
    <font>
      <b/>
      <sz val="12"/>
      <color rgb="FFFF0000"/>
      <name val="Helvetica"/>
      <family val="2"/>
    </font>
    <font>
      <sz val="12"/>
      <color indexed="8"/>
      <name val="Helvetica"/>
      <family val="2"/>
    </font>
    <font>
      <sz val="12"/>
      <color rgb="FFFF0000"/>
      <name val="Helvetica"/>
      <family val="2"/>
    </font>
    <font>
      <b/>
      <sz val="11"/>
      <name val="Helvetica"/>
      <family val="2"/>
    </font>
    <font>
      <sz val="12"/>
      <color indexed="10"/>
      <name val="Helvetica"/>
      <family val="2"/>
    </font>
    <font>
      <sz val="14"/>
      <name val="Helvetica"/>
      <family val="2"/>
    </font>
    <font>
      <sz val="12"/>
      <name val="Helvetica"/>
    </font>
    <font>
      <sz val="12"/>
      <color theme="0"/>
      <name val="Helvetica"/>
    </font>
    <font>
      <sz val="12"/>
      <color theme="0" tint="-0.14999847407452621"/>
      <name val="Helvetica"/>
    </font>
    <font>
      <i/>
      <sz val="12"/>
      <name val="Helvetica"/>
      <family val="2"/>
    </font>
    <font>
      <sz val="10.5"/>
      <name val="Calibri"/>
      <family val="2"/>
    </font>
    <font>
      <b/>
      <sz val="10"/>
      <name val="helvetica"/>
    </font>
    <font>
      <sz val="10"/>
      <color theme="1"/>
      <name val="helvetica"/>
    </font>
    <font>
      <b/>
      <sz val="9"/>
      <color theme="0"/>
      <name val="Arial"/>
      <family val="2"/>
    </font>
    <font>
      <sz val="9"/>
      <color theme="1"/>
      <name val="Arial"/>
      <family val="2"/>
    </font>
    <font>
      <b/>
      <sz val="9"/>
      <color theme="1"/>
      <name val="Arial"/>
      <family val="2"/>
    </font>
    <font>
      <b/>
      <sz val="11"/>
      <color theme="1"/>
      <name val="Calibri"/>
      <family val="2"/>
      <scheme val="minor"/>
    </font>
    <font>
      <i/>
      <sz val="9"/>
      <name val="Arial"/>
      <family val="2"/>
    </font>
    <font>
      <i/>
      <sz val="10"/>
      <name val="helvetica"/>
    </font>
    <font>
      <i/>
      <sz val="9"/>
      <color theme="1"/>
      <name val="Arial"/>
      <family val="2"/>
    </font>
    <font>
      <b/>
      <i/>
      <sz val="9"/>
      <color theme="1"/>
      <name val="Arial"/>
      <family val="2"/>
    </font>
    <font>
      <b/>
      <i/>
      <sz val="9"/>
      <name val="Arial"/>
      <family val="2"/>
    </font>
    <font>
      <b/>
      <u/>
      <sz val="9"/>
      <color theme="1"/>
      <name val="Arial"/>
      <family val="2"/>
    </font>
    <font>
      <sz val="10"/>
      <color rgb="FF002856"/>
      <name val="Calibri"/>
      <family val="2"/>
      <scheme val="minor"/>
    </font>
    <font>
      <sz val="10"/>
      <color theme="1"/>
      <name val="Arial"/>
      <family val="2"/>
    </font>
    <font>
      <b/>
      <sz val="10"/>
      <color theme="1"/>
      <name val="Arial"/>
      <family val="2"/>
    </font>
    <font>
      <b/>
      <u/>
      <sz val="10"/>
      <color theme="1"/>
      <name val="Arial"/>
      <family val="2"/>
    </font>
    <font>
      <i/>
      <sz val="10"/>
      <color theme="1"/>
      <name val="Arial"/>
      <family val="2"/>
    </font>
    <font>
      <b/>
      <i/>
      <sz val="10"/>
      <color theme="1"/>
      <name val="Arial"/>
      <family val="2"/>
    </font>
    <font>
      <sz val="10"/>
      <color theme="1"/>
      <name val="Calibri"/>
      <family val="2"/>
      <scheme val="minor"/>
    </font>
    <font>
      <sz val="10"/>
      <name val="Arial Narrow"/>
      <family val="2"/>
    </font>
    <font>
      <b/>
      <sz val="10"/>
      <color indexed="9"/>
      <name val="Arial Narrow"/>
      <family val="2"/>
    </font>
    <font>
      <b/>
      <sz val="10"/>
      <name val="Arial Narrow"/>
      <family val="2"/>
    </font>
    <font>
      <b/>
      <sz val="10"/>
      <color rgb="FF0070C0"/>
      <name val="Arial Narrow"/>
      <family val="2"/>
    </font>
    <font>
      <b/>
      <sz val="10"/>
      <color theme="0"/>
      <name val="Arial Narrow"/>
      <family val="2"/>
    </font>
    <font>
      <b/>
      <sz val="10"/>
      <color rgb="FF002060"/>
      <name val="Arial Narrow"/>
      <family val="2"/>
    </font>
    <font>
      <sz val="10"/>
      <color rgb="FFFF0000"/>
      <name val="Arial Narrow"/>
      <family val="2"/>
    </font>
    <font>
      <b/>
      <sz val="10"/>
      <color theme="1"/>
      <name val="Arial Narrow"/>
      <family val="2"/>
    </font>
    <font>
      <sz val="10"/>
      <color theme="1"/>
      <name val="Arial Narrow"/>
      <family val="2"/>
    </font>
    <font>
      <i/>
      <sz val="10"/>
      <color theme="1"/>
      <name val="Arial Narrow"/>
      <family val="2"/>
    </font>
  </fonts>
  <fills count="44">
    <fill>
      <patternFill patternType="none"/>
    </fill>
    <fill>
      <patternFill patternType="gray125"/>
    </fill>
    <fill>
      <patternFill patternType="solid">
        <fgColor indexed="30"/>
      </patternFill>
    </fill>
    <fill>
      <patternFill patternType="solid">
        <fgColor indexed="47"/>
      </patternFill>
    </fill>
    <fill>
      <patternFill patternType="solid">
        <fgColor indexed="43"/>
      </patternFill>
    </fill>
    <fill>
      <patternFill patternType="solid">
        <fgColor indexed="38"/>
      </patternFill>
    </fill>
    <fill>
      <patternFill patternType="solid">
        <fgColor indexed="28"/>
      </patternFill>
    </fill>
    <fill>
      <patternFill patternType="solid">
        <fgColor indexed="26"/>
      </patternFill>
    </fill>
    <fill>
      <patternFill patternType="solid">
        <fgColor indexed="33"/>
      </patternFill>
    </fill>
    <fill>
      <patternFill patternType="solid">
        <fgColor indexed="24"/>
      </patternFill>
    </fill>
    <fill>
      <patternFill patternType="solid">
        <fgColor indexed="10"/>
      </patternFill>
    </fill>
    <fill>
      <patternFill patternType="solid">
        <fgColor indexed="57"/>
      </patternFill>
    </fill>
    <fill>
      <patternFill patternType="solid">
        <fgColor indexed="54"/>
      </patternFill>
    </fill>
    <fill>
      <patternFill patternType="solid">
        <fgColor indexed="49"/>
      </patternFill>
    </fill>
    <fill>
      <patternFill patternType="solid">
        <fgColor indexed="53"/>
      </patternFill>
    </fill>
    <fill>
      <patternFill patternType="solid">
        <fgColor indexed="45"/>
      </patternFill>
    </fill>
    <fill>
      <patternFill patternType="solid">
        <fgColor indexed="27"/>
      </patternFill>
    </fill>
    <fill>
      <patternFill patternType="solid">
        <fgColor indexed="42"/>
      </patternFill>
    </fill>
    <fill>
      <patternFill patternType="solid">
        <fgColor indexed="9"/>
        <bgColor indexed="64"/>
      </patternFill>
    </fill>
    <fill>
      <patternFill patternType="solid">
        <fgColor indexed="8"/>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EB9C"/>
      </patternFill>
    </fill>
    <fill>
      <patternFill patternType="solid">
        <fgColor rgb="FFFFC7CE"/>
      </patternFill>
    </fill>
    <fill>
      <patternFill patternType="solid">
        <fgColor rgb="FFF2F2F2"/>
      </patternFill>
    </fill>
    <fill>
      <patternFill patternType="gray0625">
        <fgColor indexed="10"/>
        <bgColor indexed="9"/>
      </patternFill>
    </fill>
    <fill>
      <patternFill patternType="solid">
        <fgColor indexed="18"/>
        <bgColor indexed="64"/>
      </patternFill>
    </fill>
    <fill>
      <patternFill patternType="lightGray">
        <fgColor indexed="14"/>
        <bgColor indexed="9"/>
      </patternFill>
    </fill>
    <fill>
      <patternFill patternType="lightGray">
        <fgColor indexed="15"/>
      </patternFill>
    </fill>
    <fill>
      <patternFill patternType="lightGray">
        <fgColor indexed="12"/>
        <bgColor indexed="9"/>
      </patternFill>
    </fill>
    <fill>
      <patternFill patternType="solid">
        <fgColor indexed="11"/>
        <bgColor indexed="9"/>
      </patternFill>
    </fill>
    <fill>
      <patternFill patternType="lightGray">
        <fgColor indexed="22"/>
        <bgColor indexed="9"/>
      </patternFill>
    </fill>
    <fill>
      <patternFill patternType="solid">
        <fgColor theme="3"/>
        <bgColor indexed="64"/>
      </patternFill>
    </fill>
    <fill>
      <patternFill patternType="solid">
        <fgColor rgb="FFFFCCFF"/>
        <bgColor indexed="64"/>
      </patternFill>
    </fill>
    <fill>
      <patternFill patternType="solid">
        <fgColor theme="6" tint="0.59999389629810485"/>
        <bgColor indexed="64"/>
      </patternFill>
    </fill>
    <fill>
      <patternFill patternType="solid">
        <fgColor rgb="FFFFFFCC"/>
        <bgColor indexed="64"/>
      </patternFill>
    </fill>
    <fill>
      <patternFill patternType="solid">
        <fgColor theme="6" tint="0.79998168889431442"/>
        <bgColor indexed="64"/>
      </patternFill>
    </fill>
    <fill>
      <patternFill patternType="solid">
        <fgColor theme="4" tint="0.89999084444715716"/>
        <bgColor indexed="64"/>
      </patternFill>
    </fill>
    <fill>
      <patternFill patternType="solid">
        <fgColor theme="4"/>
        <bgColor indexed="64"/>
      </patternFill>
    </fill>
    <fill>
      <patternFill patternType="solid">
        <fgColor theme="5" tint="-0.749992370372631"/>
        <bgColor indexed="64"/>
      </patternFill>
    </fill>
    <fill>
      <patternFill patternType="solid">
        <fgColor theme="2" tint="0.79998168889431442"/>
        <bgColor indexed="64"/>
      </patternFill>
    </fill>
    <fill>
      <patternFill patternType="solid">
        <fgColor theme="0" tint="-4.9989318521683403E-2"/>
        <bgColor indexed="64"/>
      </patternFill>
    </fill>
  </fills>
  <borders count="71">
    <border>
      <left/>
      <right/>
      <top/>
      <bottom/>
      <diagonal/>
    </border>
    <border>
      <left style="thin">
        <color indexed="23"/>
      </left>
      <right style="thin">
        <color indexed="23"/>
      </right>
      <top style="thin">
        <color indexed="23"/>
      </top>
      <bottom style="thin">
        <color indexed="23"/>
      </bottom>
      <diagonal/>
    </border>
    <border>
      <left style="double">
        <color indexed="34"/>
      </left>
      <right style="double">
        <color indexed="34"/>
      </right>
      <top style="double">
        <color indexed="34"/>
      </top>
      <bottom style="double">
        <color indexed="34"/>
      </bottom>
      <diagonal/>
    </border>
    <border>
      <left/>
      <right/>
      <top/>
      <bottom style="thick">
        <color indexed="24"/>
      </bottom>
      <diagonal/>
    </border>
    <border>
      <left/>
      <right/>
      <top/>
      <bottom style="thick">
        <color indexed="31"/>
      </bottom>
      <diagonal/>
    </border>
    <border>
      <left/>
      <right/>
      <top/>
      <bottom style="medium">
        <color indexed="26"/>
      </bottom>
      <diagonal/>
    </border>
    <border>
      <left/>
      <right/>
      <top/>
      <bottom style="double">
        <color indexed="52"/>
      </bottom>
      <diagonal/>
    </border>
    <border>
      <left style="thin">
        <color indexed="33"/>
      </left>
      <right style="thin">
        <color indexed="33"/>
      </right>
      <top style="thin">
        <color indexed="33"/>
      </top>
      <bottom style="thin">
        <color indexed="33"/>
      </bottom>
      <diagonal/>
    </border>
    <border>
      <left style="thin">
        <color indexed="34"/>
      </left>
      <right style="thin">
        <color indexed="34"/>
      </right>
      <top style="thin">
        <color indexed="34"/>
      </top>
      <bottom style="thin">
        <color indexed="34"/>
      </bottom>
      <diagonal/>
    </border>
    <border>
      <left/>
      <right/>
      <top style="thin">
        <color indexed="24"/>
      </top>
      <bottom style="double">
        <color indexed="24"/>
      </bottom>
      <diagonal/>
    </border>
    <border>
      <left style="thin">
        <color indexed="64"/>
      </left>
      <right/>
      <top/>
      <bottom/>
      <diagonal/>
    </border>
    <border>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thin">
        <color indexed="64"/>
      </top>
      <bottom/>
      <diagonal/>
    </border>
    <border>
      <left/>
      <right/>
      <top style="double">
        <color indexed="64"/>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hair">
        <color indexed="18"/>
      </left>
      <right/>
      <top style="hair">
        <color indexed="18"/>
      </top>
      <bottom/>
      <diagonal/>
    </border>
    <border>
      <left/>
      <right/>
      <top style="hair">
        <color indexed="18"/>
      </top>
      <bottom/>
      <diagonal/>
    </border>
    <border>
      <left/>
      <right style="hair">
        <color indexed="18"/>
      </right>
      <top style="hair">
        <color indexed="18"/>
      </top>
      <bottom/>
      <diagonal/>
    </border>
    <border>
      <left style="hair">
        <color indexed="18"/>
      </left>
      <right/>
      <top/>
      <bottom style="hair">
        <color indexed="18"/>
      </bottom>
      <diagonal/>
    </border>
    <border>
      <left/>
      <right/>
      <top/>
      <bottom style="hair">
        <color indexed="18"/>
      </bottom>
      <diagonal/>
    </border>
    <border>
      <left/>
      <right style="hair">
        <color indexed="18"/>
      </right>
      <top/>
      <bottom style="hair">
        <color indexed="18"/>
      </bottom>
      <diagonal/>
    </border>
    <border>
      <left style="thin">
        <color rgb="FF3F3F3F"/>
      </left>
      <right style="thin">
        <color rgb="FF3F3F3F"/>
      </right>
      <top style="thin">
        <color rgb="FF3F3F3F"/>
      </top>
      <bottom style="thin">
        <color rgb="FF3F3F3F"/>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style="medium">
        <color indexed="9"/>
      </left>
      <right style="medium">
        <color indexed="9"/>
      </right>
      <top/>
      <bottom/>
      <diagonal/>
    </border>
    <border>
      <left/>
      <right style="thin">
        <color indexed="8"/>
      </right>
      <top style="thin">
        <color indexed="8"/>
      </top>
      <bottom/>
      <diagonal/>
    </border>
    <border>
      <left style="thick">
        <color indexed="9"/>
      </left>
      <right style="thick">
        <color indexed="9"/>
      </right>
      <top/>
      <bottom style="double">
        <color indexed="64"/>
      </bottom>
      <diagonal/>
    </border>
    <border>
      <left/>
      <right/>
      <top style="thin">
        <color indexed="64"/>
      </top>
      <bottom style="medium">
        <color indexed="64"/>
      </bottom>
      <diagonal/>
    </border>
    <border>
      <left/>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thin">
        <color theme="0"/>
      </bottom>
      <diagonal/>
    </border>
    <border>
      <left/>
      <right/>
      <top style="thin">
        <color theme="0"/>
      </top>
      <bottom/>
      <diagonal/>
    </border>
    <border>
      <left/>
      <right style="thin">
        <color theme="0"/>
      </right>
      <top style="thin">
        <color theme="0"/>
      </top>
      <bottom/>
      <diagonal/>
    </border>
    <border>
      <left style="thin">
        <color theme="0"/>
      </left>
      <right/>
      <top style="thin">
        <color theme="0"/>
      </top>
      <bottom/>
      <diagonal/>
    </border>
    <border>
      <left/>
      <right style="thin">
        <color theme="0"/>
      </right>
      <top/>
      <bottom style="thin">
        <color theme="0"/>
      </bottom>
      <diagonal/>
    </border>
    <border>
      <left style="thin">
        <color theme="0"/>
      </left>
      <right/>
      <top/>
      <bottom style="thin">
        <color theme="0"/>
      </bottom>
      <diagonal/>
    </border>
    <border>
      <left/>
      <right style="thin">
        <color theme="0" tint="-4.9989318521683403E-2"/>
      </right>
      <top/>
      <bottom/>
      <diagonal/>
    </border>
    <border>
      <left style="thin">
        <color theme="0" tint="-4.9989318521683403E-2"/>
      </left>
      <right/>
      <top/>
      <bottom/>
      <diagonal/>
    </border>
    <border>
      <left/>
      <right style="thin">
        <color theme="0" tint="-4.9989318521683403E-2"/>
      </right>
      <top style="medium">
        <color indexed="64"/>
      </top>
      <bottom/>
      <diagonal/>
    </border>
    <border>
      <left style="thin">
        <color theme="0" tint="-4.9989318521683403E-2"/>
      </left>
      <right/>
      <top style="medium">
        <color indexed="64"/>
      </top>
      <bottom/>
      <diagonal/>
    </border>
    <border>
      <left/>
      <right style="thin">
        <color theme="0" tint="-4.9989318521683403E-2"/>
      </right>
      <top/>
      <bottom style="medium">
        <color indexed="64"/>
      </bottom>
      <diagonal/>
    </border>
    <border>
      <left/>
      <right style="thin">
        <color auto="1"/>
      </right>
      <top style="thin">
        <color indexed="64"/>
      </top>
      <bottom style="double">
        <color indexed="64"/>
      </bottom>
      <diagonal/>
    </border>
    <border>
      <left/>
      <right style="thin">
        <color auto="1"/>
      </right>
      <top style="double">
        <color indexed="64"/>
      </top>
      <bottom/>
      <diagonal/>
    </border>
    <border>
      <left/>
      <right style="thin">
        <color auto="1"/>
      </right>
      <top style="thin">
        <color indexed="64"/>
      </top>
      <bottom style="thin">
        <color indexed="64"/>
      </bottom>
      <diagonal/>
    </border>
    <border>
      <left/>
      <right/>
      <top style="thin">
        <color theme="4" tint="-0.499984740745262"/>
      </top>
      <bottom/>
      <diagonal/>
    </border>
    <border>
      <left/>
      <right/>
      <top style="hair">
        <color theme="4" tint="-0.499984740745262"/>
      </top>
      <bottom/>
      <diagonal/>
    </border>
  </borders>
  <cellStyleXfs count="392">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6"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3" borderId="0" applyNumberFormat="0" applyBorder="0" applyAlignment="0" applyProtection="0"/>
    <xf numFmtId="0" fontId="49" fillId="7"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8" borderId="0" applyNumberFormat="0" applyBorder="0" applyAlignment="0" applyProtection="0"/>
    <xf numFmtId="0" fontId="49" fillId="7" borderId="0" applyNumberFormat="0" applyBorder="0" applyAlignment="0" applyProtection="0"/>
    <xf numFmtId="0" fontId="49" fillId="3"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11" borderId="0" applyNumberFormat="0" applyBorder="0" applyAlignment="0" applyProtection="0"/>
    <xf numFmtId="0" fontId="49" fillId="12" borderId="0" applyNumberFormat="0" applyBorder="0" applyAlignment="0" applyProtection="0"/>
    <xf numFmtId="0" fontId="49" fillId="13" borderId="0" applyNumberFormat="0" applyBorder="0" applyAlignment="0" applyProtection="0"/>
    <xf numFmtId="0" fontId="49" fillId="14" borderId="0" applyNumberFormat="0" applyBorder="0" applyAlignment="0" applyProtection="0"/>
    <xf numFmtId="0" fontId="50" fillId="15" borderId="0" applyNumberFormat="0" applyBorder="0" applyAlignment="0" applyProtection="0"/>
    <xf numFmtId="0" fontId="51" fillId="16" borderId="1" applyNumberFormat="0" applyAlignment="0" applyProtection="0"/>
    <xf numFmtId="0" fontId="52" fillId="8" borderId="2" applyNumberFormat="0" applyAlignment="0" applyProtection="0"/>
    <xf numFmtId="168" fontId="5" fillId="0" borderId="0" applyFont="0" applyFill="0" applyBorder="0" applyAlignment="0" applyProtection="0"/>
    <xf numFmtId="40" fontId="40" fillId="0" borderId="0" applyFont="0" applyFill="0" applyBorder="0" applyAlignment="0" applyProtection="0"/>
    <xf numFmtId="8" fontId="40" fillId="0" borderId="0" applyFont="0" applyFill="0" applyBorder="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0" borderId="3" applyNumberFormat="0" applyFill="0" applyAlignment="0" applyProtection="0"/>
    <xf numFmtId="0" fontId="56" fillId="0" borderId="4" applyNumberFormat="0" applyFill="0" applyAlignment="0" applyProtection="0"/>
    <xf numFmtId="0" fontId="57" fillId="0" borderId="5" applyNumberFormat="0" applyFill="0" applyAlignment="0" applyProtection="0"/>
    <xf numFmtId="0" fontId="57" fillId="0" borderId="0" applyNumberFormat="0" applyFill="0" applyBorder="0" applyAlignment="0" applyProtection="0"/>
    <xf numFmtId="0" fontId="58" fillId="3" borderId="1" applyNumberFormat="0" applyAlignment="0" applyProtection="0"/>
    <xf numFmtId="0" fontId="59" fillId="0" borderId="6" applyNumberFormat="0" applyFill="0" applyAlignment="0" applyProtection="0"/>
    <xf numFmtId="0" fontId="60" fillId="4" borderId="0" applyNumberFormat="0" applyBorder="0" applyAlignment="0" applyProtection="0"/>
    <xf numFmtId="0" fontId="9" fillId="0" borderId="0"/>
    <xf numFmtId="0" fontId="7" fillId="0" borderId="0"/>
    <xf numFmtId="0" fontId="7" fillId="0" borderId="0"/>
    <xf numFmtId="0" fontId="7" fillId="0" borderId="0"/>
    <xf numFmtId="0" fontId="27" fillId="0" borderId="0"/>
    <xf numFmtId="0" fontId="27" fillId="0" borderId="0"/>
    <xf numFmtId="0" fontId="7" fillId="0" borderId="0"/>
    <xf numFmtId="0" fontId="9" fillId="4" borderId="7" applyNumberFormat="0" applyFont="0" applyAlignment="0" applyProtection="0"/>
    <xf numFmtId="0" fontId="61" fillId="16" borderId="8" applyNumberFormat="0" applyAlignment="0" applyProtection="0"/>
    <xf numFmtId="9" fontId="5" fillId="0" borderId="0" applyFont="0" applyFill="0" applyBorder="0" applyAlignment="0" applyProtection="0"/>
    <xf numFmtId="0" fontId="62" fillId="0" borderId="0" applyNumberFormat="0" applyFill="0" applyBorder="0" applyAlignment="0" applyProtection="0"/>
    <xf numFmtId="0" fontId="63" fillId="0" borderId="9" applyNumberFormat="0" applyFill="0" applyAlignment="0" applyProtection="0"/>
    <xf numFmtId="0" fontId="21" fillId="0" borderId="0" applyNumberFormat="0" applyFill="0" applyBorder="0" applyAlignment="0" applyProtection="0"/>
    <xf numFmtId="0" fontId="84" fillId="0" borderId="0"/>
    <xf numFmtId="0" fontId="85" fillId="23" borderId="0" applyNumberFormat="0" applyBorder="0" applyAlignment="0" applyProtection="0"/>
    <xf numFmtId="0" fontId="86" fillId="24" borderId="0" applyNumberFormat="0" applyBorder="0" applyAlignment="0" applyProtection="0"/>
    <xf numFmtId="0" fontId="87" fillId="25" borderId="0" applyNumberFormat="0" applyBorder="0" applyAlignment="0" applyProtection="0"/>
    <xf numFmtId="0" fontId="88" fillId="26" borderId="43" applyNumberFormat="0" applyAlignment="0" applyProtection="0"/>
    <xf numFmtId="192" fontId="89" fillId="0" borderId="0" applyFont="0" applyFill="0" applyBorder="0" applyAlignment="0" applyProtection="0"/>
    <xf numFmtId="193" fontId="89" fillId="0" borderId="0" applyFont="0" applyFill="0" applyBorder="0" applyAlignment="0" applyProtection="0"/>
    <xf numFmtId="194" fontId="89"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89" fillId="0" borderId="0" applyFont="0" applyFill="0" applyBorder="0" applyAlignment="0" applyProtection="0"/>
    <xf numFmtId="194" fontId="89" fillId="0" borderId="0" applyFont="0" applyFill="0" applyBorder="0" applyAlignment="0" applyProtection="0"/>
    <xf numFmtId="194" fontId="89" fillId="0" borderId="0" applyFont="0" applyFill="0" applyBorder="0" applyAlignment="0" applyProtection="0"/>
    <xf numFmtId="194" fontId="90"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94" fontId="7" fillId="0" borderId="0" applyFont="0" applyFill="0" applyBorder="0" applyAlignment="0" applyProtection="0"/>
    <xf numFmtId="194" fontId="91"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89"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94" fontId="89"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89"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94" fontId="89"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6" fontId="90"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6" fontId="91"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5" fontId="7" fillId="0" borderId="0" applyFont="0" applyFill="0" applyBorder="0" applyAlignment="0" applyProtection="0"/>
    <xf numFmtId="196" fontId="89"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196" fontId="89" fillId="0" borderId="0" applyFont="0" applyFill="0" applyBorder="0" applyAlignment="0" applyProtection="0"/>
    <xf numFmtId="196" fontId="89" fillId="0" borderId="0" applyFont="0" applyFill="0" applyBorder="0" applyAlignment="0" applyProtection="0"/>
    <xf numFmtId="196" fontId="89" fillId="0" borderId="0" applyFont="0" applyFill="0" applyBorder="0" applyAlignment="0" applyProtection="0"/>
    <xf numFmtId="195" fontId="7" fillId="0" borderId="0" applyFont="0" applyFill="0" applyBorder="0" applyAlignment="0" applyProtection="0"/>
    <xf numFmtId="196" fontId="89" fillId="0" borderId="0" applyFont="0" applyFill="0" applyBorder="0" applyAlignment="0" applyProtection="0"/>
    <xf numFmtId="195" fontId="7" fillId="0" borderId="0" applyFont="0" applyFill="0" applyBorder="0" applyAlignment="0" applyProtection="0"/>
    <xf numFmtId="196" fontId="89" fillId="0" borderId="0" applyFont="0" applyFill="0" applyBorder="0" applyAlignment="0" applyProtection="0"/>
    <xf numFmtId="195" fontId="7"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196" fontId="7"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197" fontId="90"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197" fontId="91"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197" fontId="89"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7" fontId="89" fillId="0" borderId="0" applyFont="0" applyFill="0" applyBorder="0" applyAlignment="0" applyProtection="0"/>
    <xf numFmtId="197" fontId="89" fillId="0" borderId="0" applyFont="0" applyFill="0" applyBorder="0" applyAlignment="0" applyProtection="0"/>
    <xf numFmtId="197" fontId="89" fillId="0" borderId="0" applyFont="0" applyFill="0" applyBorder="0" applyAlignment="0" applyProtection="0"/>
    <xf numFmtId="39" fontId="7" fillId="0" borderId="0" applyFont="0" applyFill="0" applyBorder="0" applyAlignment="0" applyProtection="0"/>
    <xf numFmtId="197" fontId="89" fillId="0" borderId="0" applyFont="0" applyFill="0" applyBorder="0" applyAlignment="0" applyProtection="0"/>
    <xf numFmtId="39" fontId="7" fillId="0" borderId="0" applyFont="0" applyFill="0" applyBorder="0" applyAlignment="0" applyProtection="0"/>
    <xf numFmtId="197" fontId="89" fillId="0" borderId="0" applyFont="0" applyFill="0" applyBorder="0" applyAlignment="0" applyProtection="0"/>
    <xf numFmtId="39"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5" fontId="7" fillId="0" borderId="0" applyFont="0" applyFill="0" applyBorder="0" applyAlignment="0" applyProtection="0"/>
    <xf numFmtId="198" fontId="89"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89" fillId="4" borderId="0" applyNumberFormat="0" applyFont="0" applyAlignment="0" applyProtection="0"/>
    <xf numFmtId="199" fontId="7" fillId="0" borderId="0" applyFont="0" applyFill="0" applyBorder="0" applyAlignment="0" applyProtection="0"/>
    <xf numFmtId="200" fontId="7" fillId="0" borderId="0" applyFont="0" applyFill="0" applyBorder="0" applyAlignment="0" applyProtection="0"/>
    <xf numFmtId="200"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200" fontId="90" fillId="0" borderId="0" applyFont="0" applyFill="0" applyBorder="0" applyAlignment="0" applyProtection="0"/>
    <xf numFmtId="199" fontId="7" fillId="0" borderId="0" applyFont="0" applyFill="0" applyBorder="0" applyAlignment="0" applyProtection="0"/>
    <xf numFmtId="200" fontId="7" fillId="0" borderId="0" applyFont="0" applyFill="0" applyBorder="0" applyAlignment="0" applyProtection="0"/>
    <xf numFmtId="199" fontId="7" fillId="0" borderId="0" applyFont="0" applyFill="0" applyBorder="0" applyAlignment="0" applyProtection="0"/>
    <xf numFmtId="200"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200" fontId="7" fillId="0" borderId="0" applyFont="0" applyFill="0" applyBorder="0" applyAlignment="0" applyProtection="0"/>
    <xf numFmtId="200" fontId="91" fillId="0" borderId="0" applyFont="0" applyFill="0" applyBorder="0" applyAlignment="0" applyProtection="0"/>
    <xf numFmtId="201" fontId="7" fillId="0" borderId="0" applyFont="0" applyFill="0" applyBorder="0" applyAlignment="0" applyProtection="0"/>
    <xf numFmtId="201" fontId="7" fillId="0" borderId="0" applyFont="0" applyFill="0" applyBorder="0" applyAlignment="0" applyProtection="0"/>
    <xf numFmtId="201"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199" fontId="7" fillId="0" borderId="0" applyFont="0" applyFill="0" applyBorder="0" applyAlignment="0" applyProtection="0"/>
    <xf numFmtId="200" fontId="89" fillId="0" borderId="0" applyFont="0" applyFill="0" applyBorder="0" applyAlignment="0" applyProtection="0"/>
    <xf numFmtId="199" fontId="7" fillId="0" borderId="0" applyFont="0" applyFill="0" applyBorder="0" applyAlignment="0" applyProtection="0"/>
    <xf numFmtId="200" fontId="7" fillId="0" borderId="0" applyFont="0" applyFill="0" applyBorder="0" applyAlignment="0" applyProtection="0"/>
    <xf numFmtId="200" fontId="7" fillId="0" borderId="0" applyFont="0" applyFill="0" applyBorder="0" applyAlignment="0" applyProtection="0"/>
    <xf numFmtId="200" fontId="89" fillId="0" borderId="0" applyFont="0" applyFill="0" applyBorder="0" applyAlignment="0" applyProtection="0"/>
    <xf numFmtId="200" fontId="89" fillId="0" borderId="0" applyFont="0" applyFill="0" applyBorder="0" applyAlignment="0" applyProtection="0"/>
    <xf numFmtId="200" fontId="89" fillId="0" borderId="0" applyFont="0" applyFill="0" applyBorder="0" applyAlignment="0" applyProtection="0"/>
    <xf numFmtId="199" fontId="7" fillId="0" borderId="0" applyFont="0" applyFill="0" applyBorder="0" applyAlignment="0" applyProtection="0"/>
    <xf numFmtId="200" fontId="89" fillId="0" borderId="0" applyFont="0" applyFill="0" applyBorder="0" applyAlignment="0" applyProtection="0"/>
    <xf numFmtId="199" fontId="7" fillId="0" borderId="0" applyFont="0" applyFill="0" applyBorder="0" applyAlignment="0" applyProtection="0"/>
    <xf numFmtId="200" fontId="89" fillId="0" borderId="0" applyFont="0" applyFill="0" applyBorder="0" applyAlignment="0" applyProtection="0"/>
    <xf numFmtId="199" fontId="7" fillId="0" borderId="0" applyFont="0" applyFill="0" applyBorder="0" applyAlignment="0" applyProtection="0"/>
    <xf numFmtId="200" fontId="7" fillId="0" borderId="0" applyFont="0" applyFill="0" applyBorder="0" applyAlignment="0" applyProtection="0"/>
    <xf numFmtId="200" fontId="7" fillId="0" borderId="0" applyFont="0" applyFill="0" applyBorder="0" applyAlignment="0" applyProtection="0"/>
    <xf numFmtId="200" fontId="7" fillId="0" borderId="0" applyFont="0" applyFill="0" applyBorder="0" applyAlignment="0" applyProtection="0"/>
    <xf numFmtId="202" fontId="7" fillId="0" borderId="0" applyFont="0" applyFill="0" applyBorder="0" applyAlignment="0" applyProtection="0"/>
    <xf numFmtId="203" fontId="7" fillId="0" borderId="0" applyFont="0" applyFill="0" applyBorder="0" applyProtection="0">
      <alignment horizontal="right"/>
    </xf>
    <xf numFmtId="203" fontId="7" fillId="0" borderId="0" applyFont="0" applyFill="0" applyBorder="0" applyProtection="0">
      <alignment horizontal="right"/>
    </xf>
    <xf numFmtId="202" fontId="7" fillId="0" borderId="0" applyFont="0" applyFill="0" applyBorder="0" applyAlignment="0" applyProtection="0"/>
    <xf numFmtId="202" fontId="7" fillId="0" borderId="0" applyFont="0" applyFill="0" applyBorder="0" applyAlignment="0" applyProtection="0"/>
    <xf numFmtId="203" fontId="90" fillId="0" borderId="0" applyFont="0" applyFill="0" applyBorder="0" applyProtection="0">
      <alignment horizontal="right"/>
    </xf>
    <xf numFmtId="202" fontId="7" fillId="0" borderId="0" applyFont="0" applyFill="0" applyBorder="0" applyAlignment="0" applyProtection="0"/>
    <xf numFmtId="203" fontId="7" fillId="0" borderId="0" applyFont="0" applyFill="0" applyBorder="0" applyProtection="0">
      <alignment horizontal="right"/>
    </xf>
    <xf numFmtId="202" fontId="7" fillId="0" borderId="0" applyFont="0" applyFill="0" applyBorder="0" applyAlignment="0" applyProtection="0"/>
    <xf numFmtId="203" fontId="7" fillId="0" borderId="0" applyFont="0" applyFill="0" applyBorder="0" applyProtection="0">
      <alignment horizontal="right"/>
    </xf>
    <xf numFmtId="202" fontId="7" fillId="0" borderId="0" applyFont="0" applyFill="0" applyBorder="0" applyAlignment="0" applyProtection="0"/>
    <xf numFmtId="202" fontId="7" fillId="0" borderId="0" applyFont="0" applyFill="0" applyBorder="0" applyAlignment="0" applyProtection="0"/>
    <xf numFmtId="203" fontId="7" fillId="0" borderId="0" applyFont="0" applyFill="0" applyBorder="0" applyProtection="0">
      <alignment horizontal="right"/>
    </xf>
    <xf numFmtId="203" fontId="91" fillId="0" borderId="0" applyFont="0" applyFill="0" applyBorder="0" applyProtection="0">
      <alignment horizontal="right"/>
    </xf>
    <xf numFmtId="204" fontId="7" fillId="0" borderId="0" applyFont="0" applyFill="0" applyBorder="0" applyAlignment="0" applyProtection="0"/>
    <xf numFmtId="204" fontId="7" fillId="0" borderId="0" applyFont="0" applyFill="0" applyBorder="0" applyAlignment="0" applyProtection="0"/>
    <xf numFmtId="204" fontId="7" fillId="0" borderId="0" applyFont="0" applyFill="0" applyBorder="0" applyAlignment="0" applyProtection="0"/>
    <xf numFmtId="202" fontId="7" fillId="0" borderId="0" applyFont="0" applyFill="0" applyBorder="0" applyAlignment="0" applyProtection="0"/>
    <xf numFmtId="202" fontId="7" fillId="0" borderId="0" applyFont="0" applyFill="0" applyBorder="0" applyAlignment="0" applyProtection="0"/>
    <xf numFmtId="202" fontId="7" fillId="0" borderId="0" applyFont="0" applyFill="0" applyBorder="0" applyAlignment="0" applyProtection="0"/>
    <xf numFmtId="202" fontId="7" fillId="0" borderId="0" applyFont="0" applyFill="0" applyBorder="0" applyAlignment="0" applyProtection="0"/>
    <xf numFmtId="202" fontId="7" fillId="0" borderId="0" applyFont="0" applyFill="0" applyBorder="0" applyAlignment="0" applyProtection="0"/>
    <xf numFmtId="203" fontId="89" fillId="0" borderId="0" applyFont="0" applyFill="0" applyBorder="0" applyProtection="0">
      <alignment horizontal="right"/>
    </xf>
    <xf numFmtId="202" fontId="7" fillId="0" borderId="0" applyFont="0" applyFill="0" applyBorder="0" applyAlignment="0" applyProtection="0"/>
    <xf numFmtId="203" fontId="7" fillId="0" borderId="0" applyFont="0" applyFill="0" applyBorder="0" applyProtection="0">
      <alignment horizontal="right"/>
    </xf>
    <xf numFmtId="203" fontId="7" fillId="0" borderId="0" applyFont="0" applyFill="0" applyBorder="0" applyProtection="0">
      <alignment horizontal="right"/>
    </xf>
    <xf numFmtId="203" fontId="89" fillId="0" borderId="0" applyFont="0" applyFill="0" applyBorder="0" applyProtection="0">
      <alignment horizontal="right"/>
    </xf>
    <xf numFmtId="203" fontId="89" fillId="0" borderId="0" applyFont="0" applyFill="0" applyBorder="0" applyProtection="0">
      <alignment horizontal="right"/>
    </xf>
    <xf numFmtId="203" fontId="89" fillId="0" borderId="0" applyFont="0" applyFill="0" applyBorder="0" applyProtection="0">
      <alignment horizontal="right"/>
    </xf>
    <xf numFmtId="202" fontId="7" fillId="0" borderId="0" applyFont="0" applyFill="0" applyBorder="0" applyAlignment="0" applyProtection="0"/>
    <xf numFmtId="203" fontId="89" fillId="0" borderId="0" applyFont="0" applyFill="0" applyBorder="0" applyProtection="0">
      <alignment horizontal="right"/>
    </xf>
    <xf numFmtId="202" fontId="7" fillId="0" borderId="0" applyFont="0" applyFill="0" applyBorder="0" applyAlignment="0" applyProtection="0"/>
    <xf numFmtId="203" fontId="89" fillId="0" borderId="0" applyFont="0" applyFill="0" applyBorder="0" applyProtection="0">
      <alignment horizontal="right"/>
    </xf>
    <xf numFmtId="202" fontId="7" fillId="0" borderId="0" applyFont="0" applyFill="0" applyBorder="0" applyAlignment="0" applyProtection="0"/>
    <xf numFmtId="203" fontId="7" fillId="0" borderId="0" applyFont="0" applyFill="0" applyBorder="0" applyProtection="0">
      <alignment horizontal="right"/>
    </xf>
    <xf numFmtId="203" fontId="7" fillId="0" borderId="0" applyFont="0" applyFill="0" applyBorder="0" applyProtection="0">
      <alignment horizontal="right"/>
    </xf>
    <xf numFmtId="203" fontId="7" fillId="0" borderId="0" applyFont="0" applyFill="0" applyBorder="0" applyProtection="0">
      <alignment horizontal="right"/>
    </xf>
    <xf numFmtId="205" fontId="7" fillId="0" borderId="0" applyFont="0" applyFill="0" applyBorder="0" applyAlignment="0" applyProtection="0"/>
    <xf numFmtId="192" fontId="7" fillId="0" borderId="0" applyFont="0" applyFill="0" applyBorder="0" applyProtection="0">
      <alignment horizontal="right"/>
    </xf>
    <xf numFmtId="192" fontId="7" fillId="0" borderId="0" applyFont="0" applyFill="0" applyBorder="0" applyAlignment="0" applyProtection="0"/>
    <xf numFmtId="192" fontId="7" fillId="0" borderId="0" applyFont="0" applyFill="0" applyBorder="0" applyAlignment="0" applyProtection="0"/>
    <xf numFmtId="192" fontId="7" fillId="0" borderId="0" applyFont="0" applyFill="0" applyBorder="0" applyAlignment="0" applyProtection="0"/>
    <xf numFmtId="206" fontId="7" fillId="0" borderId="0" applyFont="0" applyFill="0" applyBorder="0" applyAlignment="0" applyProtection="0"/>
    <xf numFmtId="193" fontId="7" fillId="0" borderId="0" applyFont="0" applyFill="0" applyBorder="0" applyProtection="0">
      <alignment horizontal="right"/>
    </xf>
    <xf numFmtId="193" fontId="7" fillId="0" borderId="0" applyFont="0" applyFill="0" applyBorder="0" applyProtection="0">
      <alignment horizontal="right"/>
    </xf>
    <xf numFmtId="193" fontId="7" fillId="0" borderId="0" applyFont="0" applyFill="0" applyBorder="0" applyAlignment="0" applyProtection="0"/>
    <xf numFmtId="193" fontId="7" fillId="0" borderId="0" applyFont="0" applyFill="0" applyBorder="0" applyAlignment="0" applyProtection="0"/>
    <xf numFmtId="193" fontId="7" fillId="0" borderId="0" applyFont="0" applyFill="0" applyBorder="0" applyAlignment="0" applyProtection="0"/>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Alignment="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3" fillId="0" borderId="0" applyNumberFormat="0" applyFill="0" applyBorder="0" applyProtection="0">
      <alignment vertical="top"/>
    </xf>
    <xf numFmtId="0" fontId="94" fillId="0" borderId="44" applyNumberFormat="0" applyFill="0" applyAlignment="0" applyProtection="0"/>
    <xf numFmtId="0" fontId="94" fillId="0" borderId="44" applyNumberFormat="0" applyFill="0" applyAlignment="0" applyProtection="0"/>
    <xf numFmtId="0" fontId="94" fillId="0" borderId="45" applyNumberFormat="0" applyFill="0" applyAlignment="0" applyProtection="0"/>
    <xf numFmtId="0" fontId="94" fillId="0" borderId="44" applyNumberFormat="0" applyFill="0" applyAlignment="0" applyProtection="0"/>
    <xf numFmtId="0" fontId="94" fillId="0" borderId="44" applyNumberFormat="0" applyFill="0" applyAlignment="0" applyProtection="0"/>
    <xf numFmtId="0" fontId="95" fillId="0" borderId="46" applyNumberFormat="0" applyFill="0" applyProtection="0">
      <alignment horizontal="center"/>
    </xf>
    <xf numFmtId="0" fontId="95" fillId="0" borderId="0" applyNumberFormat="0" applyFill="0" applyBorder="0" applyProtection="0">
      <alignment horizontal="left"/>
    </xf>
    <xf numFmtId="0" fontId="96" fillId="0" borderId="0" applyNumberFormat="0" applyFill="0" applyBorder="0" applyProtection="0">
      <alignment horizontal="centerContinuous"/>
    </xf>
    <xf numFmtId="0" fontId="96" fillId="0" borderId="0" applyNumberFormat="0" applyFill="0" applyBorder="0" applyProtection="0">
      <alignment horizontal="centerContinuous"/>
    </xf>
    <xf numFmtId="0" fontId="96" fillId="0" borderId="0" applyNumberFormat="0" applyFill="0" applyProtection="0">
      <alignment horizontal="centerContinuous"/>
    </xf>
    <xf numFmtId="0" fontId="96" fillId="0" borderId="0" applyNumberFormat="0" applyFill="0" applyBorder="0" applyProtection="0">
      <alignment horizontal="centerContinuous"/>
    </xf>
    <xf numFmtId="0" fontId="96" fillId="0" borderId="0" applyNumberFormat="0" applyFill="0" applyBorder="0" applyProtection="0">
      <alignment horizontal="centerContinuous"/>
    </xf>
    <xf numFmtId="207" fontId="97" fillId="27" borderId="0" applyNumberFormat="0" applyFont="0" applyBorder="0" applyAlignment="0">
      <alignment horizontal="right"/>
    </xf>
    <xf numFmtId="208" fontId="98" fillId="27" borderId="35" applyFont="0">
      <alignment horizontal="right"/>
    </xf>
    <xf numFmtId="0" fontId="10" fillId="0" borderId="0" applyNumberFormat="0" applyFill="0" applyBorder="0" applyAlignment="0" applyProtection="0"/>
    <xf numFmtId="0" fontId="99" fillId="0" borderId="0"/>
    <xf numFmtId="2" fontId="45" fillId="0" borderId="0" applyNumberFormat="0" applyBorder="0" applyAlignment="0"/>
    <xf numFmtId="176" fontId="100" fillId="0" borderId="0"/>
    <xf numFmtId="0" fontId="101" fillId="0" borderId="0" applyNumberFormat="0" applyFill="0" applyBorder="0" applyAlignment="0"/>
    <xf numFmtId="0" fontId="102" fillId="0" borderId="0" applyNumberFormat="0" applyFill="0" applyBorder="0" applyAlignment="0" applyProtection="0"/>
    <xf numFmtId="0" fontId="52" fillId="28" borderId="47">
      <alignment horizontal="center"/>
    </xf>
    <xf numFmtId="2" fontId="10" fillId="29" borderId="0" applyNumberFormat="0" applyFont="0" applyBorder="0" applyAlignment="0" applyProtection="0"/>
    <xf numFmtId="209" fontId="10" fillId="30" borderId="0" applyNumberFormat="0" applyFont="0" applyBorder="0" applyAlignment="0">
      <protection locked="0"/>
    </xf>
    <xf numFmtId="0" fontId="10" fillId="0" borderId="0" applyNumberFormat="0" applyFill="0" applyBorder="0" applyAlignment="0" applyProtection="0"/>
    <xf numFmtId="0" fontId="103" fillId="0" borderId="0" applyNumberFormat="0" applyFill="0" applyBorder="0" applyAlignment="0" applyProtection="0"/>
    <xf numFmtId="0" fontId="10" fillId="0" borderId="0" applyNumberFormat="0" applyFill="0" applyBorder="0" applyAlignment="0" applyProtection="0"/>
    <xf numFmtId="209" fontId="104" fillId="0" borderId="0" applyNumberFormat="0" applyFill="0" applyBorder="0" applyProtection="0">
      <alignment horizontal="right"/>
    </xf>
    <xf numFmtId="210" fontId="7" fillId="0" borderId="0">
      <protection locked="0"/>
    </xf>
    <xf numFmtId="0" fontId="105" fillId="0" borderId="0" applyNumberFormat="0" applyFill="0" applyBorder="0">
      <alignment horizontal="right"/>
    </xf>
    <xf numFmtId="38" fontId="106" fillId="0" borderId="0" applyNumberFormat="0" applyFill="0" applyBorder="0">
      <alignment vertical="center"/>
    </xf>
    <xf numFmtId="166" fontId="107" fillId="0" borderId="48">
      <protection locked="0"/>
    </xf>
    <xf numFmtId="210" fontId="7" fillId="0" borderId="0">
      <protection locked="0"/>
    </xf>
    <xf numFmtId="14" fontId="108" fillId="0" borderId="0">
      <alignment horizontal="right"/>
    </xf>
    <xf numFmtId="0" fontId="14" fillId="0" borderId="0"/>
    <xf numFmtId="211" fontId="109" fillId="0" borderId="0" applyFont="0" applyFill="0" applyBorder="0" applyAlignment="0" applyProtection="0">
      <alignment horizontal="right"/>
    </xf>
    <xf numFmtId="0" fontId="45" fillId="0" borderId="0" applyNumberFormat="0" applyAlignment="0"/>
    <xf numFmtId="212" fontId="10" fillId="31" borderId="24" applyNumberFormat="0" applyFont="0" applyBorder="0" applyAlignment="0" applyProtection="0">
      <alignment horizontal="right"/>
    </xf>
    <xf numFmtId="171" fontId="110" fillId="0" borderId="0" applyNumberFormat="0" applyFont="0" applyAlignment="0">
      <alignment vertical="center"/>
    </xf>
    <xf numFmtId="210" fontId="7" fillId="0" borderId="0">
      <protection locked="0"/>
    </xf>
    <xf numFmtId="0" fontId="111" fillId="0" borderId="0" applyNumberFormat="0" applyFill="0" applyBorder="0" applyAlignment="0" applyProtection="0"/>
    <xf numFmtId="1" fontId="10" fillId="0" borderId="0" applyNumberFormat="0" applyBorder="0" applyAlignment="0" applyProtection="0"/>
    <xf numFmtId="213" fontId="112" fillId="0" borderId="0">
      <alignment vertical="center"/>
    </xf>
    <xf numFmtId="49" fontId="111" fillId="0" borderId="0">
      <alignment horizontal="right"/>
    </xf>
    <xf numFmtId="49" fontId="113" fillId="0" borderId="0">
      <alignment horizontal="right"/>
    </xf>
    <xf numFmtId="213" fontId="114" fillId="0" borderId="0">
      <alignment vertical="center"/>
    </xf>
    <xf numFmtId="171" fontId="115" fillId="0" borderId="0" applyNumberFormat="0" applyFill="0" applyBorder="0">
      <alignment horizontal="left" vertical="center"/>
    </xf>
    <xf numFmtId="0" fontId="116" fillId="0" borderId="0"/>
    <xf numFmtId="0" fontId="40" fillId="32" borderId="0" applyNumberFormat="0" applyFont="0" applyBorder="0" applyAlignment="0" applyProtection="0"/>
    <xf numFmtId="214" fontId="7" fillId="0" borderId="0" applyNumberFormat="0" applyFill="0" applyBorder="0" applyAlignment="0" applyProtection="0"/>
    <xf numFmtId="0" fontId="117" fillId="0" borderId="0"/>
    <xf numFmtId="0" fontId="118" fillId="0" borderId="0"/>
    <xf numFmtId="38" fontId="119" fillId="0" borderId="0" applyNumberFormat="0" applyFill="0" applyBorder="0">
      <alignment horizontal="left" vertical="center"/>
    </xf>
    <xf numFmtId="171" fontId="120" fillId="0" borderId="0" applyFill="0" applyBorder="0">
      <alignment vertical="center"/>
    </xf>
    <xf numFmtId="0" fontId="121" fillId="19" borderId="0"/>
    <xf numFmtId="215" fontId="7" fillId="0" borderId="0" applyFont="0" applyFill="0" applyBorder="0" applyAlignment="0" applyProtection="0"/>
    <xf numFmtId="209" fontId="122" fillId="0" borderId="0"/>
    <xf numFmtId="0" fontId="84" fillId="0" borderId="0"/>
    <xf numFmtId="2" fontId="40" fillId="0" borderId="0" applyBorder="0" applyProtection="0"/>
    <xf numFmtId="0" fontId="7" fillId="0" borderId="0"/>
    <xf numFmtId="0" fontId="10" fillId="0" borderId="0" applyNumberFormat="0" applyFill="0" applyBorder="0" applyAlignment="0" applyProtection="0"/>
    <xf numFmtId="0" fontId="48" fillId="0" borderId="0" applyNumberFormat="0" applyFill="0" applyBorder="0" applyAlignment="0" applyProtection="0"/>
    <xf numFmtId="214" fontId="7" fillId="0" borderId="0" applyNumberFormat="0" applyFill="0" applyBorder="0" applyAlignment="0" applyProtection="0"/>
    <xf numFmtId="0" fontId="48" fillId="0" borderId="0" applyNumberFormat="0" applyFill="0" applyBorder="0" applyAlignment="0" applyProtection="0"/>
    <xf numFmtId="0" fontId="119" fillId="0" borderId="0" applyNumberFormat="0" applyFill="0" applyBorder="0" applyAlignment="0" applyProtection="0"/>
    <xf numFmtId="0" fontId="10" fillId="0" borderId="0" applyNumberFormat="0" applyFill="0" applyBorder="0" applyAlignment="0" applyProtection="0"/>
    <xf numFmtId="0" fontId="123" fillId="0" borderId="0">
      <alignment horizontal="left" vertical="top"/>
      <protection locked="0"/>
    </xf>
    <xf numFmtId="216" fontId="7" fillId="0" borderId="0" applyFill="0">
      <alignment horizontal="center" vertical="center"/>
    </xf>
    <xf numFmtId="0" fontId="37" fillId="0" borderId="0" applyNumberFormat="0" applyFill="0" applyBorder="0">
      <alignment horizontal="left"/>
    </xf>
    <xf numFmtId="217" fontId="7" fillId="0" borderId="0"/>
    <xf numFmtId="165" fontId="124" fillId="0" borderId="0" applyFont="0" applyFill="0" applyBorder="0" applyAlignment="0" applyProtection="0"/>
    <xf numFmtId="0" fontId="125" fillId="0" borderId="0" applyNumberFormat="0" applyAlignment="0"/>
    <xf numFmtId="176" fontId="7" fillId="0" borderId="0" applyFill="0" applyBorder="0" applyAlignment="0" applyProtection="0"/>
    <xf numFmtId="170" fontId="126" fillId="0" borderId="0">
      <alignment vertical="top"/>
    </xf>
    <xf numFmtId="169" fontId="40" fillId="10" borderId="36" applyNumberFormat="0" applyFont="0" applyBorder="0" applyAlignment="0" applyProtection="0">
      <alignment horizontal="center"/>
    </xf>
    <xf numFmtId="37" fontId="127" fillId="1" borderId="0">
      <alignment horizontal="right"/>
    </xf>
    <xf numFmtId="1" fontId="35" fillId="33" borderId="0" applyNumberFormat="0" applyFont="0" applyBorder="0" applyAlignment="0">
      <alignment horizontal="left"/>
    </xf>
    <xf numFmtId="2" fontId="128" fillId="0" borderId="0"/>
    <xf numFmtId="1" fontId="7" fillId="0" borderId="0"/>
    <xf numFmtId="0" fontId="7" fillId="0" borderId="0" applyFont="0" applyFill="0" applyBorder="0" applyAlignment="0" applyProtection="0"/>
    <xf numFmtId="0" fontId="7" fillId="0" borderId="0">
      <alignment vertical="top"/>
    </xf>
    <xf numFmtId="0" fontId="7" fillId="0" borderId="0">
      <alignment vertical="top"/>
    </xf>
    <xf numFmtId="218" fontId="129" fillId="0" borderId="0" applyNumberFormat="0" applyFill="0" applyBorder="0" applyAlignment="0" applyProtection="0">
      <alignment horizontal="right" vertical="center" wrapText="1"/>
    </xf>
    <xf numFmtId="0" fontId="130" fillId="0" borderId="0" applyNumberFormat="0" applyFill="0" applyBorder="0" applyAlignment="0" applyProtection="0"/>
    <xf numFmtId="0" fontId="131" fillId="0" borderId="0" applyNumberFormat="0" applyFill="0" applyBorder="0" applyAlignment="0" applyProtection="0">
      <protection locked="0"/>
    </xf>
    <xf numFmtId="0" fontId="132" fillId="0" borderId="24" applyNumberFormat="0" applyFill="0" applyProtection="0">
      <alignment horizontal="right"/>
    </xf>
    <xf numFmtId="164" fontId="119" fillId="0" borderId="49" applyFill="0">
      <alignment vertical="center"/>
    </xf>
    <xf numFmtId="219" fontId="10" fillId="0" borderId="0"/>
    <xf numFmtId="39" fontId="18" fillId="0" borderId="35" applyNumberFormat="0" applyBorder="0">
      <alignment horizontal="right"/>
    </xf>
    <xf numFmtId="0" fontId="132" fillId="0" borderId="50" applyNumberFormat="0" applyProtection="0">
      <alignment horizontal="right"/>
    </xf>
    <xf numFmtId="0" fontId="133" fillId="0" borderId="29" applyNumberFormat="0" applyFill="0" applyProtection="0"/>
    <xf numFmtId="0" fontId="134" fillId="0" borderId="0">
      <alignment vertical="center"/>
    </xf>
    <xf numFmtId="0" fontId="112" fillId="0" borderId="0">
      <alignment vertical="center"/>
    </xf>
    <xf numFmtId="0" fontId="114" fillId="0" borderId="0">
      <alignment vertical="center"/>
    </xf>
    <xf numFmtId="0" fontId="135" fillId="0" borderId="0" applyNumberFormat="0">
      <alignment horizontal="left"/>
    </xf>
    <xf numFmtId="0" fontId="136" fillId="0" borderId="0" applyFill="0" applyBorder="0" applyProtection="0">
      <alignment horizontal="left" vertical="top"/>
    </xf>
    <xf numFmtId="14" fontId="7" fillId="0" borderId="0" applyFill="0" applyBorder="0">
      <alignment vertical="center"/>
    </xf>
    <xf numFmtId="0" fontId="116" fillId="0" borderId="0" applyNumberFormat="0" applyFill="0" applyBorder="0" applyAlignment="0" applyProtection="0"/>
    <xf numFmtId="0" fontId="137" fillId="0" borderId="0" applyNumberFormat="0" applyFill="0" applyBorder="0" applyAlignment="0" applyProtection="0"/>
    <xf numFmtId="38" fontId="138" fillId="0" borderId="0" applyNumberFormat="0" applyFill="0" applyBorder="0">
      <alignment horizontal="left" vertical="center"/>
    </xf>
    <xf numFmtId="38" fontId="139" fillId="0" borderId="0" applyNumberFormat="0" applyFill="0" applyBorder="0">
      <alignment horizontal="centerContinuous" vertical="center"/>
    </xf>
    <xf numFmtId="0" fontId="140" fillId="0" borderId="0" applyNumberFormat="0" applyFill="0" applyBorder="0" applyAlignment="0" applyProtection="0"/>
    <xf numFmtId="0" fontId="141" fillId="0" borderId="0" applyNumberFormat="0" applyFill="0" applyBorder="0" applyAlignment="0" applyProtection="0"/>
    <xf numFmtId="169" fontId="45" fillId="0" borderId="0" applyNumberFormat="0" applyBorder="0" applyAlignment="0"/>
    <xf numFmtId="1" fontId="142" fillId="0" borderId="35" applyFill="0" applyProtection="0">
      <alignment horizontal="right"/>
    </xf>
    <xf numFmtId="179" fontId="7" fillId="0" borderId="0" applyFill="0" applyBorder="0">
      <alignment vertical="center"/>
    </xf>
    <xf numFmtId="184" fontId="42" fillId="0" borderId="0"/>
    <xf numFmtId="0" fontId="7" fillId="0" borderId="0"/>
    <xf numFmtId="40" fontId="40" fillId="0" borderId="0" applyFont="0" applyFill="0" applyBorder="0" applyAlignment="0" applyProtection="0"/>
    <xf numFmtId="0" fontId="162" fillId="0" borderId="0"/>
    <xf numFmtId="0" fontId="7" fillId="0" borderId="0"/>
    <xf numFmtId="0" fontId="3" fillId="0" borderId="0"/>
    <xf numFmtId="167" fontId="170" fillId="0" borderId="0" applyFont="0" applyFill="0" applyBorder="0" applyAlignment="0" applyProtection="0"/>
    <xf numFmtId="0" fontId="40" fillId="0" borderId="0"/>
    <xf numFmtId="9" fontId="40" fillId="0" borderId="0" applyFont="0" applyFill="0" applyBorder="0" applyAlignment="0" applyProtection="0"/>
    <xf numFmtId="0" fontId="172" fillId="0" borderId="0"/>
    <xf numFmtId="0" fontId="163" fillId="0" borderId="0"/>
    <xf numFmtId="0" fontId="7" fillId="0" borderId="0"/>
    <xf numFmtId="0" fontId="7"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205" fillId="0" borderId="0"/>
    <xf numFmtId="0" fontId="42" fillId="0" borderId="0"/>
    <xf numFmtId="0" fontId="42" fillId="0" borderId="0"/>
    <xf numFmtId="9" fontId="42" fillId="0" borderId="0" applyFont="0" applyFill="0" applyBorder="0" applyAlignment="0" applyProtection="0"/>
  </cellStyleXfs>
  <cellXfs count="1261">
    <xf numFmtId="0" fontId="0" fillId="0" borderId="0" xfId="0"/>
    <xf numFmtId="0" fontId="7" fillId="0" borderId="0" xfId="42"/>
    <xf numFmtId="0" fontId="8" fillId="0" borderId="0" xfId="42" applyFont="1" applyProtection="1">
      <protection locked="0"/>
    </xf>
    <xf numFmtId="0" fontId="9" fillId="0" borderId="0" xfId="42" applyFont="1" applyProtection="1">
      <protection locked="0"/>
    </xf>
    <xf numFmtId="0" fontId="7" fillId="0" borderId="0" xfId="42" applyProtection="1">
      <protection locked="0"/>
    </xf>
    <xf numFmtId="49" fontId="7" fillId="0" borderId="0" xfId="42" applyNumberFormat="1" applyAlignment="1" applyProtection="1">
      <alignment horizontal="right"/>
      <protection locked="0"/>
    </xf>
    <xf numFmtId="0" fontId="7" fillId="0" borderId="0" xfId="42" applyAlignment="1" applyProtection="1">
      <alignment horizontal="center"/>
      <protection locked="0"/>
    </xf>
    <xf numFmtId="0" fontId="7" fillId="0" borderId="0" xfId="42" applyAlignment="1" applyProtection="1">
      <alignment horizontal="right"/>
      <protection locked="0"/>
    </xf>
    <xf numFmtId="0" fontId="8" fillId="0" borderId="0" xfId="42" applyFont="1" applyAlignment="1" applyProtection="1">
      <alignment horizontal="centerContinuous"/>
      <protection locked="0"/>
    </xf>
    <xf numFmtId="0" fontId="7" fillId="0" borderId="11" xfId="42" applyBorder="1" applyAlignment="1" applyProtection="1">
      <alignment horizontal="centerContinuous"/>
      <protection locked="0"/>
    </xf>
    <xf numFmtId="49" fontId="7" fillId="0" borderId="0" xfId="42" applyNumberFormat="1" applyProtection="1">
      <protection locked="0"/>
    </xf>
    <xf numFmtId="49" fontId="12" fillId="0" borderId="0" xfId="42" applyNumberFormat="1" applyFont="1" applyProtection="1">
      <protection locked="0"/>
    </xf>
    <xf numFmtId="0" fontId="12" fillId="0" borderId="0" xfId="42" applyFont="1" applyProtection="1">
      <protection locked="0"/>
    </xf>
    <xf numFmtId="0" fontId="13" fillId="0" borderId="0" xfId="42" applyFont="1"/>
    <xf numFmtId="0" fontId="13" fillId="0" borderId="0" xfId="42" applyFont="1" applyProtection="1">
      <protection locked="0"/>
    </xf>
    <xf numFmtId="0" fontId="7" fillId="0" borderId="12" xfId="42" applyBorder="1" applyProtection="1">
      <protection locked="0"/>
    </xf>
    <xf numFmtId="0" fontId="15" fillId="0" borderId="0" xfId="42" applyFont="1" applyProtection="1">
      <protection locked="0"/>
    </xf>
    <xf numFmtId="0" fontId="15" fillId="0" borderId="0" xfId="42" applyFont="1" applyAlignment="1" applyProtection="1">
      <alignment horizontal="center"/>
      <protection locked="0"/>
    </xf>
    <xf numFmtId="0" fontId="15" fillId="0" borderId="13" xfId="42" applyFont="1" applyBorder="1" applyProtection="1">
      <protection locked="0"/>
    </xf>
    <xf numFmtId="0" fontId="15" fillId="0" borderId="14" xfId="42" applyFont="1" applyBorder="1" applyProtection="1">
      <protection locked="0"/>
    </xf>
    <xf numFmtId="0" fontId="15" fillId="0" borderId="15" xfId="42" applyFont="1" applyBorder="1" applyProtection="1">
      <protection locked="0"/>
    </xf>
    <xf numFmtId="0" fontId="15" fillId="0" borderId="11" xfId="42" applyFont="1" applyBorder="1" applyProtection="1">
      <protection locked="0"/>
    </xf>
    <xf numFmtId="0" fontId="15" fillId="0" borderId="16" xfId="42" applyFont="1" applyBorder="1" applyProtection="1">
      <protection locked="0"/>
    </xf>
    <xf numFmtId="0" fontId="18" fillId="0" borderId="0" xfId="42" applyFont="1" applyProtection="1">
      <protection locked="0"/>
    </xf>
    <xf numFmtId="0" fontId="10" fillId="0" borderId="0" xfId="46" applyFont="1"/>
    <xf numFmtId="0" fontId="7" fillId="0" borderId="0" xfId="46"/>
    <xf numFmtId="0" fontId="7" fillId="0" borderId="11" xfId="46" applyBorder="1" applyAlignment="1">
      <alignment horizontal="centerContinuous"/>
    </xf>
    <xf numFmtId="14" fontId="7" fillId="0" borderId="0" xfId="46" applyNumberFormat="1"/>
    <xf numFmtId="0" fontId="10" fillId="0" borderId="0" xfId="46" applyFont="1" applyAlignment="1">
      <alignment horizontal="center"/>
    </xf>
    <xf numFmtId="0" fontId="10" fillId="0" borderId="13" xfId="46" applyFont="1" applyBorder="1" applyAlignment="1">
      <alignment horizontal="center"/>
    </xf>
    <xf numFmtId="0" fontId="7" fillId="0" borderId="0" xfId="46" applyAlignment="1">
      <alignment horizontal="center"/>
    </xf>
    <xf numFmtId="0" fontId="10" fillId="0" borderId="0" xfId="46" applyFont="1" applyProtection="1">
      <protection locked="0"/>
    </xf>
    <xf numFmtId="14" fontId="10" fillId="0" borderId="0" xfId="46" applyNumberFormat="1" applyFont="1" applyProtection="1">
      <protection locked="0"/>
    </xf>
    <xf numFmtId="0" fontId="11" fillId="0" borderId="0" xfId="46" applyFont="1"/>
    <xf numFmtId="0" fontId="11" fillId="0" borderId="0" xfId="46" applyFont="1" applyAlignment="1">
      <alignment horizontal="center"/>
    </xf>
    <xf numFmtId="0" fontId="11" fillId="0" borderId="0" xfId="46" applyFont="1" applyProtection="1">
      <protection locked="0"/>
    </xf>
    <xf numFmtId="0" fontId="10" fillId="0" borderId="0" xfId="46" applyFont="1" applyAlignment="1" applyProtection="1">
      <alignment horizontal="center"/>
      <protection locked="0"/>
    </xf>
    <xf numFmtId="0" fontId="10" fillId="0" borderId="0" xfId="46" applyFont="1" applyAlignment="1" applyProtection="1">
      <alignment horizontal="center"/>
      <protection hidden="1"/>
    </xf>
    <xf numFmtId="0" fontId="14" fillId="0" borderId="0" xfId="46" applyFont="1"/>
    <xf numFmtId="0" fontId="15" fillId="0" borderId="0" xfId="46" applyFont="1" applyProtection="1">
      <protection hidden="1"/>
    </xf>
    <xf numFmtId="0" fontId="15" fillId="0" borderId="0" xfId="46" applyFont="1" applyAlignment="1" applyProtection="1">
      <alignment horizontal="center"/>
      <protection hidden="1"/>
    </xf>
    <xf numFmtId="0" fontId="7" fillId="0" borderId="0" xfId="46" applyProtection="1">
      <protection hidden="1"/>
    </xf>
    <xf numFmtId="0" fontId="7" fillId="0" borderId="0" xfId="46" applyAlignment="1" applyProtection="1">
      <alignment horizontal="center"/>
      <protection hidden="1"/>
    </xf>
    <xf numFmtId="0" fontId="17" fillId="0" borderId="0" xfId="46" applyFont="1"/>
    <xf numFmtId="0" fontId="16" fillId="0" borderId="0" xfId="46" applyFont="1"/>
    <xf numFmtId="0" fontId="7" fillId="0" borderId="0" xfId="46" applyProtection="1">
      <protection locked="0"/>
    </xf>
    <xf numFmtId="0" fontId="18" fillId="0" borderId="0" xfId="42" applyFont="1"/>
    <xf numFmtId="0" fontId="20" fillId="0" borderId="0" xfId="42" applyFont="1" applyAlignment="1">
      <alignment horizontal="centerContinuous"/>
    </xf>
    <xf numFmtId="0" fontId="7" fillId="0" borderId="0" xfId="42" applyAlignment="1" applyProtection="1">
      <alignment horizontal="centerContinuous"/>
      <protection locked="0"/>
    </xf>
    <xf numFmtId="14" fontId="19" fillId="0" borderId="0" xfId="42" applyNumberFormat="1" applyFont="1" applyAlignment="1">
      <alignment horizontal="center"/>
    </xf>
    <xf numFmtId="0" fontId="7" fillId="0" borderId="0" xfId="42" applyAlignment="1" applyProtection="1">
      <alignment horizontal="left"/>
      <protection locked="0"/>
    </xf>
    <xf numFmtId="0" fontId="19" fillId="0" borderId="0" xfId="42" applyFont="1"/>
    <xf numFmtId="1" fontId="21" fillId="0" borderId="17" xfId="42" applyNumberFormat="1" applyFont="1" applyBorder="1" applyProtection="1">
      <protection locked="0"/>
    </xf>
    <xf numFmtId="1" fontId="21" fillId="0" borderId="0" xfId="42" applyNumberFormat="1" applyFont="1" applyAlignment="1" applyProtection="1">
      <alignment horizontal="right"/>
      <protection locked="0"/>
    </xf>
    <xf numFmtId="0" fontId="22" fillId="0" borderId="13" xfId="42" applyFont="1" applyBorder="1" applyProtection="1">
      <protection locked="0"/>
    </xf>
    <xf numFmtId="0" fontId="8" fillId="0" borderId="13" xfId="42" applyFont="1" applyBorder="1" applyProtection="1">
      <protection locked="0"/>
    </xf>
    <xf numFmtId="0" fontId="8" fillId="0" borderId="14" xfId="42" applyFont="1" applyBorder="1" applyProtection="1">
      <protection locked="0"/>
    </xf>
    <xf numFmtId="0" fontId="8" fillId="0" borderId="11" xfId="42" applyFont="1" applyBorder="1" applyProtection="1">
      <protection locked="0"/>
    </xf>
    <xf numFmtId="0" fontId="8" fillId="0" borderId="16" xfId="42" applyFont="1" applyBorder="1" applyProtection="1">
      <protection locked="0"/>
    </xf>
    <xf numFmtId="14" fontId="8" fillId="0" borderId="0" xfId="42" applyNumberFormat="1" applyFont="1" applyProtection="1">
      <protection locked="0"/>
    </xf>
    <xf numFmtId="179" fontId="23" fillId="0" borderId="0" xfId="42" applyNumberFormat="1" applyFont="1" applyAlignment="1" applyProtection="1">
      <alignment horizontal="right"/>
      <protection locked="0"/>
    </xf>
    <xf numFmtId="0" fontId="19" fillId="0" borderId="0" xfId="42" applyFont="1" applyProtection="1">
      <protection locked="0"/>
    </xf>
    <xf numFmtId="0" fontId="8" fillId="0" borderId="0" xfId="42" applyFont="1" applyAlignment="1" applyProtection="1">
      <alignment horizontal="center"/>
      <protection locked="0"/>
    </xf>
    <xf numFmtId="0" fontId="24" fillId="0" borderId="0" xfId="42" applyFont="1" applyAlignment="1">
      <alignment horizontal="right"/>
    </xf>
    <xf numFmtId="175" fontId="7" fillId="0" borderId="0" xfId="42" applyNumberFormat="1" applyAlignment="1" applyProtection="1">
      <alignment horizontal="center"/>
      <protection locked="0"/>
    </xf>
    <xf numFmtId="49" fontId="7" fillId="0" borderId="0" xfId="42" applyNumberFormat="1" applyAlignment="1" applyProtection="1">
      <alignment horizontal="center"/>
      <protection locked="0"/>
    </xf>
    <xf numFmtId="14" fontId="18" fillId="0" borderId="0" xfId="42" applyNumberFormat="1" applyFont="1" applyAlignment="1" applyProtection="1">
      <alignment horizontal="center"/>
      <protection locked="0"/>
    </xf>
    <xf numFmtId="14" fontId="8" fillId="0" borderId="0" xfId="42" applyNumberFormat="1" applyFont="1" applyAlignment="1" applyProtection="1">
      <alignment horizontal="center"/>
      <protection locked="0"/>
    </xf>
    <xf numFmtId="0" fontId="18" fillId="0" borderId="0" xfId="42" applyFont="1" applyAlignment="1">
      <alignment horizontal="center"/>
    </xf>
    <xf numFmtId="1" fontId="7" fillId="0" borderId="0" xfId="42" applyNumberFormat="1" applyProtection="1">
      <protection locked="0"/>
    </xf>
    <xf numFmtId="175" fontId="18" fillId="0" borderId="0" xfId="42" applyNumberFormat="1" applyFont="1" applyAlignment="1" applyProtection="1">
      <alignment horizontal="center"/>
      <protection locked="0"/>
    </xf>
    <xf numFmtId="175" fontId="18" fillId="0" borderId="11" xfId="42" applyNumberFormat="1" applyFont="1" applyBorder="1" applyAlignment="1">
      <alignment horizontal="center"/>
    </xf>
    <xf numFmtId="0" fontId="22" fillId="0" borderId="0" xfId="42" applyFont="1" applyProtection="1">
      <protection locked="0"/>
    </xf>
    <xf numFmtId="0" fontId="8" fillId="0" borderId="0" xfId="42" applyFont="1"/>
    <xf numFmtId="177" fontId="8" fillId="0" borderId="0" xfId="42" applyNumberFormat="1" applyFont="1" applyAlignment="1" applyProtection="1">
      <alignment horizontal="right"/>
      <protection locked="0"/>
    </xf>
    <xf numFmtId="0" fontId="9" fillId="0" borderId="18" xfId="42" applyFont="1" applyBorder="1" applyProtection="1">
      <protection locked="0"/>
    </xf>
    <xf numFmtId="0" fontId="9" fillId="0" borderId="19" xfId="42" applyFont="1" applyBorder="1" applyProtection="1">
      <protection locked="0"/>
    </xf>
    <xf numFmtId="0" fontId="9" fillId="0" borderId="20" xfId="42" applyFont="1" applyBorder="1" applyProtection="1">
      <protection locked="0"/>
    </xf>
    <xf numFmtId="0" fontId="9" fillId="0" borderId="21" xfId="42" applyFont="1" applyBorder="1" applyProtection="1">
      <protection locked="0"/>
    </xf>
    <xf numFmtId="0" fontId="9" fillId="0" borderId="22" xfId="42" applyFont="1" applyBorder="1" applyProtection="1">
      <protection locked="0"/>
    </xf>
    <xf numFmtId="0" fontId="9" fillId="0" borderId="23" xfId="42" applyFont="1" applyBorder="1" applyProtection="1">
      <protection locked="0"/>
    </xf>
    <xf numFmtId="177" fontId="8" fillId="0" borderId="0" xfId="42" applyNumberFormat="1" applyFont="1" applyProtection="1">
      <protection locked="0"/>
    </xf>
    <xf numFmtId="0" fontId="25" fillId="0" borderId="0" xfId="42" applyFont="1"/>
    <xf numFmtId="0" fontId="26" fillId="0" borderId="0" xfId="42" applyFont="1"/>
    <xf numFmtId="0" fontId="27" fillId="0" borderId="0" xfId="42" applyFont="1" applyProtection="1">
      <protection locked="0"/>
    </xf>
    <xf numFmtId="0" fontId="4" fillId="0" borderId="0" xfId="42" applyFont="1"/>
    <xf numFmtId="0" fontId="28" fillId="0" borderId="0" xfId="42" applyFont="1" applyProtection="1">
      <protection locked="0"/>
    </xf>
    <xf numFmtId="0" fontId="29" fillId="0" borderId="0" xfId="42" applyFont="1"/>
    <xf numFmtId="0" fontId="30" fillId="0" borderId="0" xfId="42" applyFont="1"/>
    <xf numFmtId="0" fontId="28" fillId="0" borderId="0" xfId="42" applyFont="1"/>
    <xf numFmtId="0" fontId="31" fillId="0" borderId="0" xfId="42" applyFont="1"/>
    <xf numFmtId="0" fontId="32" fillId="0" borderId="0" xfId="42" applyFont="1"/>
    <xf numFmtId="0" fontId="33" fillId="0" borderId="0" xfId="42" applyFont="1"/>
    <xf numFmtId="0" fontId="9" fillId="0" borderId="0" xfId="42" applyFont="1"/>
    <xf numFmtId="0" fontId="6" fillId="0" borderId="0" xfId="42" applyFont="1"/>
    <xf numFmtId="0" fontId="22" fillId="0" borderId="0" xfId="42" applyFont="1"/>
    <xf numFmtId="177" fontId="7" fillId="0" borderId="0" xfId="42" applyNumberFormat="1" applyProtection="1">
      <protection locked="0"/>
    </xf>
    <xf numFmtId="177" fontId="7" fillId="0" borderId="0" xfId="42" applyNumberFormat="1" applyAlignment="1" applyProtection="1">
      <alignment horizontal="right"/>
      <protection locked="0"/>
    </xf>
    <xf numFmtId="177" fontId="15" fillId="0" borderId="0" xfId="42" applyNumberFormat="1" applyFont="1" applyAlignment="1" applyProtection="1">
      <alignment horizontal="right"/>
      <protection locked="0"/>
    </xf>
    <xf numFmtId="177" fontId="21" fillId="0" borderId="0" xfId="42" applyNumberFormat="1" applyFont="1" applyAlignment="1" applyProtection="1">
      <alignment horizontal="right"/>
      <protection locked="0"/>
    </xf>
    <xf numFmtId="177" fontId="21" fillId="0" borderId="0" xfId="42" applyNumberFormat="1" applyFont="1" applyProtection="1">
      <protection locked="0"/>
    </xf>
    <xf numFmtId="1" fontId="21" fillId="0" borderId="21" xfId="42" applyNumberFormat="1" applyFont="1" applyBorder="1" applyProtection="1">
      <protection locked="0"/>
    </xf>
    <xf numFmtId="166" fontId="21" fillId="0" borderId="23" xfId="42" applyNumberFormat="1" applyFont="1" applyBorder="1" applyProtection="1">
      <protection locked="0"/>
    </xf>
    <xf numFmtId="0" fontId="21" fillId="0" borderId="0" xfId="42" applyFont="1" applyAlignment="1" applyProtection="1">
      <alignment horizontal="left"/>
      <protection locked="0"/>
    </xf>
    <xf numFmtId="0" fontId="21" fillId="0" borderId="0" xfId="42" applyFont="1" applyProtection="1">
      <protection locked="0"/>
    </xf>
    <xf numFmtId="2" fontId="21" fillId="0" borderId="0" xfId="42" applyNumberFormat="1" applyFont="1" applyProtection="1">
      <protection locked="0"/>
    </xf>
    <xf numFmtId="14" fontId="21" fillId="0" borderId="0" xfId="42" applyNumberFormat="1" applyFont="1" applyProtection="1">
      <protection locked="0"/>
    </xf>
    <xf numFmtId="0" fontId="21" fillId="0" borderId="17" xfId="42" applyFont="1" applyBorder="1" applyProtection="1">
      <protection locked="0"/>
    </xf>
    <xf numFmtId="169" fontId="8" fillId="0" borderId="0" xfId="42" applyNumberFormat="1" applyFont="1" applyProtection="1">
      <protection locked="0"/>
    </xf>
    <xf numFmtId="183" fontId="7" fillId="0" borderId="0" xfId="42" applyNumberFormat="1" applyProtection="1">
      <protection locked="0"/>
    </xf>
    <xf numFmtId="176" fontId="23" fillId="0" borderId="0" xfId="42" applyNumberFormat="1" applyFont="1" applyAlignment="1" applyProtection="1">
      <alignment horizontal="center"/>
      <protection locked="0"/>
    </xf>
    <xf numFmtId="0" fontId="38" fillId="0" borderId="0" xfId="42" applyFont="1"/>
    <xf numFmtId="171" fontId="21" fillId="0" borderId="0" xfId="49" applyNumberFormat="1" applyFont="1" applyFill="1" applyBorder="1" applyAlignment="1" applyProtection="1">
      <protection locked="0"/>
    </xf>
    <xf numFmtId="0" fontId="42" fillId="19" borderId="27" xfId="0" applyFont="1" applyFill="1" applyBorder="1"/>
    <xf numFmtId="0" fontId="43" fillId="19" borderId="24" xfId="0" applyFont="1" applyFill="1" applyBorder="1"/>
    <xf numFmtId="0" fontId="43" fillId="19" borderId="24" xfId="0" applyFont="1" applyFill="1" applyBorder="1" applyAlignment="1">
      <alignment horizontal="center"/>
    </xf>
    <xf numFmtId="0" fontId="43" fillId="19" borderId="32" xfId="0" applyFont="1" applyFill="1" applyBorder="1" applyAlignment="1">
      <alignment horizontal="center"/>
    </xf>
    <xf numFmtId="0" fontId="43" fillId="19" borderId="28" xfId="0" applyFont="1" applyFill="1" applyBorder="1" applyAlignment="1">
      <alignment horizontal="center"/>
    </xf>
    <xf numFmtId="0" fontId="42" fillId="0" borderId="0" xfId="0" applyFont="1"/>
    <xf numFmtId="0" fontId="42" fillId="0" borderId="10" xfId="0" applyFont="1" applyBorder="1"/>
    <xf numFmtId="0" fontId="44" fillId="0" borderId="0" xfId="0" applyFont="1"/>
    <xf numFmtId="0" fontId="44" fillId="0" borderId="0" xfId="0" applyFont="1" applyAlignment="1">
      <alignment horizontal="center"/>
    </xf>
    <xf numFmtId="0" fontId="44" fillId="0" borderId="19" xfId="0" applyFont="1" applyBorder="1" applyAlignment="1">
      <alignment horizontal="center"/>
    </xf>
    <xf numFmtId="0" fontId="44" fillId="0" borderId="26" xfId="0" applyFont="1" applyBorder="1" applyAlignment="1">
      <alignment horizontal="center"/>
    </xf>
    <xf numFmtId="169" fontId="42" fillId="0" borderId="0" xfId="0" applyNumberFormat="1" applyFont="1" applyAlignment="1">
      <alignment horizontal="center"/>
    </xf>
    <xf numFmtId="169" fontId="42" fillId="0" borderId="19" xfId="0" applyNumberFormat="1" applyFont="1" applyBorder="1" applyAlignment="1">
      <alignment horizontal="center"/>
    </xf>
    <xf numFmtId="171" fontId="42" fillId="0" borderId="26" xfId="49" applyNumberFormat="1" applyFont="1" applyBorder="1" applyAlignment="1">
      <alignment horizontal="center"/>
    </xf>
    <xf numFmtId="0" fontId="42" fillId="0" borderId="31" xfId="0" applyFont="1" applyBorder="1"/>
    <xf numFmtId="0" fontId="42" fillId="0" borderId="29" xfId="0" applyFont="1" applyBorder="1"/>
    <xf numFmtId="0" fontId="42" fillId="0" borderId="29" xfId="0" applyFont="1" applyBorder="1" applyAlignment="1">
      <alignment horizontal="center"/>
    </xf>
    <xf numFmtId="0" fontId="42" fillId="0" borderId="33" xfId="0" applyFont="1" applyBorder="1" applyAlignment="1">
      <alignment horizontal="center"/>
    </xf>
    <xf numFmtId="0" fontId="42" fillId="0" borderId="30" xfId="0" applyFont="1" applyBorder="1" applyAlignment="1">
      <alignment horizontal="center"/>
    </xf>
    <xf numFmtId="0" fontId="41" fillId="0" borderId="0" xfId="0" applyFont="1"/>
    <xf numFmtId="180" fontId="7" fillId="0" borderId="0" xfId="42" applyNumberFormat="1" applyAlignment="1" applyProtection="1">
      <alignment horizontal="right"/>
      <protection locked="0"/>
    </xf>
    <xf numFmtId="0" fontId="46" fillId="0" borderId="0" xfId="0" applyFont="1"/>
    <xf numFmtId="0" fontId="42" fillId="19" borderId="10" xfId="0" applyFont="1" applyFill="1" applyBorder="1"/>
    <xf numFmtId="0" fontId="43" fillId="19" borderId="0" xfId="0" applyFont="1" applyFill="1"/>
    <xf numFmtId="0" fontId="43" fillId="19" borderId="0" xfId="0" applyFont="1" applyFill="1" applyAlignment="1">
      <alignment horizontal="center"/>
    </xf>
    <xf numFmtId="0" fontId="43" fillId="19" borderId="19" xfId="0" applyFont="1" applyFill="1" applyBorder="1" applyAlignment="1">
      <alignment horizontal="center"/>
    </xf>
    <xf numFmtId="0" fontId="43" fillId="19" borderId="26" xfId="0" applyFont="1" applyFill="1" applyBorder="1" applyAlignment="1">
      <alignment horizontal="center"/>
    </xf>
    <xf numFmtId="169" fontId="42" fillId="0" borderId="22" xfId="0" applyNumberFormat="1" applyFont="1" applyBorder="1" applyAlignment="1">
      <alignment horizontal="center"/>
    </xf>
    <xf numFmtId="0" fontId="5" fillId="0" borderId="0" xfId="42" applyFont="1" applyProtection="1">
      <protection locked="0"/>
    </xf>
    <xf numFmtId="169" fontId="21" fillId="0" borderId="0" xfId="42" applyNumberFormat="1" applyFont="1" applyProtection="1">
      <protection locked="0"/>
    </xf>
    <xf numFmtId="185" fontId="41" fillId="0" borderId="0" xfId="0" applyNumberFormat="1" applyFont="1"/>
    <xf numFmtId="0" fontId="47" fillId="0" borderId="0" xfId="42" applyFont="1"/>
    <xf numFmtId="0" fontId="46" fillId="0" borderId="0" xfId="42" applyFont="1"/>
    <xf numFmtId="0" fontId="27" fillId="0" borderId="0" xfId="42" applyFont="1"/>
    <xf numFmtId="0" fontId="48" fillId="0" borderId="0" xfId="46" applyFont="1"/>
    <xf numFmtId="0" fontId="8" fillId="0" borderId="11" xfId="46" applyFont="1" applyBorder="1" applyAlignment="1">
      <alignment horizontal="centerContinuous"/>
    </xf>
    <xf numFmtId="0" fontId="8" fillId="0" borderId="0" xfId="46" applyFont="1"/>
    <xf numFmtId="0" fontId="9" fillId="0" borderId="0" xfId="46" applyFont="1" applyProtection="1">
      <protection hidden="1"/>
    </xf>
    <xf numFmtId="0" fontId="9" fillId="0" borderId="0" xfId="46" applyFont="1" applyAlignment="1" applyProtection="1">
      <alignment horizontal="center"/>
      <protection hidden="1"/>
    </xf>
    <xf numFmtId="0" fontId="8" fillId="0" borderId="0" xfId="46" applyFont="1" applyProtection="1">
      <protection hidden="1"/>
    </xf>
    <xf numFmtId="0" fontId="8" fillId="0" borderId="0" xfId="46" applyFont="1" applyAlignment="1" applyProtection="1">
      <alignment horizontal="center"/>
      <protection hidden="1"/>
    </xf>
    <xf numFmtId="0" fontId="27" fillId="0" borderId="0" xfId="46" applyFont="1"/>
    <xf numFmtId="0" fontId="8" fillId="0" borderId="0" xfId="46" applyFont="1" applyProtection="1">
      <protection locked="0"/>
    </xf>
    <xf numFmtId="177" fontId="23" fillId="0" borderId="0" xfId="42" applyNumberFormat="1" applyFont="1" applyAlignment="1" applyProtection="1">
      <alignment horizontal="right"/>
      <protection locked="0"/>
    </xf>
    <xf numFmtId="179" fontId="7" fillId="0" borderId="0" xfId="42" applyNumberFormat="1" applyAlignment="1" applyProtection="1">
      <alignment horizontal="right"/>
      <protection locked="0"/>
    </xf>
    <xf numFmtId="1" fontId="21" fillId="0" borderId="0" xfId="42" applyNumberFormat="1" applyFont="1" applyAlignment="1" applyProtection="1">
      <alignment horizontal="center"/>
      <protection locked="0"/>
    </xf>
    <xf numFmtId="0" fontId="19" fillId="0" borderId="0" xfId="43" applyFont="1" applyProtection="1">
      <protection locked="0"/>
    </xf>
    <xf numFmtId="0" fontId="7" fillId="0" borderId="0" xfId="43" applyProtection="1">
      <protection locked="0"/>
    </xf>
    <xf numFmtId="179" fontId="23" fillId="0" borderId="0" xfId="42" applyNumberFormat="1" applyFont="1" applyAlignment="1" applyProtection="1">
      <alignment horizontal="center"/>
      <protection locked="0"/>
    </xf>
    <xf numFmtId="185" fontId="41" fillId="0" borderId="0" xfId="0" applyNumberFormat="1" applyFont="1" applyAlignment="1">
      <alignment horizontal="center"/>
    </xf>
    <xf numFmtId="2" fontId="8" fillId="0" borderId="0" xfId="42" applyNumberFormat="1" applyFont="1" applyProtection="1">
      <protection locked="0"/>
    </xf>
    <xf numFmtId="0" fontId="10" fillId="0" borderId="0" xfId="46" applyFont="1" applyAlignment="1">
      <alignment horizontal="left"/>
    </xf>
    <xf numFmtId="0" fontId="41" fillId="0" borderId="24" xfId="0" applyFont="1" applyBorder="1" applyAlignment="1">
      <alignment horizontal="center"/>
    </xf>
    <xf numFmtId="1" fontId="23" fillId="0" borderId="0" xfId="42" applyNumberFormat="1" applyFont="1" applyAlignment="1" applyProtection="1">
      <alignment horizontal="right"/>
      <protection locked="0"/>
    </xf>
    <xf numFmtId="0" fontId="38" fillId="0" borderId="34" xfId="42" applyFont="1" applyBorder="1"/>
    <xf numFmtId="177" fontId="7" fillId="0" borderId="35" xfId="42" applyNumberFormat="1" applyBorder="1" applyAlignment="1" applyProtection="1">
      <alignment horizontal="right"/>
      <protection locked="0"/>
    </xf>
    <xf numFmtId="0" fontId="8" fillId="0" borderId="34" xfId="42" applyFont="1" applyBorder="1"/>
    <xf numFmtId="177" fontId="8" fillId="0" borderId="35" xfId="42" applyNumberFormat="1" applyFont="1" applyBorder="1" applyAlignment="1" applyProtection="1">
      <alignment horizontal="right"/>
      <protection locked="0"/>
    </xf>
    <xf numFmtId="0" fontId="41" fillId="0" borderId="0" xfId="0" applyFont="1" applyAlignment="1">
      <alignment horizontal="center"/>
    </xf>
    <xf numFmtId="0" fontId="26" fillId="0" borderId="0" xfId="0" applyFont="1"/>
    <xf numFmtId="185" fontId="0" fillId="0" borderId="0" xfId="0" applyNumberFormat="1"/>
    <xf numFmtId="1" fontId="41" fillId="0" borderId="0" xfId="0" applyNumberFormat="1" applyFont="1"/>
    <xf numFmtId="0" fontId="0" fillId="0" borderId="0" xfId="0" applyAlignment="1">
      <alignment horizontal="center"/>
    </xf>
    <xf numFmtId="169" fontId="0" fillId="0" borderId="0" xfId="0" applyNumberFormat="1" applyAlignment="1">
      <alignment horizontal="center"/>
    </xf>
    <xf numFmtId="0" fontId="9" fillId="0" borderId="0" xfId="40"/>
    <xf numFmtId="0" fontId="34" fillId="0" borderId="0" xfId="0" applyFont="1"/>
    <xf numFmtId="14" fontId="0" fillId="0" borderId="0" xfId="0" applyNumberFormat="1"/>
    <xf numFmtId="0" fontId="64" fillId="0" borderId="0" xfId="45" applyFont="1" applyAlignment="1" applyProtection="1">
      <alignment horizontal="left" vertical="center"/>
      <protection hidden="1"/>
    </xf>
    <xf numFmtId="0" fontId="64" fillId="18" borderId="0" xfId="45" applyFont="1" applyFill="1" applyAlignment="1" applyProtection="1">
      <alignment vertical="center"/>
      <protection hidden="1"/>
    </xf>
    <xf numFmtId="0" fontId="68" fillId="18" borderId="0" xfId="45" applyFont="1" applyFill="1" applyAlignment="1" applyProtection="1">
      <alignment vertical="center"/>
      <protection hidden="1"/>
    </xf>
    <xf numFmtId="0" fontId="64" fillId="0" borderId="0" xfId="45" applyFont="1" applyAlignment="1" applyProtection="1">
      <alignment vertical="center"/>
      <protection hidden="1"/>
    </xf>
    <xf numFmtId="0" fontId="66" fillId="0" borderId="0" xfId="45" applyFont="1" applyAlignment="1" applyProtection="1">
      <alignment vertical="center"/>
      <protection hidden="1"/>
    </xf>
    <xf numFmtId="14" fontId="66" fillId="0" borderId="0" xfId="45" applyNumberFormat="1" applyFont="1" applyAlignment="1" applyProtection="1">
      <alignment vertical="center"/>
      <protection hidden="1"/>
    </xf>
    <xf numFmtId="0" fontId="71" fillId="0" borderId="0" xfId="45" applyFont="1" applyAlignment="1" applyProtection="1">
      <alignment vertical="center"/>
      <protection hidden="1"/>
    </xf>
    <xf numFmtId="0" fontId="72" fillId="18" borderId="0" xfId="45" applyFont="1" applyFill="1" applyAlignment="1" applyProtection="1">
      <alignment vertical="center"/>
      <protection hidden="1"/>
    </xf>
    <xf numFmtId="0" fontId="72" fillId="0" borderId="0" xfId="45" applyFont="1" applyAlignment="1" applyProtection="1">
      <alignment vertical="center"/>
      <protection hidden="1"/>
    </xf>
    <xf numFmtId="0" fontId="64" fillId="0" borderId="0" xfId="45" applyFont="1" applyAlignment="1">
      <alignment vertical="center"/>
    </xf>
    <xf numFmtId="0" fontId="66" fillId="0" borderId="10" xfId="45" applyFont="1" applyBorder="1" applyAlignment="1" applyProtection="1">
      <alignment horizontal="left" vertical="center"/>
      <protection hidden="1"/>
    </xf>
    <xf numFmtId="0" fontId="64" fillId="0" borderId="27" xfId="45" applyFont="1" applyBorder="1" applyAlignment="1" applyProtection="1">
      <alignment vertical="center"/>
      <protection hidden="1"/>
    </xf>
    <xf numFmtId="0" fontId="64" fillId="0" borderId="26" xfId="45" applyFont="1" applyBorder="1" applyAlignment="1" applyProtection="1">
      <alignment vertical="center"/>
      <protection hidden="1"/>
    </xf>
    <xf numFmtId="0" fontId="66" fillId="0" borderId="0" xfId="45" applyFont="1" applyAlignment="1" applyProtection="1">
      <alignment horizontal="left" vertical="center"/>
      <protection hidden="1"/>
    </xf>
    <xf numFmtId="0" fontId="64" fillId="0" borderId="24" xfId="45" applyFont="1" applyBorder="1" applyAlignment="1" applyProtection="1">
      <alignment vertical="center"/>
      <protection hidden="1"/>
    </xf>
    <xf numFmtId="0" fontId="64" fillId="0" borderId="28" xfId="45" applyFont="1" applyBorder="1" applyAlignment="1" applyProtection="1">
      <alignment vertical="center"/>
      <protection hidden="1"/>
    </xf>
    <xf numFmtId="0" fontId="66" fillId="0" borderId="26" xfId="45" applyFont="1" applyBorder="1" applyAlignment="1" applyProtection="1">
      <alignment horizontal="left" vertical="center"/>
      <protection hidden="1"/>
    </xf>
    <xf numFmtId="0" fontId="64" fillId="0" borderId="29" xfId="45" applyFont="1" applyBorder="1" applyAlignment="1" applyProtection="1">
      <alignment vertical="center"/>
      <protection hidden="1"/>
    </xf>
    <xf numFmtId="0" fontId="66" fillId="0" borderId="29" xfId="45" applyFont="1" applyBorder="1" applyAlignment="1" applyProtection="1">
      <alignment horizontal="left" vertical="center"/>
      <protection hidden="1"/>
    </xf>
    <xf numFmtId="0" fontId="66" fillId="0" borderId="30" xfId="45" applyFont="1" applyBorder="1" applyAlignment="1" applyProtection="1">
      <alignment horizontal="left" vertical="center"/>
      <protection hidden="1"/>
    </xf>
    <xf numFmtId="0" fontId="66" fillId="0" borderId="0" xfId="44" applyFont="1" applyAlignment="1" applyProtection="1">
      <alignment horizontal="center" vertical="center"/>
      <protection hidden="1"/>
    </xf>
    <xf numFmtId="0" fontId="73" fillId="0" borderId="0" xfId="45" applyFont="1" applyAlignment="1" applyProtection="1">
      <alignment vertical="center"/>
      <protection hidden="1"/>
    </xf>
    <xf numFmtId="0" fontId="73" fillId="0" borderId="0" xfId="45" quotePrefix="1" applyFont="1" applyAlignment="1" applyProtection="1">
      <alignment vertical="center"/>
      <protection hidden="1"/>
    </xf>
    <xf numFmtId="0" fontId="64" fillId="0" borderId="0" xfId="45" applyFont="1" applyAlignment="1">
      <alignment horizontal="center" vertical="center"/>
    </xf>
    <xf numFmtId="0" fontId="64" fillId="0" borderId="0" xfId="45" applyFont="1" applyAlignment="1">
      <alignment horizontal="center"/>
    </xf>
    <xf numFmtId="0" fontId="64" fillId="0" borderId="0" xfId="45" applyFont="1"/>
    <xf numFmtId="0" fontId="66" fillId="0" borderId="31" xfId="45" applyFont="1" applyBorder="1" applyAlignment="1" applyProtection="1">
      <alignment horizontal="left" vertical="center"/>
      <protection hidden="1"/>
    </xf>
    <xf numFmtId="0" fontId="66" fillId="0" borderId="0" xfId="45" applyFont="1" applyAlignment="1" applyProtection="1">
      <alignment horizontal="center" vertical="center"/>
      <protection hidden="1"/>
    </xf>
    <xf numFmtId="0" fontId="66" fillId="0" borderId="0" xfId="45" applyFont="1" applyAlignment="1" applyProtection="1">
      <alignment horizontal="center" vertical="center" wrapText="1"/>
      <protection hidden="1"/>
    </xf>
    <xf numFmtId="0" fontId="66" fillId="0" borderId="24" xfId="45" applyFont="1" applyBorder="1" applyAlignment="1" applyProtection="1">
      <alignment horizontal="left" vertical="center"/>
      <protection hidden="1"/>
    </xf>
    <xf numFmtId="0" fontId="64" fillId="0" borderId="0" xfId="45" quotePrefix="1" applyFont="1" applyAlignment="1" applyProtection="1">
      <alignment vertical="center"/>
      <protection hidden="1"/>
    </xf>
    <xf numFmtId="0" fontId="64" fillId="0" borderId="11" xfId="45" applyFont="1" applyBorder="1" applyAlignment="1" applyProtection="1">
      <alignment vertical="center"/>
      <protection hidden="1"/>
    </xf>
    <xf numFmtId="0" fontId="64" fillId="0" borderId="10" xfId="45" applyFont="1" applyBorder="1" applyAlignment="1" applyProtection="1">
      <alignment vertical="center"/>
      <protection hidden="1"/>
    </xf>
    <xf numFmtId="0" fontId="66" fillId="0" borderId="27" xfId="45" applyFont="1" applyBorder="1" applyAlignment="1" applyProtection="1">
      <alignment horizontal="left" vertical="center"/>
      <protection hidden="1"/>
    </xf>
    <xf numFmtId="1" fontId="66" fillId="0" borderId="24" xfId="45" applyNumberFormat="1" applyFont="1" applyBorder="1" applyAlignment="1" applyProtection="1">
      <alignment vertical="center"/>
      <protection hidden="1"/>
    </xf>
    <xf numFmtId="1" fontId="66" fillId="0" borderId="28" xfId="45" applyNumberFormat="1" applyFont="1" applyBorder="1" applyAlignment="1" applyProtection="1">
      <alignment vertical="center"/>
      <protection hidden="1"/>
    </xf>
    <xf numFmtId="0" fontId="64" fillId="0" borderId="10" xfId="45" applyFont="1" applyBorder="1" applyAlignment="1" applyProtection="1">
      <alignment horizontal="center" vertical="center"/>
      <protection hidden="1"/>
    </xf>
    <xf numFmtId="1" fontId="66" fillId="0" borderId="31" xfId="45" applyNumberFormat="1" applyFont="1" applyBorder="1" applyAlignment="1" applyProtection="1">
      <alignment vertical="center"/>
      <protection hidden="1"/>
    </xf>
    <xf numFmtId="1" fontId="66" fillId="0" borderId="29" xfId="45" applyNumberFormat="1" applyFont="1" applyBorder="1" applyAlignment="1" applyProtection="1">
      <alignment horizontal="left" vertical="center"/>
      <protection hidden="1"/>
    </xf>
    <xf numFmtId="188" fontId="66" fillId="0" borderId="0" xfId="45" applyNumberFormat="1" applyFont="1" applyAlignment="1" applyProtection="1">
      <alignment vertical="center"/>
      <protection hidden="1"/>
    </xf>
    <xf numFmtId="0" fontId="71" fillId="0" borderId="26" xfId="45" applyFont="1" applyBorder="1" applyAlignment="1" applyProtection="1">
      <alignment vertical="center"/>
      <protection hidden="1"/>
    </xf>
    <xf numFmtId="189" fontId="64" fillId="0" borderId="0" xfId="45" applyNumberFormat="1" applyFont="1" applyAlignment="1" applyProtection="1">
      <alignment vertical="center"/>
      <protection hidden="1"/>
    </xf>
    <xf numFmtId="189" fontId="64" fillId="0" borderId="26" xfId="45" applyNumberFormat="1" applyFont="1" applyBorder="1" applyAlignment="1" applyProtection="1">
      <alignment vertical="center"/>
      <protection hidden="1"/>
    </xf>
    <xf numFmtId="0" fontId="64" fillId="0" borderId="10" xfId="45" applyFont="1" applyBorder="1" applyAlignment="1" applyProtection="1">
      <alignment vertical="center" wrapText="1"/>
      <protection hidden="1"/>
    </xf>
    <xf numFmtId="0" fontId="66" fillId="0" borderId="10" xfId="45" applyFont="1" applyBorder="1" applyAlignment="1" applyProtection="1">
      <alignment vertical="center"/>
      <protection hidden="1"/>
    </xf>
    <xf numFmtId="189" fontId="66" fillId="0" borderId="0" xfId="45" applyNumberFormat="1" applyFont="1" applyAlignment="1" applyProtection="1">
      <alignment vertical="center"/>
      <protection hidden="1"/>
    </xf>
    <xf numFmtId="189" fontId="66" fillId="0" borderId="26" xfId="45" applyNumberFormat="1" applyFont="1" applyBorder="1" applyAlignment="1" applyProtection="1">
      <alignment vertical="center"/>
      <protection hidden="1"/>
    </xf>
    <xf numFmtId="40" fontId="64" fillId="0" borderId="0" xfId="29" applyFont="1" applyFill="1" applyBorder="1" applyAlignment="1" applyProtection="1">
      <alignment vertical="center"/>
      <protection hidden="1"/>
    </xf>
    <xf numFmtId="40" fontId="64" fillId="0" borderId="26" xfId="29" applyFont="1" applyFill="1" applyBorder="1" applyAlignment="1" applyProtection="1">
      <alignment vertical="center"/>
      <protection hidden="1"/>
    </xf>
    <xf numFmtId="171" fontId="64" fillId="0" borderId="0" xfId="49" applyNumberFormat="1" applyFont="1" applyFill="1" applyBorder="1" applyAlignment="1" applyProtection="1">
      <alignment vertical="center"/>
      <protection hidden="1"/>
    </xf>
    <xf numFmtId="171" fontId="64" fillId="0" borderId="26" xfId="49" applyNumberFormat="1" applyFont="1" applyFill="1" applyBorder="1" applyAlignment="1" applyProtection="1">
      <alignment vertical="center"/>
      <protection hidden="1"/>
    </xf>
    <xf numFmtId="189" fontId="66" fillId="0" borderId="0" xfId="29" applyNumberFormat="1" applyFont="1" applyFill="1" applyBorder="1" applyAlignment="1" applyProtection="1">
      <alignment vertical="center"/>
      <protection hidden="1"/>
    </xf>
    <xf numFmtId="189" fontId="66" fillId="0" borderId="26" xfId="29" applyNumberFormat="1" applyFont="1" applyFill="1" applyBorder="1" applyAlignment="1" applyProtection="1">
      <alignment vertical="center"/>
      <protection hidden="1"/>
    </xf>
    <xf numFmtId="171" fontId="66" fillId="0" borderId="0" xfId="49" applyNumberFormat="1" applyFont="1" applyFill="1" applyBorder="1" applyAlignment="1" applyProtection="1">
      <alignment vertical="center"/>
      <protection hidden="1"/>
    </xf>
    <xf numFmtId="171" fontId="66" fillId="0" borderId="26" xfId="49" applyNumberFormat="1" applyFont="1" applyFill="1" applyBorder="1" applyAlignment="1" applyProtection="1">
      <alignment vertical="center"/>
      <protection hidden="1"/>
    </xf>
    <xf numFmtId="0" fontId="64" fillId="0" borderId="31" xfId="45" applyFont="1" applyBorder="1" applyAlignment="1" applyProtection="1">
      <alignment vertical="center"/>
      <protection hidden="1"/>
    </xf>
    <xf numFmtId="0" fontId="64" fillId="0" borderId="30" xfId="45" applyFont="1" applyBorder="1" applyAlignment="1" applyProtection="1">
      <alignment vertical="center"/>
      <protection hidden="1"/>
    </xf>
    <xf numFmtId="0" fontId="64" fillId="18" borderId="0" xfId="45" applyFont="1" applyFill="1" applyAlignment="1">
      <alignment vertical="center"/>
    </xf>
    <xf numFmtId="0" fontId="68" fillId="0" borderId="0" xfId="45" applyFont="1" applyAlignment="1" applyProtection="1">
      <alignment vertical="center"/>
      <protection hidden="1"/>
    </xf>
    <xf numFmtId="189" fontId="64" fillId="0" borderId="29" xfId="45" applyNumberFormat="1" applyFont="1" applyBorder="1" applyAlignment="1" applyProtection="1">
      <alignment vertical="center"/>
      <protection hidden="1"/>
    </xf>
    <xf numFmtId="189" fontId="64" fillId="0" borderId="30" xfId="45" applyNumberFormat="1" applyFont="1" applyBorder="1" applyAlignment="1" applyProtection="1">
      <alignment vertical="center"/>
      <protection hidden="1"/>
    </xf>
    <xf numFmtId="189" fontId="64" fillId="0" borderId="24" xfId="45" applyNumberFormat="1" applyFont="1" applyBorder="1" applyAlignment="1" applyProtection="1">
      <alignment vertical="center"/>
      <protection hidden="1"/>
    </xf>
    <xf numFmtId="189" fontId="64" fillId="0" borderId="0" xfId="29" applyNumberFormat="1" applyFont="1" applyFill="1" applyBorder="1" applyAlignment="1" applyProtection="1">
      <alignment vertical="center"/>
      <protection hidden="1"/>
    </xf>
    <xf numFmtId="0" fontId="66" fillId="0" borderId="27" xfId="45" applyFont="1" applyBorder="1" applyAlignment="1" applyProtection="1">
      <alignment vertical="center"/>
      <protection hidden="1"/>
    </xf>
    <xf numFmtId="1" fontId="66" fillId="0" borderId="29" xfId="45" applyNumberFormat="1" applyFont="1" applyBorder="1" applyAlignment="1" applyProtection="1">
      <alignment horizontal="center" vertical="center"/>
      <protection hidden="1"/>
    </xf>
    <xf numFmtId="2" fontId="64" fillId="0" borderId="24" xfId="29" applyNumberFormat="1" applyFont="1" applyFill="1" applyBorder="1" applyAlignment="1" applyProtection="1">
      <alignment horizontal="center" vertical="center"/>
      <protection hidden="1"/>
    </xf>
    <xf numFmtId="2" fontId="64" fillId="0" borderId="29" xfId="45" applyNumberFormat="1" applyFont="1" applyBorder="1" applyAlignment="1" applyProtection="1">
      <alignment horizontal="center" vertical="center"/>
      <protection hidden="1"/>
    </xf>
    <xf numFmtId="2" fontId="66" fillId="0" borderId="0" xfId="29" applyNumberFormat="1" applyFont="1" applyFill="1" applyBorder="1" applyAlignment="1" applyProtection="1">
      <alignment horizontal="center" vertical="center"/>
      <protection hidden="1"/>
    </xf>
    <xf numFmtId="1" fontId="66" fillId="0" borderId="29" xfId="45" quotePrefix="1" applyNumberFormat="1" applyFont="1" applyBorder="1" applyAlignment="1" applyProtection="1">
      <alignment horizontal="right" vertical="center"/>
      <protection hidden="1"/>
    </xf>
    <xf numFmtId="1" fontId="66" fillId="0" borderId="30" xfId="45" quotePrefix="1" applyNumberFormat="1" applyFont="1" applyBorder="1" applyAlignment="1" applyProtection="1">
      <alignment horizontal="right" vertical="center"/>
      <protection hidden="1"/>
    </xf>
    <xf numFmtId="0" fontId="65" fillId="0" borderId="0" xfId="45" applyFont="1" applyAlignment="1" applyProtection="1">
      <alignment vertical="center"/>
      <protection hidden="1"/>
    </xf>
    <xf numFmtId="0" fontId="67" fillId="0" borderId="0" xfId="45" applyFont="1" applyAlignment="1" applyProtection="1">
      <alignment vertical="center"/>
      <protection hidden="1"/>
    </xf>
    <xf numFmtId="0" fontId="69" fillId="0" borderId="0" xfId="45" applyFont="1" applyAlignment="1" applyProtection="1">
      <alignment vertical="center"/>
      <protection hidden="1"/>
    </xf>
    <xf numFmtId="0" fontId="70" fillId="0" borderId="0" xfId="45" applyFont="1" applyAlignment="1" applyProtection="1">
      <alignment vertical="center"/>
      <protection hidden="1"/>
    </xf>
    <xf numFmtId="0" fontId="80" fillId="0" borderId="0" xfId="45" applyFont="1" applyAlignment="1" applyProtection="1">
      <alignment vertical="center"/>
      <protection hidden="1"/>
    </xf>
    <xf numFmtId="0" fontId="76" fillId="0" borderId="0" xfId="45" applyFont="1" applyAlignment="1" applyProtection="1">
      <alignment vertical="center"/>
      <protection hidden="1"/>
    </xf>
    <xf numFmtId="0" fontId="78" fillId="0" borderId="0" xfId="45" applyFont="1" applyAlignment="1" applyProtection="1">
      <alignment vertical="center"/>
      <protection hidden="1"/>
    </xf>
    <xf numFmtId="0" fontId="79" fillId="0" borderId="0" xfId="45" applyFont="1" applyAlignment="1" applyProtection="1">
      <alignment vertical="center"/>
      <protection hidden="1"/>
    </xf>
    <xf numFmtId="0" fontId="66" fillId="20" borderId="0" xfId="45" applyFont="1" applyFill="1" applyAlignment="1" applyProtection="1">
      <alignment vertical="center"/>
      <protection hidden="1"/>
    </xf>
    <xf numFmtId="0" fontId="64" fillId="20" borderId="0" xfId="45" applyFont="1" applyFill="1" applyAlignment="1" applyProtection="1">
      <alignment vertical="center"/>
      <protection hidden="1"/>
    </xf>
    <xf numFmtId="0" fontId="66" fillId="20" borderId="29" xfId="45" applyFont="1" applyFill="1" applyBorder="1" applyAlignment="1" applyProtection="1">
      <alignment vertical="center"/>
      <protection hidden="1"/>
    </xf>
    <xf numFmtId="1" fontId="66" fillId="20" borderId="29" xfId="45" applyNumberFormat="1" applyFont="1" applyFill="1" applyBorder="1" applyAlignment="1" applyProtection="1">
      <alignment horizontal="right"/>
      <protection hidden="1"/>
    </xf>
    <xf numFmtId="0" fontId="66" fillId="20" borderId="0" xfId="45" applyFont="1" applyFill="1" applyAlignment="1" applyProtection="1">
      <alignment horizontal="left" vertical="center"/>
      <protection hidden="1"/>
    </xf>
    <xf numFmtId="0" fontId="64" fillId="20" borderId="0" xfId="45" applyFont="1" applyFill="1" applyAlignment="1" applyProtection="1">
      <alignment horizontal="left" vertical="center"/>
      <protection hidden="1"/>
    </xf>
    <xf numFmtId="190" fontId="64" fillId="20" borderId="0" xfId="29" applyNumberFormat="1" applyFont="1" applyFill="1" applyBorder="1" applyAlignment="1" applyProtection="1">
      <alignment horizontal="right" vertical="center"/>
      <protection hidden="1"/>
    </xf>
    <xf numFmtId="190" fontId="66" fillId="20" borderId="0" xfId="29" applyNumberFormat="1" applyFont="1" applyFill="1" applyBorder="1" applyAlignment="1" applyProtection="1">
      <alignment horizontal="right" vertical="center"/>
      <protection hidden="1"/>
    </xf>
    <xf numFmtId="190" fontId="64" fillId="20" borderId="0" xfId="45" applyNumberFormat="1" applyFont="1" applyFill="1" applyAlignment="1" applyProtection="1">
      <alignment horizontal="right" vertical="center"/>
      <protection hidden="1"/>
    </xf>
    <xf numFmtId="190" fontId="66" fillId="20" borderId="0" xfId="45" applyNumberFormat="1" applyFont="1" applyFill="1" applyAlignment="1" applyProtection="1">
      <alignment horizontal="right" vertical="center"/>
      <protection hidden="1"/>
    </xf>
    <xf numFmtId="191" fontId="64" fillId="20" borderId="0" xfId="45" applyNumberFormat="1" applyFont="1" applyFill="1" applyAlignment="1" applyProtection="1">
      <alignment horizontal="right" vertical="center"/>
      <protection hidden="1"/>
    </xf>
    <xf numFmtId="191" fontId="64" fillId="20" borderId="0" xfId="49" applyNumberFormat="1" applyFont="1" applyFill="1" applyBorder="1" applyAlignment="1" applyProtection="1">
      <alignment horizontal="right" vertical="center"/>
      <protection hidden="1"/>
    </xf>
    <xf numFmtId="191" fontId="66" fillId="20" borderId="0" xfId="49" applyNumberFormat="1" applyFont="1" applyFill="1" applyBorder="1" applyAlignment="1" applyProtection="1">
      <alignment horizontal="right" vertical="center"/>
      <protection hidden="1"/>
    </xf>
    <xf numFmtId="0" fontId="66" fillId="20" borderId="35" xfId="45" applyFont="1" applyFill="1" applyBorder="1" applyAlignment="1" applyProtection="1">
      <alignment vertical="center"/>
      <protection hidden="1"/>
    </xf>
    <xf numFmtId="1" fontId="66" fillId="20" borderId="35" xfId="45" applyNumberFormat="1" applyFont="1" applyFill="1" applyBorder="1" applyAlignment="1" applyProtection="1">
      <alignment horizontal="right"/>
      <protection hidden="1"/>
    </xf>
    <xf numFmtId="171" fontId="71" fillId="20" borderId="0" xfId="45" applyNumberFormat="1" applyFont="1" applyFill="1" applyAlignment="1" applyProtection="1">
      <alignment horizontal="left" vertical="center"/>
      <protection hidden="1"/>
    </xf>
    <xf numFmtId="2" fontId="66" fillId="20" borderId="0" xfId="45" applyNumberFormat="1" applyFont="1" applyFill="1" applyAlignment="1" applyProtection="1">
      <alignment horizontal="left" vertical="center"/>
      <protection hidden="1"/>
    </xf>
    <xf numFmtId="190" fontId="64" fillId="20" borderId="0" xfId="45" applyNumberFormat="1" applyFont="1" applyFill="1" applyAlignment="1" applyProtection="1">
      <alignment horizontal="left" vertical="center"/>
      <protection hidden="1"/>
    </xf>
    <xf numFmtId="2" fontId="64" fillId="20" borderId="0" xfId="45" applyNumberFormat="1" applyFont="1" applyFill="1" applyAlignment="1" applyProtection="1">
      <alignment horizontal="right" vertical="center"/>
      <protection hidden="1"/>
    </xf>
    <xf numFmtId="2" fontId="64" fillId="20" borderId="0" xfId="49" applyNumberFormat="1" applyFont="1" applyFill="1" applyBorder="1" applyAlignment="1" applyProtection="1">
      <alignment horizontal="right" vertical="center"/>
      <protection hidden="1"/>
    </xf>
    <xf numFmtId="0" fontId="71" fillId="20" borderId="0" xfId="45" applyFont="1" applyFill="1" applyAlignment="1" applyProtection="1">
      <alignment horizontal="left" vertical="center"/>
      <protection hidden="1"/>
    </xf>
    <xf numFmtId="0" fontId="71" fillId="20" borderId="0" xfId="45" applyFont="1" applyFill="1" applyAlignment="1" applyProtection="1">
      <alignment vertical="center"/>
      <protection hidden="1"/>
    </xf>
    <xf numFmtId="14" fontId="66" fillId="20" borderId="0" xfId="45" applyNumberFormat="1" applyFont="1" applyFill="1" applyAlignment="1" applyProtection="1">
      <alignment vertical="center"/>
      <protection hidden="1"/>
    </xf>
    <xf numFmtId="1" fontId="71" fillId="20" borderId="0" xfId="45" applyNumberFormat="1" applyFont="1" applyFill="1" applyAlignment="1" applyProtection="1">
      <alignment horizontal="left" vertical="center"/>
      <protection hidden="1"/>
    </xf>
    <xf numFmtId="190" fontId="64" fillId="20" borderId="0" xfId="29" applyNumberFormat="1" applyFont="1" applyFill="1" applyBorder="1" applyAlignment="1" applyProtection="1">
      <alignment horizontal="left" vertical="center"/>
      <protection hidden="1"/>
    </xf>
    <xf numFmtId="0" fontId="64" fillId="20" borderId="0" xfId="0" applyFont="1" applyFill="1"/>
    <xf numFmtId="1" fontId="66" fillId="20" borderId="0" xfId="45" applyNumberFormat="1" applyFont="1" applyFill="1" applyAlignment="1" applyProtection="1">
      <alignment horizontal="left" vertical="center"/>
      <protection hidden="1"/>
    </xf>
    <xf numFmtId="190" fontId="64" fillId="20" borderId="0" xfId="29" applyNumberFormat="1" applyFont="1" applyFill="1" applyBorder="1" applyAlignment="1" applyProtection="1">
      <alignment vertical="center"/>
      <protection hidden="1"/>
    </xf>
    <xf numFmtId="1" fontId="64" fillId="20" borderId="0" xfId="45" applyNumberFormat="1" applyFont="1" applyFill="1" applyAlignment="1" applyProtection="1">
      <alignment horizontal="left" vertical="center"/>
      <protection hidden="1"/>
    </xf>
    <xf numFmtId="0" fontId="73" fillId="20" borderId="35" xfId="45" applyFont="1" applyFill="1" applyBorder="1" applyAlignment="1" applyProtection="1">
      <alignment vertical="center"/>
      <protection hidden="1"/>
    </xf>
    <xf numFmtId="2" fontId="66" fillId="20" borderId="35" xfId="45" applyNumberFormat="1" applyFont="1" applyFill="1" applyBorder="1" applyAlignment="1" applyProtection="1">
      <alignment vertical="center"/>
      <protection hidden="1"/>
    </xf>
    <xf numFmtId="0" fontId="73" fillId="20" borderId="0" xfId="45" applyFont="1" applyFill="1" applyAlignment="1" applyProtection="1">
      <alignment vertical="center"/>
      <protection hidden="1"/>
    </xf>
    <xf numFmtId="8" fontId="64" fillId="20" borderId="0" xfId="30" applyFont="1" applyFill="1" applyBorder="1" applyAlignment="1" applyProtection="1">
      <alignment horizontal="right" vertical="center"/>
      <protection hidden="1"/>
    </xf>
    <xf numFmtId="8" fontId="64" fillId="20" borderId="0" xfId="30" applyFont="1" applyFill="1" applyBorder="1" applyAlignment="1" applyProtection="1">
      <alignment horizontal="left" vertical="center"/>
      <protection hidden="1"/>
    </xf>
    <xf numFmtId="169" fontId="64" fillId="20" borderId="0" xfId="41" applyNumberFormat="1" applyFont="1" applyFill="1" applyAlignment="1">
      <alignment horizontal="left"/>
    </xf>
    <xf numFmtId="40" fontId="64" fillId="20" borderId="0" xfId="29" applyFont="1" applyFill="1" applyBorder="1" applyAlignment="1" applyProtection="1">
      <alignment horizontal="right" vertical="center"/>
      <protection hidden="1"/>
    </xf>
    <xf numFmtId="2" fontId="64" fillId="20" borderId="0" xfId="29" applyNumberFormat="1" applyFont="1" applyFill="1" applyBorder="1" applyAlignment="1" applyProtection="1">
      <alignment horizontal="right" vertical="center"/>
      <protection hidden="1"/>
    </xf>
    <xf numFmtId="7" fontId="66" fillId="20" borderId="0" xfId="30" applyNumberFormat="1" applyFont="1" applyFill="1" applyBorder="1" applyAlignment="1" applyProtection="1">
      <alignment horizontal="right" vertical="center"/>
      <protection hidden="1"/>
    </xf>
    <xf numFmtId="169" fontId="64" fillId="20" borderId="0" xfId="45" applyNumberFormat="1" applyFont="1" applyFill="1" applyAlignment="1" applyProtection="1">
      <alignment horizontal="right" vertical="center"/>
      <protection hidden="1"/>
    </xf>
    <xf numFmtId="189" fontId="64" fillId="20" borderId="0" xfId="29" applyNumberFormat="1" applyFont="1" applyFill="1" applyBorder="1" applyAlignment="1" applyProtection="1">
      <alignment horizontal="left" vertical="center"/>
      <protection hidden="1"/>
    </xf>
    <xf numFmtId="1" fontId="66" fillId="20" borderId="35" xfId="45" applyNumberFormat="1" applyFont="1" applyFill="1" applyBorder="1" applyAlignment="1" applyProtection="1">
      <alignment horizontal="right" vertical="center"/>
      <protection hidden="1"/>
    </xf>
    <xf numFmtId="0" fontId="80" fillId="20" borderId="0" xfId="45" applyFont="1" applyFill="1" applyAlignment="1" applyProtection="1">
      <alignment vertical="center"/>
      <protection hidden="1"/>
    </xf>
    <xf numFmtId="0" fontId="66" fillId="20" borderId="0" xfId="45" applyFont="1" applyFill="1" applyAlignment="1" applyProtection="1">
      <alignment horizontal="center" vertical="center"/>
      <protection hidden="1"/>
    </xf>
    <xf numFmtId="1" fontId="66" fillId="20" borderId="29" xfId="45" quotePrefix="1" applyNumberFormat="1" applyFont="1" applyFill="1" applyBorder="1" applyAlignment="1" applyProtection="1">
      <alignment horizontal="right"/>
      <protection hidden="1"/>
    </xf>
    <xf numFmtId="0" fontId="5" fillId="0" borderId="0" xfId="0" applyFont="1"/>
    <xf numFmtId="0" fontId="5" fillId="0" borderId="0" xfId="0" applyFont="1" applyAlignment="1">
      <alignment horizontal="center"/>
    </xf>
    <xf numFmtId="0" fontId="143" fillId="0" borderId="0" xfId="0" applyFont="1"/>
    <xf numFmtId="0" fontId="144" fillId="0" borderId="0" xfId="0" applyFont="1"/>
    <xf numFmtId="0" fontId="144" fillId="0" borderId="0" xfId="0" applyFont="1" applyAlignment="1">
      <alignment horizontal="center"/>
    </xf>
    <xf numFmtId="0" fontId="143" fillId="0" borderId="0" xfId="0" applyFont="1" applyAlignment="1">
      <alignment horizontal="center"/>
    </xf>
    <xf numFmtId="0" fontId="143" fillId="0" borderId="0" xfId="0" applyFont="1" applyAlignment="1">
      <alignment horizontal="left"/>
    </xf>
    <xf numFmtId="9" fontId="0" fillId="0" borderId="0" xfId="0" applyNumberFormat="1"/>
    <xf numFmtId="169" fontId="0" fillId="0" borderId="0" xfId="0" applyNumberFormat="1"/>
    <xf numFmtId="171" fontId="0" fillId="0" borderId="0" xfId="0" applyNumberFormat="1"/>
    <xf numFmtId="0" fontId="148" fillId="0" borderId="0" xfId="0" applyFont="1"/>
    <xf numFmtId="9" fontId="148" fillId="0" borderId="0" xfId="49" applyFont="1"/>
    <xf numFmtId="0" fontId="152" fillId="0" borderId="0" xfId="0" applyFont="1"/>
    <xf numFmtId="0" fontId="153" fillId="0" borderId="0" xfId="0" applyFont="1"/>
    <xf numFmtId="0" fontId="154" fillId="19" borderId="0" xfId="0" applyFont="1" applyFill="1"/>
    <xf numFmtId="170" fontId="152" fillId="0" borderId="0" xfId="0" applyNumberFormat="1" applyFont="1" applyAlignment="1">
      <alignment horizontal="center"/>
    </xf>
    <xf numFmtId="186" fontId="152" fillId="0" borderId="0" xfId="28" applyNumberFormat="1" applyFont="1" applyFill="1" applyBorder="1" applyAlignment="1">
      <alignment horizontal="center"/>
    </xf>
    <xf numFmtId="186" fontId="147" fillId="0" borderId="24" xfId="28" applyNumberFormat="1" applyFont="1" applyFill="1" applyBorder="1" applyAlignment="1"/>
    <xf numFmtId="9" fontId="152" fillId="0" borderId="0" xfId="49" applyFont="1" applyFill="1" applyBorder="1" applyAlignment="1">
      <alignment horizontal="center"/>
    </xf>
    <xf numFmtId="9" fontId="148" fillId="0" borderId="0" xfId="0" applyNumberFormat="1" applyFont="1" applyAlignment="1">
      <alignment horizontal="center"/>
    </xf>
    <xf numFmtId="170" fontId="147" fillId="0" borderId="0" xfId="0" applyNumberFormat="1" applyFont="1" applyAlignment="1">
      <alignment horizontal="center"/>
    </xf>
    <xf numFmtId="170" fontId="148" fillId="0" borderId="0" xfId="0" applyNumberFormat="1" applyFont="1" applyAlignment="1">
      <alignment horizontal="center"/>
    </xf>
    <xf numFmtId="169" fontId="147" fillId="0" borderId="0" xfId="0" applyNumberFormat="1" applyFont="1" applyAlignment="1">
      <alignment horizontal="center"/>
    </xf>
    <xf numFmtId="174" fontId="148" fillId="0" borderId="0" xfId="0" applyNumberFormat="1" applyFont="1" applyAlignment="1">
      <alignment horizontal="center"/>
    </xf>
    <xf numFmtId="9" fontId="148" fillId="0" borderId="0" xfId="49" applyFont="1" applyFill="1" applyBorder="1" applyAlignment="1">
      <alignment horizontal="center"/>
    </xf>
    <xf numFmtId="0" fontId="156" fillId="0" borderId="0" xfId="0" applyFont="1"/>
    <xf numFmtId="169" fontId="148" fillId="0" borderId="0" xfId="0" applyNumberFormat="1" applyFont="1" applyAlignment="1">
      <alignment horizontal="center"/>
    </xf>
    <xf numFmtId="170" fontId="148" fillId="0" borderId="0" xfId="0" applyNumberFormat="1" applyFont="1"/>
    <xf numFmtId="185" fontId="148" fillId="0" borderId="0" xfId="0" applyNumberFormat="1" applyFont="1" applyAlignment="1">
      <alignment horizontal="center"/>
    </xf>
    <xf numFmtId="171" fontId="152" fillId="0" borderId="0" xfId="0" applyNumberFormat="1" applyFont="1" applyAlignment="1">
      <alignment horizontal="center"/>
    </xf>
    <xf numFmtId="171" fontId="148" fillId="0" borderId="0" xfId="0" applyNumberFormat="1" applyFont="1" applyAlignment="1">
      <alignment horizontal="center"/>
    </xf>
    <xf numFmtId="169" fontId="148" fillId="0" borderId="0" xfId="0" applyNumberFormat="1" applyFont="1"/>
    <xf numFmtId="184" fontId="148" fillId="0" borderId="0" xfId="372" applyFont="1"/>
    <xf numFmtId="0" fontId="148" fillId="0" borderId="0" xfId="0" applyFont="1" applyAlignment="1">
      <alignment horizontal="left"/>
    </xf>
    <xf numFmtId="222" fontId="148" fillId="0" borderId="0" xfId="0" applyNumberFormat="1" applyFont="1" applyAlignment="1">
      <alignment horizontal="center"/>
    </xf>
    <xf numFmtId="186" fontId="148" fillId="0" borderId="0" xfId="28" applyNumberFormat="1" applyFont="1" applyFill="1" applyBorder="1" applyAlignment="1">
      <alignment horizontal="center"/>
    </xf>
    <xf numFmtId="187" fontId="148" fillId="0" borderId="0" xfId="28" applyNumberFormat="1" applyFont="1" applyFill="1" applyBorder="1" applyAlignment="1">
      <alignment horizontal="center"/>
    </xf>
    <xf numFmtId="0" fontId="160" fillId="19" borderId="0" xfId="0" applyFont="1" applyFill="1"/>
    <xf numFmtId="186" fontId="148" fillId="0" borderId="0" xfId="28" applyNumberFormat="1" applyFont="1" applyFill="1" applyBorder="1" applyAlignment="1"/>
    <xf numFmtId="171" fontId="148" fillId="0" borderId="0" xfId="49" applyNumberFormat="1" applyFont="1" applyFill="1" applyBorder="1" applyAlignment="1">
      <alignment horizontal="center"/>
    </xf>
    <xf numFmtId="185" fontId="153" fillId="0" borderId="0" xfId="0" applyNumberFormat="1" applyFont="1" applyAlignment="1">
      <alignment horizontal="center"/>
    </xf>
    <xf numFmtId="173" fontId="148" fillId="0" borderId="0" xfId="0" applyNumberFormat="1" applyFont="1" applyAlignment="1">
      <alignment horizontal="center"/>
    </xf>
    <xf numFmtId="0" fontId="147" fillId="0" borderId="0" xfId="0" applyFont="1"/>
    <xf numFmtId="0" fontId="150" fillId="34" borderId="0" xfId="0" applyFont="1" applyFill="1" applyAlignment="1">
      <alignment horizontal="center"/>
    </xf>
    <xf numFmtId="0" fontId="150" fillId="34" borderId="0" xfId="0" applyFont="1" applyFill="1"/>
    <xf numFmtId="186" fontId="147" fillId="0" borderId="0" xfId="28" applyNumberFormat="1" applyFont="1" applyFill="1" applyBorder="1" applyAlignment="1">
      <alignment horizontal="center"/>
    </xf>
    <xf numFmtId="170" fontId="149" fillId="0" borderId="0" xfId="0" applyNumberFormat="1" applyFont="1" applyAlignment="1">
      <alignment horizontal="center"/>
    </xf>
    <xf numFmtId="0" fontId="150" fillId="0" borderId="0" xfId="0" applyFont="1" applyAlignment="1">
      <alignment horizontal="center"/>
    </xf>
    <xf numFmtId="0" fontId="155" fillId="0" borderId="0" xfId="0" applyFont="1" applyAlignment="1">
      <alignment horizontal="center"/>
    </xf>
    <xf numFmtId="0" fontId="152" fillId="0" borderId="0" xfId="0" applyFont="1" applyAlignment="1">
      <alignment horizontal="center"/>
    </xf>
    <xf numFmtId="169" fontId="147" fillId="0" borderId="0" xfId="28" applyNumberFormat="1" applyFont="1" applyFill="1" applyBorder="1" applyAlignment="1">
      <alignment horizontal="center"/>
    </xf>
    <xf numFmtId="173" fontId="152" fillId="0" borderId="0" xfId="0" applyNumberFormat="1" applyFont="1" applyAlignment="1">
      <alignment horizontal="center"/>
    </xf>
    <xf numFmtId="170" fontId="155" fillId="0" borderId="0" xfId="0" applyNumberFormat="1" applyFont="1" applyAlignment="1">
      <alignment horizontal="center"/>
    </xf>
    <xf numFmtId="39" fontId="148" fillId="0" borderId="0" xfId="0" applyNumberFormat="1" applyFont="1" applyAlignment="1">
      <alignment horizontal="center"/>
    </xf>
    <xf numFmtId="187" fontId="152" fillId="0" borderId="0" xfId="28" applyNumberFormat="1" applyFont="1" applyFill="1" applyBorder="1" applyAlignment="1">
      <alignment horizontal="center"/>
    </xf>
    <xf numFmtId="173" fontId="159" fillId="0" borderId="0" xfId="0" applyNumberFormat="1" applyFont="1" applyAlignment="1">
      <alignment horizontal="center"/>
    </xf>
    <xf numFmtId="172" fontId="153" fillId="0" borderId="0" xfId="0" applyNumberFormat="1" applyFont="1" applyAlignment="1">
      <alignment horizontal="center"/>
    </xf>
    <xf numFmtId="174" fontId="148" fillId="0" borderId="0" xfId="0" applyNumberFormat="1" applyFont="1"/>
    <xf numFmtId="0" fontId="147" fillId="0" borderId="0" xfId="0" applyFont="1" applyAlignment="1">
      <alignment horizontal="left"/>
    </xf>
    <xf numFmtId="169" fontId="147" fillId="0" borderId="0" xfId="0" applyNumberFormat="1" applyFont="1" applyAlignment="1">
      <alignment horizontal="left"/>
    </xf>
    <xf numFmtId="0" fontId="147" fillId="0" borderId="0" xfId="0" quotePrefix="1" applyFont="1" applyAlignment="1">
      <alignment horizontal="left" indent="1"/>
    </xf>
    <xf numFmtId="0" fontId="148" fillId="0" borderId="0" xfId="0" applyFont="1" applyAlignment="1">
      <alignment horizontal="right"/>
    </xf>
    <xf numFmtId="0" fontId="147" fillId="0" borderId="0" xfId="0" applyFont="1" applyAlignment="1">
      <alignment horizontal="right"/>
    </xf>
    <xf numFmtId="0" fontId="148" fillId="0" borderId="0" xfId="0" quotePrefix="1" applyFont="1" applyAlignment="1">
      <alignment horizontal="left" indent="1"/>
    </xf>
    <xf numFmtId="0" fontId="147" fillId="0" borderId="0" xfId="0" applyFont="1" applyAlignment="1">
      <alignment horizontal="left" indent="1"/>
    </xf>
    <xf numFmtId="186" fontId="148" fillId="0" borderId="24" xfId="28" applyNumberFormat="1" applyFont="1" applyFill="1" applyBorder="1" applyAlignment="1"/>
    <xf numFmtId="0" fontId="148" fillId="0" borderId="0" xfId="0" applyFont="1" applyAlignment="1">
      <alignment horizontal="left" indent="1"/>
    </xf>
    <xf numFmtId="0" fontId="151" fillId="0" borderId="0" xfId="0" applyFont="1"/>
    <xf numFmtId="225" fontId="147" fillId="0" borderId="0" xfId="0" applyNumberFormat="1" applyFont="1"/>
    <xf numFmtId="222" fontId="148" fillId="0" borderId="0" xfId="0" applyNumberFormat="1" applyFont="1"/>
    <xf numFmtId="225" fontId="147" fillId="0" borderId="0" xfId="28" applyNumberFormat="1" applyFont="1" applyFill="1" applyBorder="1" applyAlignment="1">
      <alignment horizontal="center"/>
    </xf>
    <xf numFmtId="2" fontId="148" fillId="0" borderId="0" xfId="0" applyNumberFormat="1" applyFont="1" applyAlignment="1">
      <alignment horizontal="center"/>
    </xf>
    <xf numFmtId="186" fontId="147" fillId="0" borderId="0" xfId="28" applyNumberFormat="1" applyFont="1" applyFill="1" applyBorder="1" applyAlignment="1"/>
    <xf numFmtId="171" fontId="148" fillId="0" borderId="0" xfId="0" applyNumberFormat="1" applyFont="1"/>
    <xf numFmtId="0" fontId="166" fillId="0" borderId="0" xfId="0" applyFont="1"/>
    <xf numFmtId="171" fontId="166" fillId="0" borderId="0" xfId="49" applyNumberFormat="1" applyFont="1" applyFill="1" applyBorder="1" applyAlignment="1">
      <alignment horizontal="center"/>
    </xf>
    <xf numFmtId="0" fontId="158" fillId="0" borderId="51" xfId="0" applyFont="1" applyBorder="1"/>
    <xf numFmtId="186" fontId="158" fillId="0" borderId="0" xfId="28" applyNumberFormat="1" applyFont="1" applyFill="1" applyBorder="1" applyAlignment="1"/>
    <xf numFmtId="221" fontId="148" fillId="0" borderId="0" xfId="0" applyNumberFormat="1" applyFont="1" applyAlignment="1">
      <alignment horizontal="center"/>
    </xf>
    <xf numFmtId="169" fontId="147" fillId="0" borderId="0" xfId="0" applyNumberFormat="1" applyFont="1"/>
    <xf numFmtId="185" fontId="147" fillId="0" borderId="0" xfId="0" applyNumberFormat="1" applyFont="1" applyAlignment="1">
      <alignment horizontal="center"/>
    </xf>
    <xf numFmtId="9" fontId="148" fillId="0" borderId="0" xfId="49" applyFont="1" applyBorder="1"/>
    <xf numFmtId="9" fontId="148" fillId="0" borderId="0" xfId="49" applyFont="1" applyFill="1"/>
    <xf numFmtId="172" fontId="148" fillId="0" borderId="0" xfId="0" applyNumberFormat="1" applyFont="1" applyAlignment="1">
      <alignment horizontal="center"/>
    </xf>
    <xf numFmtId="0" fontId="148" fillId="0" borderId="26" xfId="0" applyFont="1" applyBorder="1"/>
    <xf numFmtId="10" fontId="148" fillId="0" borderId="0" xfId="0" applyNumberFormat="1" applyFont="1" applyAlignment="1">
      <alignment horizontal="center"/>
    </xf>
    <xf numFmtId="0" fontId="148" fillId="0" borderId="0" xfId="0" applyFont="1" applyAlignment="1">
      <alignment horizontal="center"/>
    </xf>
    <xf numFmtId="0" fontId="147" fillId="0" borderId="35" xfId="0" applyFont="1" applyBorder="1"/>
    <xf numFmtId="171" fontId="148" fillId="0" borderId="0" xfId="49" applyNumberFormat="1" applyFont="1" applyFill="1"/>
    <xf numFmtId="37" fontId="148" fillId="0" borderId="0" xfId="0" applyNumberFormat="1" applyFont="1" applyAlignment="1">
      <alignment horizontal="center"/>
    </xf>
    <xf numFmtId="186" fontId="161" fillId="0" borderId="0" xfId="28" applyNumberFormat="1" applyFont="1" applyFill="1" applyBorder="1" applyAlignment="1"/>
    <xf numFmtId="186" fontId="157" fillId="0" borderId="0" xfId="28" applyNumberFormat="1" applyFont="1" applyFill="1" applyBorder="1" applyAlignment="1"/>
    <xf numFmtId="186" fontId="157" fillId="0" borderId="24" xfId="28" applyNumberFormat="1" applyFont="1" applyFill="1" applyBorder="1" applyAlignment="1"/>
    <xf numFmtId="0" fontId="155" fillId="19" borderId="0" xfId="0" applyFont="1" applyFill="1" applyAlignment="1">
      <alignment horizontal="right"/>
    </xf>
    <xf numFmtId="9" fontId="152" fillId="0" borderId="0" xfId="49" applyFont="1" applyFill="1" applyBorder="1" applyAlignment="1">
      <alignment horizontal="right"/>
    </xf>
    <xf numFmtId="222" fontId="148" fillId="0" borderId="0" xfId="0" applyNumberFormat="1" applyFont="1" applyAlignment="1">
      <alignment horizontal="right"/>
    </xf>
    <xf numFmtId="224" fontId="148" fillId="0" borderId="0" xfId="0" applyNumberFormat="1" applyFont="1" applyAlignment="1">
      <alignment horizontal="right"/>
    </xf>
    <xf numFmtId="174" fontId="148" fillId="0" borderId="0" xfId="0" applyNumberFormat="1" applyFont="1" applyAlignment="1">
      <alignment horizontal="right"/>
    </xf>
    <xf numFmtId="186" fontId="148" fillId="0" borderId="0" xfId="28" applyNumberFormat="1" applyFont="1" applyFill="1" applyBorder="1" applyAlignment="1">
      <alignment horizontal="right"/>
    </xf>
    <xf numFmtId="187" fontId="148" fillId="0" borderId="0" xfId="28" applyNumberFormat="1" applyFont="1" applyFill="1" applyBorder="1" applyAlignment="1">
      <alignment horizontal="right"/>
    </xf>
    <xf numFmtId="171" fontId="148" fillId="0" borderId="0" xfId="49" applyNumberFormat="1" applyFont="1" applyFill="1" applyBorder="1" applyAlignment="1">
      <alignment horizontal="right"/>
    </xf>
    <xf numFmtId="186" fontId="147" fillId="0" borderId="0" xfId="28" applyNumberFormat="1" applyFont="1" applyFill="1" applyBorder="1" applyAlignment="1">
      <alignment horizontal="right"/>
    </xf>
    <xf numFmtId="186" fontId="147" fillId="0" borderId="24" xfId="28" applyNumberFormat="1" applyFont="1" applyFill="1" applyBorder="1" applyAlignment="1">
      <alignment horizontal="right"/>
    </xf>
    <xf numFmtId="169" fontId="147" fillId="0" borderId="24" xfId="28" applyNumberFormat="1" applyFont="1" applyFill="1" applyBorder="1" applyAlignment="1">
      <alignment horizontal="right"/>
    </xf>
    <xf numFmtId="170" fontId="147" fillId="0" borderId="0" xfId="0" applyNumberFormat="1" applyFont="1" applyAlignment="1">
      <alignment horizontal="right"/>
    </xf>
    <xf numFmtId="169" fontId="147" fillId="0" borderId="0" xfId="0" applyNumberFormat="1" applyFont="1" applyAlignment="1">
      <alignment horizontal="right"/>
    </xf>
    <xf numFmtId="9" fontId="148" fillId="0" borderId="0" xfId="49" applyFont="1" applyFill="1" applyBorder="1" applyAlignment="1">
      <alignment horizontal="right"/>
    </xf>
    <xf numFmtId="170" fontId="148" fillId="0" borderId="0" xfId="0" applyNumberFormat="1" applyFont="1" applyAlignment="1">
      <alignment horizontal="right"/>
    </xf>
    <xf numFmtId="185" fontId="148" fillId="0" borderId="0" xfId="0" applyNumberFormat="1" applyFont="1" applyAlignment="1">
      <alignment horizontal="right"/>
    </xf>
    <xf numFmtId="169" fontId="148" fillId="0" borderId="0" xfId="0" applyNumberFormat="1" applyFont="1" applyAlignment="1">
      <alignment horizontal="right"/>
    </xf>
    <xf numFmtId="186" fontId="158" fillId="0" borderId="51" xfId="28" applyNumberFormat="1" applyFont="1" applyFill="1" applyBorder="1" applyAlignment="1">
      <alignment horizontal="right"/>
    </xf>
    <xf numFmtId="221" fontId="148" fillId="0" borderId="0" xfId="0" applyNumberFormat="1" applyFont="1" applyAlignment="1">
      <alignment horizontal="right"/>
    </xf>
    <xf numFmtId="171" fontId="148" fillId="0" borderId="0" xfId="0" applyNumberFormat="1" applyFont="1" applyAlignment="1">
      <alignment horizontal="right"/>
    </xf>
    <xf numFmtId="170" fontId="147" fillId="0" borderId="24" xfId="0" applyNumberFormat="1" applyFont="1" applyBorder="1" applyAlignment="1">
      <alignment horizontal="right"/>
    </xf>
    <xf numFmtId="173" fontId="148" fillId="0" borderId="0" xfId="0" applyNumberFormat="1" applyFont="1" applyAlignment="1">
      <alignment horizontal="right"/>
    </xf>
    <xf numFmtId="185" fontId="147" fillId="0" borderId="0" xfId="0" applyNumberFormat="1" applyFont="1" applyAlignment="1">
      <alignment horizontal="right"/>
    </xf>
    <xf numFmtId="185" fontId="153" fillId="0" borderId="0" xfId="0" applyNumberFormat="1" applyFont="1" applyAlignment="1">
      <alignment horizontal="right"/>
    </xf>
    <xf numFmtId="170" fontId="155" fillId="19" borderId="0" xfId="0" applyNumberFormat="1" applyFont="1" applyFill="1" applyAlignment="1">
      <alignment horizontal="right"/>
    </xf>
    <xf numFmtId="9" fontId="148" fillId="0" borderId="0" xfId="49" applyFont="1" applyBorder="1" applyAlignment="1">
      <alignment horizontal="right"/>
    </xf>
    <xf numFmtId="170" fontId="148" fillId="0" borderId="24" xfId="0" applyNumberFormat="1" applyFont="1" applyBorder="1" applyAlignment="1">
      <alignment horizontal="right"/>
    </xf>
    <xf numFmtId="172" fontId="148" fillId="0" borderId="0" xfId="0" applyNumberFormat="1" applyFont="1" applyAlignment="1">
      <alignment horizontal="right"/>
    </xf>
    <xf numFmtId="171" fontId="152" fillId="0" borderId="0" xfId="0" applyNumberFormat="1" applyFont="1" applyAlignment="1">
      <alignment horizontal="right"/>
    </xf>
    <xf numFmtId="170" fontId="147" fillId="0" borderId="35" xfId="0" applyNumberFormat="1" applyFont="1" applyBorder="1" applyAlignment="1">
      <alignment horizontal="right"/>
    </xf>
    <xf numFmtId="187" fontId="152" fillId="0" borderId="0" xfId="28" applyNumberFormat="1" applyFont="1" applyBorder="1" applyAlignment="1">
      <alignment horizontal="right"/>
    </xf>
    <xf numFmtId="186" fontId="152" fillId="0" borderId="0" xfId="28" applyNumberFormat="1" applyFont="1" applyBorder="1" applyAlignment="1">
      <alignment horizontal="right"/>
    </xf>
    <xf numFmtId="173" fontId="152" fillId="0" borderId="0" xfId="0" applyNumberFormat="1" applyFont="1" applyAlignment="1">
      <alignment horizontal="right"/>
    </xf>
    <xf numFmtId="170" fontId="152" fillId="0" borderId="0" xfId="0" applyNumberFormat="1" applyFont="1" applyAlignment="1">
      <alignment horizontal="right"/>
    </xf>
    <xf numFmtId="172" fontId="153" fillId="0" borderId="0" xfId="0" applyNumberFormat="1" applyFont="1" applyAlignment="1">
      <alignment horizontal="right"/>
    </xf>
    <xf numFmtId="0" fontId="152" fillId="0" borderId="0" xfId="0" applyFont="1" applyAlignment="1">
      <alignment horizontal="right"/>
    </xf>
    <xf numFmtId="37" fontId="148" fillId="0" borderId="0" xfId="0" applyNumberFormat="1" applyFont="1" applyAlignment="1">
      <alignment horizontal="right"/>
    </xf>
    <xf numFmtId="170" fontId="148" fillId="0" borderId="29" xfId="0" applyNumberFormat="1" applyFont="1" applyBorder="1" applyAlignment="1">
      <alignment horizontal="right"/>
    </xf>
    <xf numFmtId="0" fontId="155" fillId="19" borderId="0" xfId="0" applyFont="1" applyFill="1"/>
    <xf numFmtId="9" fontId="152" fillId="0" borderId="0" xfId="49" applyFont="1" applyFill="1" applyBorder="1" applyAlignment="1"/>
    <xf numFmtId="224" fontId="148" fillId="0" borderId="0" xfId="0" applyNumberFormat="1" applyFont="1"/>
    <xf numFmtId="9" fontId="148" fillId="0" borderId="0" xfId="49" applyFont="1" applyFill="1" applyBorder="1" applyAlignment="1"/>
    <xf numFmtId="171" fontId="148" fillId="0" borderId="0" xfId="49" applyNumberFormat="1" applyFont="1" applyFill="1" applyBorder="1" applyAlignment="1"/>
    <xf numFmtId="187" fontId="148" fillId="0" borderId="0" xfId="28" applyNumberFormat="1" applyFont="1" applyFill="1" applyBorder="1" applyAlignment="1"/>
    <xf numFmtId="187" fontId="148" fillId="0" borderId="0" xfId="0" applyNumberFormat="1" applyFont="1"/>
    <xf numFmtId="222" fontId="157" fillId="0" borderId="0" xfId="0" applyNumberFormat="1" applyFont="1"/>
    <xf numFmtId="176" fontId="147" fillId="0" borderId="24" xfId="0" applyNumberFormat="1" applyFont="1" applyBorder="1"/>
    <xf numFmtId="169" fontId="147" fillId="0" borderId="24" xfId="28" applyNumberFormat="1" applyFont="1" applyFill="1" applyBorder="1" applyAlignment="1"/>
    <xf numFmtId="176" fontId="147" fillId="0" borderId="0" xfId="0" applyNumberFormat="1" applyFont="1"/>
    <xf numFmtId="176" fontId="161" fillId="0" borderId="0" xfId="0" applyNumberFormat="1" applyFont="1"/>
    <xf numFmtId="170" fontId="157" fillId="0" borderId="0" xfId="0" applyNumberFormat="1" applyFont="1"/>
    <xf numFmtId="169" fontId="157" fillId="0" borderId="0" xfId="0" applyNumberFormat="1" applyFont="1"/>
    <xf numFmtId="0" fontId="167" fillId="0" borderId="0" xfId="0" applyFont="1"/>
    <xf numFmtId="169" fontId="167" fillId="0" borderId="0" xfId="0" applyNumberFormat="1" applyFont="1"/>
    <xf numFmtId="222" fontId="167" fillId="37" borderId="0" xfId="0" applyNumberFormat="1" applyFont="1" applyFill="1" applyAlignment="1">
      <alignment horizontal="right"/>
    </xf>
    <xf numFmtId="2" fontId="148" fillId="0" borderId="0" xfId="0" applyNumberFormat="1" applyFont="1" applyAlignment="1">
      <alignment horizontal="right"/>
    </xf>
    <xf numFmtId="221" fontId="148" fillId="0" borderId="25" xfId="0" applyNumberFormat="1" applyFont="1" applyBorder="1" applyAlignment="1">
      <alignment horizontal="right"/>
    </xf>
    <xf numFmtId="9" fontId="148" fillId="0" borderId="0" xfId="0" applyNumberFormat="1" applyFont="1" applyAlignment="1">
      <alignment horizontal="right"/>
    </xf>
    <xf numFmtId="174" fontId="148" fillId="0" borderId="24" xfId="0" applyNumberFormat="1" applyFont="1" applyBorder="1" applyAlignment="1">
      <alignment horizontal="right"/>
    </xf>
    <xf numFmtId="39" fontId="148" fillId="0" borderId="0" xfId="0" applyNumberFormat="1" applyFont="1" applyAlignment="1">
      <alignment horizontal="right"/>
    </xf>
    <xf numFmtId="49" fontId="147" fillId="38" borderId="0" xfId="0" applyNumberFormat="1" applyFont="1" applyFill="1" applyAlignment="1">
      <alignment horizontal="left"/>
    </xf>
    <xf numFmtId="169" fontId="157" fillId="38" borderId="0" xfId="28" applyNumberFormat="1" applyFont="1" applyFill="1" applyBorder="1" applyAlignment="1"/>
    <xf numFmtId="169" fontId="148" fillId="38" borderId="0" xfId="28" applyNumberFormat="1" applyFont="1" applyFill="1" applyBorder="1" applyAlignment="1"/>
    <xf numFmtId="169" fontId="147" fillId="38" borderId="0" xfId="0" applyNumberFormat="1" applyFont="1" applyFill="1" applyAlignment="1">
      <alignment horizontal="right"/>
    </xf>
    <xf numFmtId="0" fontId="147" fillId="38" borderId="0" xfId="0" applyFont="1" applyFill="1" applyAlignment="1">
      <alignment horizontal="left"/>
    </xf>
    <xf numFmtId="222" fontId="148" fillId="38" borderId="0" xfId="0" applyNumberFormat="1" applyFont="1" applyFill="1"/>
    <xf numFmtId="0" fontId="147" fillId="36" borderId="0" xfId="0" applyFont="1" applyFill="1"/>
    <xf numFmtId="186" fontId="147" fillId="36" borderId="0" xfId="28" applyNumberFormat="1" applyFont="1" applyFill="1" applyBorder="1" applyAlignment="1"/>
    <xf numFmtId="186" fontId="147" fillId="36" borderId="0" xfId="28" applyNumberFormat="1" applyFont="1" applyFill="1" applyBorder="1" applyAlignment="1">
      <alignment horizontal="right"/>
    </xf>
    <xf numFmtId="169" fontId="152" fillId="0" borderId="0" xfId="0" applyNumberFormat="1" applyFont="1"/>
    <xf numFmtId="169" fontId="153" fillId="0" borderId="0" xfId="0" applyNumberFormat="1" applyFont="1"/>
    <xf numFmtId="0" fontId="153" fillId="0" borderId="0" xfId="0" applyFont="1" applyAlignment="1">
      <alignment horizontal="center"/>
    </xf>
    <xf numFmtId="169" fontId="152" fillId="0" borderId="0" xfId="0" applyNumberFormat="1" applyFont="1" applyAlignment="1">
      <alignment horizontal="right"/>
    </xf>
    <xf numFmtId="2" fontId="152" fillId="0" borderId="0" xfId="0" applyNumberFormat="1" applyFont="1" applyAlignment="1">
      <alignment horizontal="right"/>
    </xf>
    <xf numFmtId="171" fontId="152" fillId="0" borderId="0" xfId="49" applyNumberFormat="1" applyFont="1" applyBorder="1" applyAlignment="1"/>
    <xf numFmtId="171" fontId="167" fillId="37" borderId="0" xfId="0" applyNumberFormat="1" applyFont="1" applyFill="1" applyAlignment="1">
      <alignment horizontal="right"/>
    </xf>
    <xf numFmtId="169" fontId="153" fillId="0" borderId="0" xfId="0" applyNumberFormat="1" applyFont="1" applyAlignment="1">
      <alignment horizontal="right"/>
    </xf>
    <xf numFmtId="169" fontId="167" fillId="0" borderId="0" xfId="0" applyNumberFormat="1" applyFont="1" applyAlignment="1">
      <alignment horizontal="right"/>
    </xf>
    <xf numFmtId="9" fontId="152" fillId="0" borderId="0" xfId="49" applyFont="1"/>
    <xf numFmtId="9" fontId="152" fillId="35" borderId="0" xfId="49" applyFont="1" applyFill="1"/>
    <xf numFmtId="9" fontId="167" fillId="37" borderId="0" xfId="0" applyNumberFormat="1" applyFont="1" applyFill="1" applyAlignment="1">
      <alignment horizontal="right"/>
    </xf>
    <xf numFmtId="186" fontId="166" fillId="0" borderId="0" xfId="28" applyNumberFormat="1" applyFont="1" applyFill="1" applyBorder="1" applyAlignment="1">
      <alignment horizontal="right"/>
    </xf>
    <xf numFmtId="220" fontId="147" fillId="0" borderId="0" xfId="0" applyNumberFormat="1" applyFont="1" applyAlignment="1">
      <alignment horizontal="right"/>
    </xf>
    <xf numFmtId="222" fontId="148" fillId="0" borderId="29" xfId="0" applyNumberFormat="1" applyFont="1" applyBorder="1" applyAlignment="1">
      <alignment horizontal="right"/>
    </xf>
    <xf numFmtId="171" fontId="148" fillId="0" borderId="0" xfId="49" applyNumberFormat="1" applyFont="1"/>
    <xf numFmtId="171" fontId="148" fillId="0" borderId="0" xfId="49" applyNumberFormat="1" applyFont="1" applyBorder="1" applyAlignment="1">
      <alignment horizontal="right"/>
    </xf>
    <xf numFmtId="186" fontId="148" fillId="0" borderId="0" xfId="28" applyNumberFormat="1" applyFont="1"/>
    <xf numFmtId="186" fontId="148" fillId="0" borderId="0" xfId="28" applyNumberFormat="1" applyFont="1" applyBorder="1" applyAlignment="1">
      <alignment horizontal="right"/>
    </xf>
    <xf numFmtId="186" fontId="148" fillId="0" borderId="0" xfId="28" applyNumberFormat="1" applyFont="1" applyFill="1"/>
    <xf numFmtId="186" fontId="147" fillId="0" borderId="0" xfId="28" applyNumberFormat="1" applyFont="1"/>
    <xf numFmtId="186" fontId="147" fillId="0" borderId="0" xfId="28" applyNumberFormat="1" applyFont="1" applyBorder="1" applyAlignment="1">
      <alignment horizontal="right"/>
    </xf>
    <xf numFmtId="186" fontId="147" fillId="0" borderId="0" xfId="28" applyNumberFormat="1" applyFont="1" applyFill="1"/>
    <xf numFmtId="171" fontId="147" fillId="0" borderId="0" xfId="49" applyNumberFormat="1" applyFont="1" applyFill="1" applyBorder="1" applyAlignment="1">
      <alignment horizontal="right"/>
    </xf>
    <xf numFmtId="186" fontId="148" fillId="37" borderId="0" xfId="28" applyNumberFormat="1" applyFont="1" applyFill="1" applyBorder="1" applyAlignment="1">
      <alignment horizontal="right"/>
    </xf>
    <xf numFmtId="0" fontId="168" fillId="0" borderId="0" xfId="0" applyFont="1"/>
    <xf numFmtId="187" fontId="168" fillId="0" borderId="0" xfId="28" applyNumberFormat="1" applyFont="1" applyBorder="1" applyAlignment="1">
      <alignment horizontal="right"/>
    </xf>
    <xf numFmtId="187" fontId="168" fillId="0" borderId="0" xfId="28" applyNumberFormat="1" applyFont="1" applyFill="1" applyBorder="1" applyAlignment="1">
      <alignment horizontal="center"/>
    </xf>
    <xf numFmtId="220" fontId="161" fillId="0" borderId="0" xfId="0" applyNumberFormat="1" applyFont="1" applyAlignment="1">
      <alignment horizontal="right"/>
    </xf>
    <xf numFmtId="220" fontId="147" fillId="0" borderId="0" xfId="28" applyNumberFormat="1" applyFont="1" applyFill="1" applyBorder="1" applyAlignment="1">
      <alignment horizontal="right"/>
    </xf>
    <xf numFmtId="186" fontId="161" fillId="0" borderId="0" xfId="28" applyNumberFormat="1" applyFont="1" applyFill="1" applyBorder="1" applyAlignment="1">
      <alignment horizontal="right"/>
    </xf>
    <xf numFmtId="170" fontId="147" fillId="0" borderId="10" xfId="0" applyNumberFormat="1" applyFont="1" applyBorder="1" applyAlignment="1">
      <alignment horizontal="right"/>
    </xf>
    <xf numFmtId="186" fontId="147" fillId="0" borderId="0" xfId="0" applyNumberFormat="1" applyFont="1" applyAlignment="1">
      <alignment horizontal="right"/>
    </xf>
    <xf numFmtId="170" fontId="157" fillId="0" borderId="0" xfId="0" applyNumberFormat="1" applyFont="1" applyAlignment="1">
      <alignment horizontal="right"/>
    </xf>
    <xf numFmtId="220" fontId="148" fillId="0" borderId="0" xfId="0" applyNumberFormat="1" applyFont="1" applyAlignment="1">
      <alignment horizontal="right"/>
    </xf>
    <xf numFmtId="220" fontId="148" fillId="0" borderId="0" xfId="28" applyNumberFormat="1" applyFont="1" applyFill="1" applyBorder="1" applyAlignment="1">
      <alignment horizontal="right"/>
    </xf>
    <xf numFmtId="186" fontId="157" fillId="0" borderId="0" xfId="28" applyNumberFormat="1" applyFont="1" applyFill="1" applyBorder="1" applyAlignment="1">
      <alignment horizontal="right"/>
    </xf>
    <xf numFmtId="170" fontId="148" fillId="0" borderId="10" xfId="0" applyNumberFormat="1" applyFont="1" applyBorder="1" applyAlignment="1">
      <alignment horizontal="right"/>
    </xf>
    <xf numFmtId="221" fontId="157" fillId="0" borderId="0" xfId="0" applyNumberFormat="1" applyFont="1" applyAlignment="1">
      <alignment horizontal="right"/>
    </xf>
    <xf numFmtId="168" fontId="148" fillId="0" borderId="0" xfId="28" applyFont="1" applyFill="1" applyBorder="1" applyAlignment="1">
      <alignment horizontal="right"/>
    </xf>
    <xf numFmtId="173" fontId="148" fillId="0" borderId="10" xfId="0" applyNumberFormat="1" applyFont="1" applyBorder="1" applyAlignment="1">
      <alignment horizontal="right"/>
    </xf>
    <xf numFmtId="9" fontId="152" fillId="0" borderId="0" xfId="0" applyNumberFormat="1" applyFont="1" applyAlignment="1">
      <alignment horizontal="right"/>
    </xf>
    <xf numFmtId="170" fontId="157" fillId="0" borderId="24" xfId="0" applyNumberFormat="1" applyFont="1" applyBorder="1" applyAlignment="1">
      <alignment horizontal="right"/>
    </xf>
    <xf numFmtId="170" fontId="161" fillId="0" borderId="24" xfId="0" applyNumberFormat="1" applyFont="1" applyBorder="1" applyAlignment="1">
      <alignment horizontal="right"/>
    </xf>
    <xf numFmtId="172" fontId="147" fillId="0" borderId="0" xfId="0" applyNumberFormat="1" applyFont="1" applyAlignment="1">
      <alignment horizontal="right"/>
    </xf>
    <xf numFmtId="2" fontId="148" fillId="0" borderId="0" xfId="49" applyNumberFormat="1" applyFont="1" applyFill="1" applyBorder="1" applyAlignment="1">
      <alignment horizontal="right"/>
    </xf>
    <xf numFmtId="172" fontId="157" fillId="0" borderId="0" xfId="0" applyNumberFormat="1" applyFont="1" applyAlignment="1">
      <alignment horizontal="right"/>
    </xf>
    <xf numFmtId="171" fontId="157" fillId="0" borderId="0" xfId="49" applyNumberFormat="1" applyFont="1" applyFill="1" applyBorder="1" applyAlignment="1">
      <alignment horizontal="right"/>
    </xf>
    <xf numFmtId="170" fontId="167" fillId="0" borderId="0" xfId="0" applyNumberFormat="1" applyFont="1" applyAlignment="1">
      <alignment horizontal="right"/>
    </xf>
    <xf numFmtId="168" fontId="148" fillId="0" borderId="0" xfId="0" applyNumberFormat="1" applyFont="1" applyAlignment="1">
      <alignment horizontal="right"/>
    </xf>
    <xf numFmtId="169" fontId="157" fillId="0" borderId="0" xfId="0" applyNumberFormat="1" applyFont="1" applyAlignment="1">
      <alignment horizontal="right"/>
    </xf>
    <xf numFmtId="169" fontId="148" fillId="22" borderId="0" xfId="0" applyNumberFormat="1" applyFont="1" applyFill="1" applyAlignment="1">
      <alignment horizontal="right"/>
    </xf>
    <xf numFmtId="169" fontId="161" fillId="0" borderId="0" xfId="0" applyNumberFormat="1" applyFont="1" applyAlignment="1">
      <alignment horizontal="right"/>
    </xf>
    <xf numFmtId="169" fontId="169" fillId="0" borderId="0" xfId="0" applyNumberFormat="1" applyFont="1" applyAlignment="1">
      <alignment horizontal="right"/>
    </xf>
    <xf numFmtId="0" fontId="0" fillId="21" borderId="0" xfId="0" applyFill="1"/>
    <xf numFmtId="0" fontId="7" fillId="21" borderId="0" xfId="0" applyFont="1" applyFill="1"/>
    <xf numFmtId="222" fontId="167" fillId="0" borderId="0" xfId="0" applyNumberFormat="1" applyFont="1" applyAlignment="1">
      <alignment horizontal="right"/>
    </xf>
    <xf numFmtId="174" fontId="148" fillId="0" borderId="0" xfId="28" applyNumberFormat="1" applyFont="1" applyFill="1" applyBorder="1" applyAlignment="1">
      <alignment horizontal="right"/>
    </xf>
    <xf numFmtId="223" fontId="148" fillId="0" borderId="0" xfId="28" applyNumberFormat="1" applyFont="1" applyFill="1" applyBorder="1" applyAlignment="1">
      <alignment horizontal="right"/>
    </xf>
    <xf numFmtId="222" fontId="157" fillId="0" borderId="0" xfId="0" applyNumberFormat="1" applyFont="1" applyAlignment="1">
      <alignment horizontal="right"/>
    </xf>
    <xf numFmtId="186" fontId="157" fillId="0" borderId="24" xfId="28" applyNumberFormat="1" applyFont="1" applyFill="1" applyBorder="1" applyAlignment="1">
      <alignment horizontal="right"/>
    </xf>
    <xf numFmtId="181" fontId="148" fillId="0" borderId="0" xfId="0" applyNumberFormat="1" applyFont="1" applyAlignment="1">
      <alignment horizontal="right"/>
    </xf>
    <xf numFmtId="182" fontId="148" fillId="0" borderId="0" xfId="0" applyNumberFormat="1" applyFont="1" applyAlignment="1">
      <alignment horizontal="right"/>
    </xf>
    <xf numFmtId="176" fontId="147" fillId="0" borderId="24" xfId="0" applyNumberFormat="1" applyFont="1" applyBorder="1" applyAlignment="1">
      <alignment horizontal="right"/>
    </xf>
    <xf numFmtId="169" fontId="157" fillId="38" borderId="0" xfId="28" applyNumberFormat="1" applyFont="1" applyFill="1" applyBorder="1" applyAlignment="1">
      <alignment horizontal="right"/>
    </xf>
    <xf numFmtId="169" fontId="157" fillId="38" borderId="0" xfId="0" applyNumberFormat="1" applyFont="1" applyFill="1" applyAlignment="1">
      <alignment horizontal="right"/>
    </xf>
    <xf numFmtId="169" fontId="148" fillId="38" borderId="0" xfId="0" applyNumberFormat="1" applyFont="1" applyFill="1" applyAlignment="1">
      <alignment horizontal="right"/>
    </xf>
    <xf numFmtId="169" fontId="161" fillId="38" borderId="0" xfId="0" applyNumberFormat="1" applyFont="1" applyFill="1" applyAlignment="1">
      <alignment horizontal="right"/>
    </xf>
    <xf numFmtId="176" fontId="161" fillId="0" borderId="0" xfId="0" applyNumberFormat="1" applyFont="1" applyAlignment="1">
      <alignment horizontal="right"/>
    </xf>
    <xf numFmtId="170" fontId="161" fillId="0" borderId="0" xfId="0" applyNumberFormat="1" applyFont="1" applyAlignment="1">
      <alignment horizontal="right"/>
    </xf>
    <xf numFmtId="171" fontId="166" fillId="0" borderId="0" xfId="49" applyNumberFormat="1" applyFont="1" applyFill="1" applyBorder="1" applyAlignment="1">
      <alignment horizontal="right"/>
    </xf>
    <xf numFmtId="170" fontId="152" fillId="37" borderId="0" xfId="0" applyNumberFormat="1" applyFont="1" applyFill="1" applyAlignment="1">
      <alignment horizontal="right"/>
    </xf>
    <xf numFmtId="0" fontId="163" fillId="0" borderId="0" xfId="382" applyAlignment="1">
      <alignment vertical="center"/>
    </xf>
    <xf numFmtId="0" fontId="175" fillId="0" borderId="0" xfId="382" applyFont="1" applyAlignment="1">
      <alignment vertical="center"/>
    </xf>
    <xf numFmtId="0" fontId="177" fillId="0" borderId="0" xfId="382" applyFont="1" applyAlignment="1">
      <alignment horizontal="left" vertical="center" indent="2"/>
    </xf>
    <xf numFmtId="228" fontId="163" fillId="0" borderId="0" xfId="382" applyNumberFormat="1" applyAlignment="1">
      <alignment horizontal="left" vertical="center"/>
    </xf>
    <xf numFmtId="1" fontId="163" fillId="0" borderId="0" xfId="382" applyNumberFormat="1" applyAlignment="1">
      <alignment horizontal="left" vertical="center"/>
    </xf>
    <xf numFmtId="169" fontId="163" fillId="0" borderId="0" xfId="382" applyNumberFormat="1" applyAlignment="1">
      <alignment horizontal="left" vertical="center"/>
    </xf>
    <xf numFmtId="0" fontId="177" fillId="0" borderId="0" xfId="382" applyFont="1" applyAlignment="1">
      <alignment horizontal="left" vertical="center" indent="1"/>
    </xf>
    <xf numFmtId="0" fontId="163" fillId="0" borderId="0" xfId="382" applyAlignment="1">
      <alignment horizontal="left" vertical="center" indent="3"/>
    </xf>
    <xf numFmtId="169" fontId="179" fillId="0" borderId="0" xfId="41" applyNumberFormat="1" applyFont="1"/>
    <xf numFmtId="169" fontId="35" fillId="0" borderId="0" xfId="41" applyNumberFormat="1" applyFont="1"/>
    <xf numFmtId="0" fontId="5" fillId="0" borderId="0" xfId="41" applyFont="1"/>
    <xf numFmtId="169" fontId="34" fillId="0" borderId="0" xfId="41" applyNumberFormat="1" applyFont="1"/>
    <xf numFmtId="0" fontId="35" fillId="0" borderId="0" xfId="41" applyFont="1"/>
    <xf numFmtId="169" fontId="37" fillId="0" borderId="0" xfId="41" applyNumberFormat="1" applyFont="1" applyAlignment="1">
      <alignment horizontal="right"/>
    </xf>
    <xf numFmtId="169" fontId="180" fillId="0" borderId="0" xfId="41" applyNumberFormat="1" applyFont="1"/>
    <xf numFmtId="14" fontId="181" fillId="0" borderId="0" xfId="41" applyNumberFormat="1" applyFont="1"/>
    <xf numFmtId="165" fontId="35" fillId="0" borderId="0" xfId="41" applyNumberFormat="1" applyFont="1"/>
    <xf numFmtId="229" fontId="35" fillId="0" borderId="0" xfId="41" applyNumberFormat="1" applyFont="1"/>
    <xf numFmtId="171" fontId="35" fillId="0" borderId="0" xfId="41" applyNumberFormat="1" applyFont="1"/>
    <xf numFmtId="171" fontId="182" fillId="22" borderId="0" xfId="41" applyNumberFormat="1" applyFont="1" applyFill="1"/>
    <xf numFmtId="2" fontId="35" fillId="0" borderId="0" xfId="41" applyNumberFormat="1" applyFont="1"/>
    <xf numFmtId="1" fontId="34" fillId="0" borderId="0" xfId="41" applyNumberFormat="1" applyFont="1"/>
    <xf numFmtId="0" fontId="34" fillId="0" borderId="0" xfId="41" applyFont="1"/>
    <xf numFmtId="9" fontId="183" fillId="0" borderId="0" xfId="380" applyFont="1" applyFill="1"/>
    <xf numFmtId="171" fontId="183" fillId="0" borderId="0" xfId="380" applyNumberFormat="1" applyFont="1" applyFill="1"/>
    <xf numFmtId="169" fontId="183" fillId="0" borderId="0" xfId="41" applyNumberFormat="1" applyFont="1"/>
    <xf numFmtId="171" fontId="35" fillId="0" borderId="0" xfId="380" applyNumberFormat="1" applyFont="1" applyFill="1"/>
    <xf numFmtId="10" fontId="183" fillId="0" borderId="0" xfId="380" applyNumberFormat="1" applyFont="1" applyFill="1"/>
    <xf numFmtId="1" fontId="35" fillId="0" borderId="0" xfId="41" applyNumberFormat="1" applyFont="1"/>
    <xf numFmtId="1" fontId="34" fillId="18" borderId="0" xfId="41" applyNumberFormat="1" applyFont="1" applyFill="1" applyAlignment="1">
      <alignment horizontal="centerContinuous"/>
    </xf>
    <xf numFmtId="0" fontId="35" fillId="18" borderId="0" xfId="41" applyFont="1" applyFill="1" applyAlignment="1">
      <alignment horizontal="centerContinuous"/>
    </xf>
    <xf numFmtId="1" fontId="35" fillId="18" borderId="0" xfId="41" applyNumberFormat="1" applyFont="1" applyFill="1"/>
    <xf numFmtId="0" fontId="35" fillId="18" borderId="0" xfId="41" applyFont="1" applyFill="1"/>
    <xf numFmtId="1" fontId="34" fillId="18" borderId="0" xfId="41" applyNumberFormat="1" applyFont="1" applyFill="1"/>
    <xf numFmtId="17" fontId="34" fillId="18" borderId="0" xfId="41" applyNumberFormat="1" applyFont="1" applyFill="1"/>
    <xf numFmtId="17" fontId="34" fillId="18" borderId="0" xfId="41" applyNumberFormat="1" applyFont="1" applyFill="1" applyAlignment="1">
      <alignment horizontal="center"/>
    </xf>
    <xf numFmtId="17" fontId="34" fillId="18" borderId="0" xfId="41" applyNumberFormat="1" applyFont="1" applyFill="1" applyAlignment="1">
      <alignment horizontal="right"/>
    </xf>
    <xf numFmtId="169" fontId="35" fillId="18" borderId="0" xfId="41" applyNumberFormat="1" applyFont="1" applyFill="1"/>
    <xf numFmtId="169" fontId="35" fillId="18" borderId="0" xfId="41" applyNumberFormat="1" applyFont="1" applyFill="1" applyAlignment="1">
      <alignment horizontal="center"/>
    </xf>
    <xf numFmtId="9" fontId="35" fillId="0" borderId="0" xfId="380" applyFont="1" applyFill="1"/>
    <xf numFmtId="10" fontId="35" fillId="0" borderId="0" xfId="41" applyNumberFormat="1" applyFont="1"/>
    <xf numFmtId="10" fontId="35" fillId="18" borderId="0" xfId="41" applyNumberFormat="1" applyFont="1" applyFill="1"/>
    <xf numFmtId="171" fontId="35" fillId="18" borderId="0" xfId="41" applyNumberFormat="1" applyFont="1" applyFill="1"/>
    <xf numFmtId="171" fontId="35" fillId="18" borderId="0" xfId="41" applyNumberFormat="1" applyFont="1" applyFill="1" applyAlignment="1">
      <alignment horizontal="center"/>
    </xf>
    <xf numFmtId="182" fontId="35" fillId="0" borderId="0" xfId="41" applyNumberFormat="1" applyFont="1"/>
    <xf numFmtId="182" fontId="35" fillId="18" borderId="0" xfId="41" applyNumberFormat="1" applyFont="1" applyFill="1"/>
    <xf numFmtId="169" fontId="184" fillId="0" borderId="0" xfId="41" applyNumberFormat="1" applyFont="1"/>
    <xf numFmtId="169" fontId="184" fillId="0" borderId="0" xfId="41" applyNumberFormat="1" applyFont="1" applyAlignment="1">
      <alignment horizontal="center"/>
    </xf>
    <xf numFmtId="169" fontId="184" fillId="0" borderId="0" xfId="41" applyNumberFormat="1" applyFont="1" applyAlignment="1">
      <alignment horizontal="right"/>
    </xf>
    <xf numFmtId="169" fontId="34" fillId="18" borderId="0" xfId="41" applyNumberFormat="1" applyFont="1" applyFill="1"/>
    <xf numFmtId="169" fontId="185" fillId="18" borderId="0" xfId="41" applyNumberFormat="1" applyFont="1" applyFill="1"/>
    <xf numFmtId="169" fontId="35" fillId="22" borderId="0" xfId="41" applyNumberFormat="1" applyFont="1" applyFill="1"/>
    <xf numFmtId="165" fontId="34" fillId="18" borderId="0" xfId="41" applyNumberFormat="1" applyFont="1" applyFill="1"/>
    <xf numFmtId="165" fontId="35" fillId="18" borderId="0" xfId="41" applyNumberFormat="1" applyFont="1" applyFill="1"/>
    <xf numFmtId="169" fontId="180" fillId="18" borderId="52" xfId="41" applyNumberFormat="1" applyFont="1" applyFill="1" applyBorder="1"/>
    <xf numFmtId="165" fontId="180" fillId="18" borderId="53" xfId="41" applyNumberFormat="1" applyFont="1" applyFill="1" applyBorder="1"/>
    <xf numFmtId="169" fontId="186" fillId="0" borderId="0" xfId="41" applyNumberFormat="1" applyFont="1"/>
    <xf numFmtId="165" fontId="34" fillId="0" borderId="0" xfId="41" applyNumberFormat="1" applyFont="1"/>
    <xf numFmtId="0" fontId="7" fillId="0" borderId="0" xfId="41"/>
    <xf numFmtId="17" fontId="34" fillId="0" borderId="0" xfId="41" applyNumberFormat="1" applyFont="1"/>
    <xf numFmtId="17" fontId="34" fillId="0" borderId="0" xfId="41" applyNumberFormat="1" applyFont="1" applyAlignment="1">
      <alignment horizontal="right"/>
    </xf>
    <xf numFmtId="1" fontId="187" fillId="0" borderId="0" xfId="41" applyNumberFormat="1" applyFont="1"/>
    <xf numFmtId="1" fontId="188" fillId="0" borderId="0" xfId="41" applyNumberFormat="1" applyFont="1"/>
    <xf numFmtId="1" fontId="189" fillId="0" borderId="0" xfId="41" applyNumberFormat="1" applyFont="1"/>
    <xf numFmtId="169" fontId="179" fillId="18" borderId="0" xfId="41" applyNumberFormat="1" applyFont="1" applyFill="1" applyAlignment="1">
      <alignment horizontal="left"/>
    </xf>
    <xf numFmtId="169" fontId="179" fillId="18" borderId="0" xfId="41" applyNumberFormat="1" applyFont="1" applyFill="1" applyAlignment="1">
      <alignment horizontal="center"/>
    </xf>
    <xf numFmtId="0" fontId="5" fillId="18" borderId="0" xfId="41" applyFont="1" applyFill="1" applyAlignment="1">
      <alignment horizontal="left"/>
    </xf>
    <xf numFmtId="0" fontId="5" fillId="18" borderId="0" xfId="41" applyFont="1" applyFill="1"/>
    <xf numFmtId="169" fontId="37" fillId="18" borderId="0" xfId="41" applyNumberFormat="1" applyFont="1" applyFill="1" applyAlignment="1">
      <alignment horizontal="right"/>
    </xf>
    <xf numFmtId="169" fontId="34" fillId="18" borderId="0" xfId="41" applyNumberFormat="1" applyFont="1" applyFill="1" applyAlignment="1">
      <alignment horizontal="left"/>
    </xf>
    <xf numFmtId="169" fontId="34" fillId="18" borderId="0" xfId="41" applyNumberFormat="1" applyFont="1" applyFill="1" applyAlignment="1">
      <alignment horizontal="center"/>
    </xf>
    <xf numFmtId="171" fontId="34" fillId="18" borderId="0" xfId="380" applyNumberFormat="1" applyFont="1" applyFill="1" applyAlignment="1">
      <alignment horizontal="right"/>
    </xf>
    <xf numFmtId="171" fontId="35" fillId="18" borderId="0" xfId="380" applyNumberFormat="1" applyFont="1" applyFill="1" applyAlignment="1">
      <alignment horizontal="right"/>
    </xf>
    <xf numFmtId="169" fontId="183" fillId="18" borderId="0" xfId="41" applyNumberFormat="1" applyFont="1" applyFill="1"/>
    <xf numFmtId="10" fontId="35" fillId="0" borderId="0" xfId="380" applyNumberFormat="1" applyFont="1" applyFill="1"/>
    <xf numFmtId="10" fontId="35" fillId="18" borderId="0" xfId="380" applyNumberFormat="1" applyFont="1" applyFill="1"/>
    <xf numFmtId="10" fontId="34" fillId="18" borderId="0" xfId="380" applyNumberFormat="1" applyFont="1" applyFill="1"/>
    <xf numFmtId="169" fontId="179" fillId="18" borderId="0" xfId="41" applyNumberFormat="1" applyFont="1" applyFill="1"/>
    <xf numFmtId="0" fontId="5" fillId="18" borderId="0" xfId="41" applyFont="1" applyFill="1" applyAlignment="1">
      <alignment horizontal="centerContinuous"/>
    </xf>
    <xf numFmtId="169" fontId="34" fillId="18" borderId="0" xfId="41" applyNumberFormat="1" applyFont="1" applyFill="1" applyAlignment="1">
      <alignment horizontal="centerContinuous"/>
    </xf>
    <xf numFmtId="0" fontId="7" fillId="18" borderId="0" xfId="41" applyFill="1"/>
    <xf numFmtId="169" fontId="190" fillId="18" borderId="0" xfId="41" applyNumberFormat="1" applyFont="1" applyFill="1"/>
    <xf numFmtId="169" fontId="190" fillId="18" borderId="0" xfId="41" applyNumberFormat="1" applyFont="1" applyFill="1" applyAlignment="1">
      <alignment horizontal="center"/>
    </xf>
    <xf numFmtId="2" fontId="185" fillId="18" borderId="0" xfId="41" applyNumberFormat="1" applyFont="1" applyFill="1"/>
    <xf numFmtId="2" fontId="35" fillId="18" borderId="0" xfId="41" applyNumberFormat="1" applyFont="1" applyFill="1"/>
    <xf numFmtId="9" fontId="185" fillId="18" borderId="0" xfId="41" applyNumberFormat="1" applyFont="1" applyFill="1"/>
    <xf numFmtId="9" fontId="35" fillId="18" borderId="0" xfId="41" applyNumberFormat="1" applyFont="1" applyFill="1"/>
    <xf numFmtId="181" fontId="35" fillId="18" borderId="0" xfId="41" applyNumberFormat="1" applyFont="1" applyFill="1"/>
    <xf numFmtId="169" fontId="34" fillId="18" borderId="52" xfId="41" applyNumberFormat="1" applyFont="1" applyFill="1" applyBorder="1"/>
    <xf numFmtId="169" fontId="34" fillId="18" borderId="53" xfId="41" applyNumberFormat="1" applyFont="1" applyFill="1" applyBorder="1"/>
    <xf numFmtId="165" fontId="34" fillId="18" borderId="54" xfId="41" applyNumberFormat="1" applyFont="1" applyFill="1" applyBorder="1"/>
    <xf numFmtId="1" fontId="35" fillId="0" borderId="0" xfId="41" applyNumberFormat="1" applyFont="1" applyAlignment="1">
      <alignment horizontal="left"/>
    </xf>
    <xf numFmtId="171" fontId="35" fillId="18" borderId="0" xfId="49" applyNumberFormat="1" applyFont="1" applyFill="1"/>
    <xf numFmtId="228" fontId="191" fillId="0" borderId="0" xfId="382" applyNumberFormat="1" applyFont="1" applyAlignment="1">
      <alignment horizontal="left" vertical="center"/>
    </xf>
    <xf numFmtId="0" fontId="192" fillId="0" borderId="0" xfId="0" applyFont="1"/>
    <xf numFmtId="171" fontId="0" fillId="0" borderId="0" xfId="49" applyNumberFormat="1" applyFont="1"/>
    <xf numFmtId="0" fontId="0" fillId="0" borderId="0" xfId="0" applyAlignment="1">
      <alignment horizontal="right"/>
    </xf>
    <xf numFmtId="230" fontId="148" fillId="38" borderId="0" xfId="28" applyNumberFormat="1" applyFont="1" applyFill="1" applyBorder="1" applyAlignment="1">
      <alignment horizontal="right"/>
    </xf>
    <xf numFmtId="9" fontId="147" fillId="0" borderId="0" xfId="49" applyFont="1" applyFill="1" applyBorder="1"/>
    <xf numFmtId="9" fontId="147" fillId="0" borderId="0" xfId="49" applyFont="1" applyFill="1" applyBorder="1" applyAlignment="1">
      <alignment horizontal="right"/>
    </xf>
    <xf numFmtId="9" fontId="147" fillId="0" borderId="0" xfId="49" applyFont="1" applyFill="1" applyBorder="1" applyAlignment="1">
      <alignment horizontal="center"/>
    </xf>
    <xf numFmtId="3" fontId="170" fillId="0" borderId="0" xfId="384" applyNumberFormat="1" applyFont="1" applyAlignment="1">
      <alignment horizontal="right" wrapText="1"/>
    </xf>
    <xf numFmtId="3" fontId="192" fillId="0" borderId="0" xfId="384" applyNumberFormat="1" applyFont="1" applyAlignment="1">
      <alignment horizontal="right" wrapText="1"/>
    </xf>
    <xf numFmtId="3" fontId="193" fillId="0" borderId="0" xfId="384" applyNumberFormat="1" applyFont="1" applyAlignment="1">
      <alignment horizontal="right" wrapText="1"/>
    </xf>
    <xf numFmtId="172" fontId="159" fillId="0" borderId="0" xfId="0" applyNumberFormat="1" applyFont="1" applyAlignment="1">
      <alignment horizontal="right"/>
    </xf>
    <xf numFmtId="170" fontId="153" fillId="0" borderId="0" xfId="0" applyNumberFormat="1" applyFont="1" applyAlignment="1">
      <alignment horizontal="right"/>
    </xf>
    <xf numFmtId="170" fontId="153" fillId="0" borderId="0" xfId="0" applyNumberFormat="1" applyFont="1" applyAlignment="1">
      <alignment horizontal="center"/>
    </xf>
    <xf numFmtId="0" fontId="173" fillId="40" borderId="0" xfId="0" applyFont="1" applyFill="1"/>
    <xf numFmtId="0" fontId="173" fillId="0" borderId="0" xfId="0" applyFont="1"/>
    <xf numFmtId="0" fontId="194" fillId="41" borderId="0" xfId="0" applyFont="1" applyFill="1"/>
    <xf numFmtId="2" fontId="194" fillId="41" borderId="0" xfId="0" applyNumberFormat="1" applyFont="1" applyFill="1" applyAlignment="1">
      <alignment horizontal="center"/>
    </xf>
    <xf numFmtId="2" fontId="194" fillId="41" borderId="0" xfId="0" applyNumberFormat="1" applyFont="1" applyFill="1"/>
    <xf numFmtId="0" fontId="194" fillId="0" borderId="56" xfId="0" applyFont="1" applyBorder="1"/>
    <xf numFmtId="0" fontId="194" fillId="41" borderId="57" xfId="0" applyFont="1" applyFill="1" applyBorder="1"/>
    <xf numFmtId="0" fontId="194" fillId="41" borderId="58" xfId="0" applyFont="1" applyFill="1" applyBorder="1"/>
    <xf numFmtId="0" fontId="194" fillId="41" borderId="56" xfId="0" applyFont="1" applyFill="1" applyBorder="1"/>
    <xf numFmtId="2" fontId="194" fillId="0" borderId="55" xfId="0" applyNumberFormat="1" applyFont="1" applyBorder="1"/>
    <xf numFmtId="2" fontId="194" fillId="41" borderId="59" xfId="0" applyNumberFormat="1" applyFont="1" applyFill="1" applyBorder="1"/>
    <xf numFmtId="171" fontId="194" fillId="41" borderId="60" xfId="385" applyNumberFormat="1" applyFont="1" applyFill="1" applyBorder="1" applyAlignment="1"/>
    <xf numFmtId="171" fontId="194" fillId="41" borderId="55" xfId="385" applyNumberFormat="1" applyFont="1" applyFill="1" applyBorder="1" applyAlignment="1"/>
    <xf numFmtId="171" fontId="194" fillId="41" borderId="59" xfId="385" applyNumberFormat="1" applyFont="1" applyFill="1" applyBorder="1" applyAlignment="1"/>
    <xf numFmtId="0" fontId="0" fillId="0" borderId="0" xfId="0" applyAlignment="1">
      <alignment wrapText="1"/>
    </xf>
    <xf numFmtId="0" fontId="194" fillId="41" borderId="0" xfId="0" applyFont="1" applyFill="1" applyAlignment="1">
      <alignment horizontal="left" wrapText="1"/>
    </xf>
    <xf numFmtId="0" fontId="194" fillId="41" borderId="0" xfId="0" applyFont="1" applyFill="1" applyAlignment="1">
      <alignment horizontal="right" wrapText="1"/>
    </xf>
    <xf numFmtId="0" fontId="194" fillId="0" borderId="0" xfId="0" applyFont="1" applyAlignment="1">
      <alignment horizontal="right" wrapText="1"/>
    </xf>
    <xf numFmtId="0" fontId="195" fillId="0" borderId="0" xfId="0" applyFont="1"/>
    <xf numFmtId="171" fontId="195" fillId="0" borderId="0" xfId="385" applyNumberFormat="1" applyFont="1"/>
    <xf numFmtId="169" fontId="195" fillId="0" borderId="0" xfId="0" applyNumberFormat="1" applyFont="1"/>
    <xf numFmtId="171" fontId="196" fillId="0" borderId="0" xfId="385" applyNumberFormat="1" applyFont="1"/>
    <xf numFmtId="171" fontId="195" fillId="0" borderId="0" xfId="385" applyNumberFormat="1" applyFont="1" applyFill="1"/>
    <xf numFmtId="0" fontId="197" fillId="0" borderId="0" xfId="0" applyFont="1"/>
    <xf numFmtId="0" fontId="196" fillId="0" borderId="0" xfId="0" applyFont="1"/>
    <xf numFmtId="169" fontId="196" fillId="0" borderId="0" xfId="0" applyNumberFormat="1" applyFont="1"/>
    <xf numFmtId="171" fontId="196" fillId="0" borderId="0" xfId="385" applyNumberFormat="1" applyFont="1" applyFill="1"/>
    <xf numFmtId="171" fontId="195" fillId="0" borderId="0" xfId="0" applyNumberFormat="1" applyFont="1"/>
    <xf numFmtId="10" fontId="0" fillId="0" borderId="0" xfId="385" applyNumberFormat="1" applyFont="1"/>
    <xf numFmtId="10" fontId="0" fillId="0" borderId="0" xfId="0" applyNumberFormat="1"/>
    <xf numFmtId="1" fontId="195" fillId="0" borderId="0" xfId="0" applyNumberFormat="1" applyFont="1"/>
    <xf numFmtId="171" fontId="0" fillId="0" borderId="0" xfId="385" applyNumberFormat="1" applyFont="1"/>
    <xf numFmtId="0" fontId="174" fillId="40" borderId="0" xfId="0" applyFont="1" applyFill="1"/>
    <xf numFmtId="171" fontId="0" fillId="0" borderId="0" xfId="385" applyNumberFormat="1" applyFont="1" applyAlignment="1">
      <alignment horizontal="right"/>
    </xf>
    <xf numFmtId="3" fontId="0" fillId="0" borderId="0" xfId="0" applyNumberFormat="1"/>
    <xf numFmtId="3" fontId="197" fillId="0" borderId="0" xfId="0" applyNumberFormat="1" applyFont="1"/>
    <xf numFmtId="3" fontId="0" fillId="0" borderId="0" xfId="384" applyNumberFormat="1" applyFont="1" applyAlignment="1">
      <alignment horizontal="right" wrapText="1"/>
    </xf>
    <xf numFmtId="3" fontId="192" fillId="0" borderId="0" xfId="383" applyNumberFormat="1" applyFont="1" applyAlignment="1">
      <alignment wrapText="1"/>
    </xf>
    <xf numFmtId="3" fontId="170" fillId="0" borderId="0" xfId="383" applyNumberFormat="1" applyFont="1" applyAlignment="1">
      <alignment wrapText="1"/>
    </xf>
    <xf numFmtId="3" fontId="195" fillId="0" borderId="0" xfId="28" applyNumberFormat="1" applyFont="1"/>
    <xf numFmtId="3" fontId="196" fillId="0" borderId="0" xfId="28" applyNumberFormat="1" applyFont="1"/>
    <xf numFmtId="3" fontId="195" fillId="0" borderId="0" xfId="0" applyNumberFormat="1" applyFont="1"/>
    <xf numFmtId="3" fontId="196" fillId="0" borderId="0" xfId="0" applyNumberFormat="1" applyFont="1"/>
    <xf numFmtId="3" fontId="196" fillId="21" borderId="0" xfId="0" applyNumberFormat="1" applyFont="1" applyFill="1"/>
    <xf numFmtId="3" fontId="195" fillId="21" borderId="0" xfId="0" applyNumberFormat="1" applyFont="1" applyFill="1"/>
    <xf numFmtId="171" fontId="195" fillId="0" borderId="0" xfId="49" applyNumberFormat="1" applyFont="1" applyAlignment="1">
      <alignment horizontal="right"/>
    </xf>
    <xf numFmtId="171" fontId="195" fillId="21" borderId="0" xfId="49" applyNumberFormat="1" applyFont="1" applyFill="1"/>
    <xf numFmtId="171" fontId="195" fillId="0" borderId="0" xfId="49" applyNumberFormat="1" applyFont="1"/>
    <xf numFmtId="230" fontId="168" fillId="0" borderId="0" xfId="28" applyNumberFormat="1" applyFont="1" applyBorder="1" applyAlignment="1">
      <alignment horizontal="right"/>
    </xf>
    <xf numFmtId="171" fontId="195" fillId="0" borderId="0" xfId="49" applyNumberFormat="1" applyFont="1" applyFill="1"/>
    <xf numFmtId="176" fontId="195" fillId="0" borderId="0" xfId="0" applyNumberFormat="1" applyFont="1"/>
    <xf numFmtId="176" fontId="196" fillId="0" borderId="0" xfId="0" applyNumberFormat="1" applyFont="1"/>
    <xf numFmtId="4" fontId="195" fillId="0" borderId="0" xfId="0" applyNumberFormat="1" applyFont="1"/>
    <xf numFmtId="171" fontId="195" fillId="39" borderId="0" xfId="385" applyNumberFormat="1" applyFont="1" applyFill="1"/>
    <xf numFmtId="171" fontId="196" fillId="39" borderId="0" xfId="385" applyNumberFormat="1" applyFont="1" applyFill="1"/>
    <xf numFmtId="171" fontId="195" fillId="39" borderId="0" xfId="49" applyNumberFormat="1" applyFont="1" applyFill="1" applyAlignment="1">
      <alignment horizontal="right"/>
    </xf>
    <xf numFmtId="10" fontId="148" fillId="0" borderId="0" xfId="49" applyNumberFormat="1" applyFont="1" applyFill="1" applyBorder="1" applyAlignment="1">
      <alignment horizontal="right"/>
    </xf>
    <xf numFmtId="169" fontId="152" fillId="0" borderId="0" xfId="0" applyNumberFormat="1" applyFont="1" applyAlignment="1">
      <alignment horizontal="center"/>
    </xf>
    <xf numFmtId="0" fontId="152" fillId="21" borderId="0" xfId="0" applyFont="1" applyFill="1" applyAlignment="1">
      <alignment horizontal="right"/>
    </xf>
    <xf numFmtId="220" fontId="157" fillId="0" borderId="0" xfId="0" applyNumberFormat="1" applyFont="1" applyAlignment="1">
      <alignment horizontal="right"/>
    </xf>
    <xf numFmtId="9" fontId="152" fillId="0" borderId="0" xfId="49" applyFont="1" applyBorder="1"/>
    <xf numFmtId="231" fontId="148" fillId="0" borderId="0" xfId="0" applyNumberFormat="1" applyFont="1" applyAlignment="1">
      <alignment horizontal="right"/>
    </xf>
    <xf numFmtId="171" fontId="147" fillId="0" borderId="0" xfId="0" applyNumberFormat="1" applyFont="1"/>
    <xf numFmtId="0" fontId="150" fillId="40" borderId="24" xfId="0" applyFont="1" applyFill="1" applyBorder="1" applyAlignment="1">
      <alignment horizontal="right"/>
    </xf>
    <xf numFmtId="0" fontId="165" fillId="40" borderId="0" xfId="0" applyFont="1" applyFill="1" applyAlignment="1">
      <alignment vertical="center"/>
    </xf>
    <xf numFmtId="170" fontId="149" fillId="40" borderId="29" xfId="0" applyNumberFormat="1" applyFont="1" applyFill="1" applyBorder="1" applyAlignment="1">
      <alignment horizontal="right"/>
    </xf>
    <xf numFmtId="170" fontId="149" fillId="40" borderId="35" xfId="0" applyNumberFormat="1" applyFont="1" applyFill="1" applyBorder="1" applyAlignment="1">
      <alignment horizontal="right"/>
    </xf>
    <xf numFmtId="9" fontId="149" fillId="40" borderId="35" xfId="0" applyNumberFormat="1" applyFont="1" applyFill="1" applyBorder="1" applyAlignment="1">
      <alignment horizontal="right"/>
    </xf>
    <xf numFmtId="170" fontId="150" fillId="40" borderId="29" xfId="0" applyNumberFormat="1" applyFont="1" applyFill="1" applyBorder="1" applyAlignment="1">
      <alignment horizontal="right"/>
    </xf>
    <xf numFmtId="170" fontId="150" fillId="40" borderId="29" xfId="0" applyNumberFormat="1" applyFont="1" applyFill="1" applyBorder="1" applyAlignment="1">
      <alignment horizontal="right" wrapText="1"/>
    </xf>
    <xf numFmtId="170" fontId="149" fillId="40" borderId="0" xfId="0" applyNumberFormat="1" applyFont="1" applyFill="1" applyAlignment="1">
      <alignment horizontal="right"/>
    </xf>
    <xf numFmtId="0" fontId="150" fillId="40" borderId="0" xfId="0" applyFont="1" applyFill="1"/>
    <xf numFmtId="0" fontId="150" fillId="40" borderId="27" xfId="0" applyFont="1" applyFill="1" applyBorder="1" applyAlignment="1">
      <alignment horizontal="right"/>
    </xf>
    <xf numFmtId="170" fontId="149" fillId="40" borderId="29" xfId="0" applyNumberFormat="1" applyFont="1" applyFill="1" applyBorder="1"/>
    <xf numFmtId="0" fontId="150" fillId="40" borderId="27" xfId="0" applyFont="1" applyFill="1" applyBorder="1"/>
    <xf numFmtId="0" fontId="150" fillId="40" borderId="24" xfId="0" applyFont="1" applyFill="1" applyBorder="1"/>
    <xf numFmtId="0" fontId="194" fillId="41" borderId="61" xfId="0" applyFont="1" applyFill="1" applyBorder="1" applyAlignment="1">
      <alignment horizontal="right" wrapText="1"/>
    </xf>
    <xf numFmtId="171" fontId="195" fillId="39" borderId="61" xfId="385" applyNumberFormat="1" applyFont="1" applyFill="1" applyBorder="1"/>
    <xf numFmtId="3" fontId="195" fillId="0" borderId="0" xfId="28" applyNumberFormat="1" applyFont="1" applyBorder="1"/>
    <xf numFmtId="3" fontId="196" fillId="0" borderId="0" xfId="28" applyNumberFormat="1" applyFont="1" applyBorder="1"/>
    <xf numFmtId="0" fontId="194" fillId="41" borderId="62" xfId="0" applyFont="1" applyFill="1" applyBorder="1" applyAlignment="1">
      <alignment horizontal="right" wrapText="1"/>
    </xf>
    <xf numFmtId="3" fontId="195" fillId="0" borderId="62" xfId="28" applyNumberFormat="1" applyFont="1" applyBorder="1"/>
    <xf numFmtId="3" fontId="196" fillId="0" borderId="62" xfId="28" applyNumberFormat="1" applyFont="1" applyBorder="1"/>
    <xf numFmtId="3" fontId="195" fillId="0" borderId="62" xfId="0" applyNumberFormat="1" applyFont="1" applyBorder="1"/>
    <xf numFmtId="0" fontId="194" fillId="41" borderId="21" xfId="0" applyFont="1" applyFill="1" applyBorder="1"/>
    <xf numFmtId="0" fontId="194" fillId="41" borderId="22" xfId="0" applyFont="1" applyFill="1" applyBorder="1" applyAlignment="1">
      <alignment horizontal="left" wrapText="1"/>
    </xf>
    <xf numFmtId="0" fontId="194" fillId="41" borderId="15" xfId="0" applyFont="1" applyFill="1" applyBorder="1" applyAlignment="1">
      <alignment horizontal="right" wrapText="1"/>
    </xf>
    <xf numFmtId="0" fontId="195" fillId="0" borderId="22" xfId="0" applyFont="1" applyBorder="1"/>
    <xf numFmtId="171" fontId="195" fillId="39" borderId="15" xfId="385" applyNumberFormat="1" applyFont="1" applyFill="1" applyBorder="1"/>
    <xf numFmtId="0" fontId="196" fillId="0" borderId="22" xfId="0" applyFont="1" applyBorder="1"/>
    <xf numFmtId="0" fontId="195" fillId="0" borderId="23" xfId="0" applyFont="1" applyBorder="1"/>
    <xf numFmtId="171" fontId="195" fillId="39" borderId="65" xfId="385" applyNumberFormat="1" applyFont="1" applyFill="1" applyBorder="1"/>
    <xf numFmtId="3" fontId="195" fillId="0" borderId="11" xfId="0" applyNumberFormat="1" applyFont="1" applyBorder="1"/>
    <xf numFmtId="171" fontId="195" fillId="39" borderId="16" xfId="385" applyNumberFormat="1" applyFont="1" applyFill="1" applyBorder="1"/>
    <xf numFmtId="2" fontId="194" fillId="21" borderId="0" xfId="0" applyNumberFormat="1" applyFont="1" applyFill="1"/>
    <xf numFmtId="0" fontId="194" fillId="21" borderId="0" xfId="0" applyFont="1" applyFill="1" applyAlignment="1">
      <alignment horizontal="right" wrapText="1"/>
    </xf>
    <xf numFmtId="171" fontId="195" fillId="21" borderId="0" xfId="385" applyNumberFormat="1" applyFont="1" applyFill="1"/>
    <xf numFmtId="171" fontId="196" fillId="21" borderId="0" xfId="385" applyNumberFormat="1" applyFont="1" applyFill="1"/>
    <xf numFmtId="171" fontId="195" fillId="21" borderId="0" xfId="0" applyNumberFormat="1" applyFont="1" applyFill="1"/>
    <xf numFmtId="171" fontId="195" fillId="21" borderId="0" xfId="49" applyNumberFormat="1" applyFont="1" applyFill="1" applyAlignment="1">
      <alignment horizontal="right"/>
    </xf>
    <xf numFmtId="0" fontId="195" fillId="21" borderId="22" xfId="0" applyFont="1" applyFill="1" applyBorder="1"/>
    <xf numFmtId="0" fontId="198" fillId="0" borderId="22" xfId="0" applyFont="1" applyBorder="1" applyAlignment="1">
      <alignment horizontal="left"/>
    </xf>
    <xf numFmtId="171" fontId="198" fillId="0" borderId="0" xfId="49" applyNumberFormat="1" applyFont="1" applyBorder="1"/>
    <xf numFmtId="171" fontId="198" fillId="39" borderId="61" xfId="385" applyNumberFormat="1" applyFont="1" applyFill="1" applyBorder="1" applyAlignment="1">
      <alignment horizontal="right"/>
    </xf>
    <xf numFmtId="171" fontId="198" fillId="0" borderId="62" xfId="49" applyNumberFormat="1" applyFont="1" applyBorder="1"/>
    <xf numFmtId="171" fontId="198" fillId="21" borderId="0" xfId="49" applyNumberFormat="1" applyFont="1" applyFill="1" applyBorder="1"/>
    <xf numFmtId="171" fontId="198" fillId="39" borderId="15" xfId="385" applyNumberFormat="1" applyFont="1" applyFill="1" applyBorder="1" applyAlignment="1">
      <alignment horizontal="right"/>
    </xf>
    <xf numFmtId="171" fontId="196" fillId="39" borderId="61" xfId="385" applyNumberFormat="1" applyFont="1" applyFill="1" applyBorder="1"/>
    <xf numFmtId="171" fontId="196" fillId="39" borderId="15" xfId="385" applyNumberFormat="1" applyFont="1" applyFill="1" applyBorder="1"/>
    <xf numFmtId="3" fontId="195" fillId="21" borderId="62" xfId="28" applyNumberFormat="1" applyFont="1" applyFill="1" applyBorder="1"/>
    <xf numFmtId="3" fontId="196" fillId="21" borderId="62" xfId="28" applyNumberFormat="1" applyFont="1" applyFill="1" applyBorder="1"/>
    <xf numFmtId="171" fontId="198" fillId="21" borderId="62" xfId="49" applyNumberFormat="1" applyFont="1" applyFill="1" applyBorder="1"/>
    <xf numFmtId="3" fontId="195" fillId="21" borderId="62" xfId="0" applyNumberFormat="1" applyFont="1" applyFill="1" applyBorder="1"/>
    <xf numFmtId="0" fontId="199" fillId="0" borderId="0" xfId="0" applyFont="1"/>
    <xf numFmtId="0" fontId="200" fillId="0" borderId="22" xfId="0" applyFont="1" applyBorder="1"/>
    <xf numFmtId="171" fontId="200" fillId="21" borderId="0" xfId="385" applyNumberFormat="1" applyFont="1" applyFill="1"/>
    <xf numFmtId="3" fontId="200" fillId="21" borderId="0" xfId="0" applyNumberFormat="1" applyFont="1" applyFill="1"/>
    <xf numFmtId="171" fontId="201" fillId="21" borderId="0" xfId="385" applyNumberFormat="1" applyFont="1" applyFill="1"/>
    <xf numFmtId="171" fontId="201" fillId="0" borderId="0" xfId="385" applyNumberFormat="1" applyFont="1"/>
    <xf numFmtId="0" fontId="201" fillId="0" borderId="22" xfId="0" applyFont="1" applyBorder="1"/>
    <xf numFmtId="3" fontId="201" fillId="21" borderId="0" xfId="0" applyNumberFormat="1" applyFont="1" applyFill="1"/>
    <xf numFmtId="171" fontId="200" fillId="0" borderId="0" xfId="49" applyNumberFormat="1" applyFont="1" applyBorder="1"/>
    <xf numFmtId="171" fontId="201" fillId="0" borderId="0" xfId="49" applyNumberFormat="1" applyFont="1" applyBorder="1"/>
    <xf numFmtId="171" fontId="195" fillId="39" borderId="61" xfId="385" applyNumberFormat="1" applyFont="1" applyFill="1" applyBorder="1" applyAlignment="1">
      <alignment horizontal="right"/>
    </xf>
    <xf numFmtId="171" fontId="196" fillId="39" borderId="61" xfId="385" applyNumberFormat="1" applyFont="1" applyFill="1" applyBorder="1" applyAlignment="1">
      <alignment horizontal="right"/>
    </xf>
    <xf numFmtId="171" fontId="200" fillId="39" borderId="61" xfId="49" applyNumberFormat="1" applyFont="1" applyFill="1" applyBorder="1" applyAlignment="1">
      <alignment horizontal="right"/>
    </xf>
    <xf numFmtId="171" fontId="201" fillId="39" borderId="61" xfId="49" applyNumberFormat="1" applyFont="1" applyFill="1" applyBorder="1" applyAlignment="1">
      <alignment horizontal="right"/>
    </xf>
    <xf numFmtId="171" fontId="195" fillId="39" borderId="15" xfId="385" applyNumberFormat="1" applyFont="1" applyFill="1" applyBorder="1" applyAlignment="1">
      <alignment horizontal="right"/>
    </xf>
    <xf numFmtId="171" fontId="200" fillId="39" borderId="15" xfId="49" applyNumberFormat="1" applyFont="1" applyFill="1" applyBorder="1" applyAlignment="1">
      <alignment horizontal="right"/>
    </xf>
    <xf numFmtId="0" fontId="196" fillId="0" borderId="13" xfId="0" applyFont="1" applyBorder="1"/>
    <xf numFmtId="0" fontId="14" fillId="0" borderId="0" xfId="0" applyFont="1"/>
    <xf numFmtId="0" fontId="14" fillId="21" borderId="0" xfId="0" applyFont="1" applyFill="1"/>
    <xf numFmtId="3" fontId="14" fillId="21" borderId="0" xfId="384" applyNumberFormat="1" applyFont="1" applyFill="1" applyAlignment="1">
      <alignment horizontal="right" wrapText="1"/>
    </xf>
    <xf numFmtId="3" fontId="14" fillId="21" borderId="62" xfId="384" applyNumberFormat="1" applyFont="1" applyFill="1" applyBorder="1" applyAlignment="1">
      <alignment horizontal="right" wrapText="1"/>
    </xf>
    <xf numFmtId="3" fontId="14" fillId="0" borderId="0" xfId="384" applyNumberFormat="1" applyFont="1" applyAlignment="1">
      <alignment horizontal="right" wrapText="1"/>
    </xf>
    <xf numFmtId="3" fontId="14" fillId="0" borderId="62" xfId="384" applyNumberFormat="1" applyFont="1" applyBorder="1" applyAlignment="1">
      <alignment horizontal="right" wrapText="1"/>
    </xf>
    <xf numFmtId="3" fontId="141" fillId="0" borderId="0" xfId="384" applyNumberFormat="1" applyFont="1" applyAlignment="1">
      <alignment horizontal="right" wrapText="1"/>
    </xf>
    <xf numFmtId="3" fontId="141" fillId="21" borderId="62" xfId="384" applyNumberFormat="1" applyFont="1" applyFill="1" applyBorder="1" applyAlignment="1">
      <alignment horizontal="right" wrapText="1"/>
    </xf>
    <xf numFmtId="3" fontId="141" fillId="0" borderId="62" xfId="384" applyNumberFormat="1" applyFont="1" applyBorder="1" applyAlignment="1">
      <alignment horizontal="right" wrapText="1"/>
    </xf>
    <xf numFmtId="3" fontId="195" fillId="0" borderId="0" xfId="384" applyNumberFormat="1" applyFont="1" applyAlignment="1">
      <alignment horizontal="right" wrapText="1"/>
    </xf>
    <xf numFmtId="3" fontId="195" fillId="21" borderId="62" xfId="384" applyNumberFormat="1" applyFont="1" applyFill="1" applyBorder="1" applyAlignment="1">
      <alignment horizontal="right" wrapText="1"/>
    </xf>
    <xf numFmtId="3" fontId="195" fillId="0" borderId="62" xfId="384" applyNumberFormat="1" applyFont="1" applyBorder="1" applyAlignment="1">
      <alignment horizontal="right" wrapText="1"/>
    </xf>
    <xf numFmtId="3" fontId="141" fillId="0" borderId="0" xfId="383" applyNumberFormat="1" applyFont="1" applyAlignment="1">
      <alignment wrapText="1"/>
    </xf>
    <xf numFmtId="3" fontId="141" fillId="21" borderId="62" xfId="383" applyNumberFormat="1" applyFont="1" applyFill="1" applyBorder="1" applyAlignment="1">
      <alignment wrapText="1"/>
    </xf>
    <xf numFmtId="3" fontId="141" fillId="0" borderId="62" xfId="383" applyNumberFormat="1" applyFont="1" applyBorder="1" applyAlignment="1">
      <alignment wrapText="1"/>
    </xf>
    <xf numFmtId="3" fontId="14" fillId="0" borderId="0" xfId="383" applyNumberFormat="1" applyFont="1" applyAlignment="1">
      <alignment wrapText="1"/>
    </xf>
    <xf numFmtId="3" fontId="14" fillId="21" borderId="62" xfId="383" applyNumberFormat="1" applyFont="1" applyFill="1" applyBorder="1" applyAlignment="1">
      <alignment wrapText="1"/>
    </xf>
    <xf numFmtId="3" fontId="14" fillId="0" borderId="62" xfId="383" applyNumberFormat="1" applyFont="1" applyBorder="1" applyAlignment="1">
      <alignment wrapText="1"/>
    </xf>
    <xf numFmtId="0" fontId="198" fillId="0" borderId="0" xfId="0" applyFont="1"/>
    <xf numFmtId="171" fontId="198" fillId="0" borderId="0" xfId="49" applyNumberFormat="1" applyFont="1" applyBorder="1" applyAlignment="1">
      <alignment wrapText="1"/>
    </xf>
    <xf numFmtId="171" fontId="198" fillId="21" borderId="62" xfId="49" applyNumberFormat="1" applyFont="1" applyFill="1" applyBorder="1" applyAlignment="1">
      <alignment wrapText="1"/>
    </xf>
    <xf numFmtId="171" fontId="198" fillId="0" borderId="62" xfId="49" applyNumberFormat="1" applyFont="1" applyBorder="1" applyAlignment="1">
      <alignment wrapText="1"/>
    </xf>
    <xf numFmtId="0" fontId="201" fillId="0" borderId="0" xfId="0" applyFont="1"/>
    <xf numFmtId="171" fontId="202" fillId="0" borderId="0" xfId="49" applyNumberFormat="1" applyFont="1" applyBorder="1" applyAlignment="1">
      <alignment wrapText="1"/>
    </xf>
    <xf numFmtId="171" fontId="202" fillId="0" borderId="62" xfId="49" applyNumberFormat="1" applyFont="1" applyBorder="1" applyAlignment="1">
      <alignment wrapText="1"/>
    </xf>
    <xf numFmtId="0" fontId="14" fillId="0" borderId="11" xfId="0" applyFont="1" applyBorder="1"/>
    <xf numFmtId="0" fontId="202" fillId="0" borderId="22" xfId="0" applyFont="1" applyBorder="1" applyAlignment="1">
      <alignment horizontal="left"/>
    </xf>
    <xf numFmtId="0" fontId="202" fillId="0" borderId="0" xfId="0" applyFont="1"/>
    <xf numFmtId="171" fontId="202" fillId="0" borderId="0" xfId="49" applyNumberFormat="1" applyFont="1" applyBorder="1"/>
    <xf numFmtId="171" fontId="202" fillId="21" borderId="62" xfId="49" applyNumberFormat="1" applyFont="1" applyFill="1" applyBorder="1"/>
    <xf numFmtId="171" fontId="202" fillId="39" borderId="61" xfId="385" applyNumberFormat="1" applyFont="1" applyFill="1" applyBorder="1" applyAlignment="1">
      <alignment horizontal="right"/>
    </xf>
    <xf numFmtId="171" fontId="202" fillId="0" borderId="62" xfId="49" applyNumberFormat="1" applyFont="1" applyBorder="1"/>
    <xf numFmtId="171" fontId="202" fillId="21" borderId="0" xfId="49" applyNumberFormat="1" applyFont="1" applyFill="1" applyBorder="1"/>
    <xf numFmtId="171" fontId="202" fillId="39" borderId="15" xfId="385" applyNumberFormat="1" applyFont="1" applyFill="1" applyBorder="1" applyAlignment="1">
      <alignment horizontal="right"/>
    </xf>
    <xf numFmtId="171" fontId="196" fillId="21" borderId="0" xfId="49" applyNumberFormat="1" applyFont="1" applyFill="1" applyAlignment="1">
      <alignment horizontal="right"/>
    </xf>
    <xf numFmtId="171" fontId="196" fillId="21" borderId="0" xfId="49" applyNumberFormat="1" applyFont="1" applyFill="1"/>
    <xf numFmtId="171" fontId="196" fillId="0" borderId="0" xfId="49" applyNumberFormat="1" applyFont="1"/>
    <xf numFmtId="0" fontId="203" fillId="21" borderId="22" xfId="0" applyFont="1" applyFill="1" applyBorder="1"/>
    <xf numFmtId="0" fontId="203" fillId="0" borderId="22" xfId="0" applyFont="1" applyBorder="1"/>
    <xf numFmtId="0" fontId="7" fillId="0" borderId="0" xfId="0" applyFont="1"/>
    <xf numFmtId="0" fontId="13" fillId="0" borderId="0" xfId="0" applyFont="1"/>
    <xf numFmtId="0" fontId="12" fillId="0" borderId="0" xfId="0" applyFont="1"/>
    <xf numFmtId="176" fontId="195" fillId="0" borderId="11" xfId="28" applyNumberFormat="1" applyFont="1" applyBorder="1"/>
    <xf numFmtId="176" fontId="195" fillId="39" borderId="65" xfId="385" applyNumberFormat="1" applyFont="1" applyFill="1" applyBorder="1"/>
    <xf numFmtId="186" fontId="161" fillId="36" borderId="0" xfId="28" applyNumberFormat="1" applyFont="1" applyFill="1" applyBorder="1" applyAlignment="1">
      <alignment horizontal="right"/>
    </xf>
    <xf numFmtId="0" fontId="157" fillId="0" borderId="0" xfId="0" applyFont="1" applyAlignment="1">
      <alignment horizontal="right"/>
    </xf>
    <xf numFmtId="9" fontId="152" fillId="35" borderId="0" xfId="49" applyFont="1" applyFill="1" applyBorder="1"/>
    <xf numFmtId="174" fontId="157" fillId="0" borderId="24" xfId="0" applyNumberFormat="1" applyFont="1" applyBorder="1" applyAlignment="1">
      <alignment horizontal="right"/>
    </xf>
    <xf numFmtId="39" fontId="157" fillId="0" borderId="0" xfId="0" applyNumberFormat="1" applyFont="1" applyAlignment="1">
      <alignment horizontal="right"/>
    </xf>
    <xf numFmtId="170" fontId="149" fillId="40" borderId="26" xfId="0" applyNumberFormat="1" applyFont="1" applyFill="1" applyBorder="1" applyAlignment="1">
      <alignment horizontal="right"/>
    </xf>
    <xf numFmtId="0" fontId="150" fillId="40" borderId="28" xfId="0" applyFont="1" applyFill="1" applyBorder="1" applyAlignment="1">
      <alignment horizontal="right"/>
    </xf>
    <xf numFmtId="0" fontId="155" fillId="19" borderId="26" xfId="0" applyFont="1" applyFill="1" applyBorder="1" applyAlignment="1">
      <alignment horizontal="right"/>
    </xf>
    <xf numFmtId="222" fontId="148" fillId="0" borderId="30" xfId="0" applyNumberFormat="1" applyFont="1" applyBorder="1" applyAlignment="1">
      <alignment horizontal="right"/>
    </xf>
    <xf numFmtId="0" fontId="152" fillId="0" borderId="26" xfId="0" applyFont="1" applyBorder="1" applyAlignment="1">
      <alignment horizontal="right"/>
    </xf>
    <xf numFmtId="186" fontId="147" fillId="0" borderId="26" xfId="28" applyNumberFormat="1" applyFont="1" applyFill="1" applyBorder="1" applyAlignment="1">
      <alignment horizontal="right"/>
    </xf>
    <xf numFmtId="222" fontId="148" fillId="0" borderId="26" xfId="0" applyNumberFormat="1" applyFont="1" applyBorder="1" applyAlignment="1">
      <alignment horizontal="right"/>
    </xf>
    <xf numFmtId="170" fontId="147" fillId="0" borderId="26" xfId="0" applyNumberFormat="1" applyFont="1" applyBorder="1" applyAlignment="1">
      <alignment horizontal="right"/>
    </xf>
    <xf numFmtId="9" fontId="147" fillId="0" borderId="26" xfId="49" applyFont="1" applyFill="1" applyBorder="1" applyAlignment="1">
      <alignment horizontal="right"/>
    </xf>
    <xf numFmtId="170" fontId="148" fillId="0" borderId="26" xfId="0" applyNumberFormat="1" applyFont="1" applyBorder="1" applyAlignment="1">
      <alignment horizontal="right"/>
    </xf>
    <xf numFmtId="171" fontId="148" fillId="0" borderId="26" xfId="49" applyNumberFormat="1" applyFont="1" applyFill="1" applyBorder="1" applyAlignment="1">
      <alignment horizontal="right"/>
    </xf>
    <xf numFmtId="171" fontId="148" fillId="0" borderId="26" xfId="49" applyNumberFormat="1" applyFont="1" applyBorder="1" applyAlignment="1">
      <alignment horizontal="right"/>
    </xf>
    <xf numFmtId="9" fontId="148" fillId="0" borderId="26" xfId="49" applyFont="1" applyFill="1" applyBorder="1" applyAlignment="1">
      <alignment horizontal="right"/>
    </xf>
    <xf numFmtId="186" fontId="148" fillId="0" borderId="26" xfId="28" applyNumberFormat="1" applyFont="1" applyFill="1" applyBorder="1" applyAlignment="1">
      <alignment horizontal="right"/>
    </xf>
    <xf numFmtId="169" fontId="148" fillId="0" borderId="26" xfId="0" applyNumberFormat="1" applyFont="1" applyBorder="1" applyAlignment="1">
      <alignment horizontal="right"/>
    </xf>
    <xf numFmtId="186" fontId="158" fillId="0" borderId="66" xfId="28" applyNumberFormat="1" applyFont="1" applyFill="1" applyBorder="1" applyAlignment="1">
      <alignment horizontal="right"/>
    </xf>
    <xf numFmtId="221" fontId="148" fillId="0" borderId="67" xfId="0" applyNumberFormat="1" applyFont="1" applyBorder="1" applyAlignment="1">
      <alignment horizontal="right"/>
    </xf>
    <xf numFmtId="221" fontId="148" fillId="0" borderId="26" xfId="0" applyNumberFormat="1" applyFont="1" applyBorder="1" applyAlignment="1">
      <alignment horizontal="right"/>
    </xf>
    <xf numFmtId="169" fontId="147" fillId="0" borderId="26" xfId="0" applyNumberFormat="1" applyFont="1" applyBorder="1" applyAlignment="1">
      <alignment horizontal="right"/>
    </xf>
    <xf numFmtId="174" fontId="148" fillId="0" borderId="26" xfId="0" applyNumberFormat="1" applyFont="1" applyBorder="1" applyAlignment="1">
      <alignment horizontal="right"/>
    </xf>
    <xf numFmtId="170" fontId="147" fillId="0" borderId="28" xfId="0" applyNumberFormat="1" applyFont="1" applyBorder="1" applyAlignment="1">
      <alignment horizontal="right"/>
    </xf>
    <xf numFmtId="173" fontId="148" fillId="0" borderId="26" xfId="0" applyNumberFormat="1" applyFont="1" applyBorder="1" applyAlignment="1">
      <alignment horizontal="right"/>
    </xf>
    <xf numFmtId="185" fontId="147" fillId="0" borderId="26" xfId="0" applyNumberFormat="1" applyFont="1" applyBorder="1" applyAlignment="1">
      <alignment horizontal="right"/>
    </xf>
    <xf numFmtId="185" fontId="153" fillId="0" borderId="26" xfId="0" applyNumberFormat="1" applyFont="1" applyBorder="1" applyAlignment="1">
      <alignment horizontal="right"/>
    </xf>
    <xf numFmtId="170" fontId="155" fillId="19" borderId="26" xfId="0" applyNumberFormat="1" applyFont="1" applyFill="1" applyBorder="1" applyAlignment="1">
      <alignment horizontal="right"/>
    </xf>
    <xf numFmtId="170" fontId="152" fillId="0" borderId="26" xfId="0" applyNumberFormat="1" applyFont="1" applyBorder="1" applyAlignment="1">
      <alignment horizontal="right"/>
    </xf>
    <xf numFmtId="9" fontId="148" fillId="0" borderId="26" xfId="49" applyFont="1" applyBorder="1" applyAlignment="1">
      <alignment horizontal="right"/>
    </xf>
    <xf numFmtId="170" fontId="148" fillId="0" borderId="28" xfId="0" applyNumberFormat="1" applyFont="1" applyBorder="1" applyAlignment="1">
      <alignment horizontal="right"/>
    </xf>
    <xf numFmtId="171" fontId="152" fillId="0" borderId="26" xfId="0" applyNumberFormat="1" applyFont="1" applyBorder="1" applyAlignment="1">
      <alignment horizontal="right"/>
    </xf>
    <xf numFmtId="0" fontId="148" fillId="0" borderId="26" xfId="0" applyFont="1" applyBorder="1" applyAlignment="1">
      <alignment horizontal="right"/>
    </xf>
    <xf numFmtId="187" fontId="152" fillId="0" borderId="26" xfId="28" applyNumberFormat="1" applyFont="1" applyBorder="1" applyAlignment="1">
      <alignment horizontal="right"/>
    </xf>
    <xf numFmtId="186" fontId="148" fillId="0" borderId="26" xfId="28" applyNumberFormat="1" applyFont="1" applyBorder="1" applyAlignment="1">
      <alignment horizontal="right"/>
    </xf>
    <xf numFmtId="186" fontId="147" fillId="0" borderId="26" xfId="28" applyNumberFormat="1" applyFont="1" applyBorder="1" applyAlignment="1">
      <alignment horizontal="right"/>
    </xf>
    <xf numFmtId="169" fontId="167" fillId="0" borderId="26" xfId="0" applyNumberFormat="1" applyFont="1" applyBorder="1" applyAlignment="1">
      <alignment horizontal="right"/>
    </xf>
    <xf numFmtId="169" fontId="157" fillId="0" borderId="26" xfId="0" applyNumberFormat="1" applyFont="1" applyBorder="1" applyAlignment="1">
      <alignment horizontal="right"/>
    </xf>
    <xf numFmtId="186" fontId="161" fillId="0" borderId="26" xfId="28" applyNumberFormat="1" applyFont="1" applyFill="1" applyBorder="1" applyAlignment="1">
      <alignment horizontal="right"/>
    </xf>
    <xf numFmtId="170" fontId="157" fillId="0" borderId="26" xfId="0" applyNumberFormat="1" applyFont="1" applyBorder="1" applyAlignment="1">
      <alignment horizontal="right"/>
    </xf>
    <xf numFmtId="186" fontId="157" fillId="0" borderId="26" xfId="28" applyNumberFormat="1" applyFont="1" applyFill="1" applyBorder="1" applyAlignment="1">
      <alignment horizontal="right"/>
    </xf>
    <xf numFmtId="170" fontId="161" fillId="0" borderId="28" xfId="0" applyNumberFormat="1" applyFont="1" applyBorder="1" applyAlignment="1">
      <alignment horizontal="right"/>
    </xf>
    <xf numFmtId="168" fontId="168" fillId="0" borderId="0" xfId="28" applyFont="1" applyBorder="1" applyAlignment="1">
      <alignment horizontal="right"/>
    </xf>
    <xf numFmtId="169" fontId="152" fillId="22" borderId="0" xfId="0" applyNumberFormat="1" applyFont="1" applyFill="1" applyAlignment="1">
      <alignment horizontal="right"/>
    </xf>
    <xf numFmtId="171" fontId="152" fillId="0" borderId="0" xfId="49" applyNumberFormat="1" applyFont="1" applyBorder="1"/>
    <xf numFmtId="169" fontId="147" fillId="0" borderId="28" xfId="28" applyNumberFormat="1" applyFont="1" applyFill="1" applyBorder="1" applyAlignment="1">
      <alignment horizontal="right"/>
    </xf>
    <xf numFmtId="10" fontId="148" fillId="0" borderId="26" xfId="49" applyNumberFormat="1" applyFont="1" applyFill="1" applyBorder="1" applyAlignment="1">
      <alignment horizontal="right"/>
    </xf>
    <xf numFmtId="9" fontId="152" fillId="0" borderId="26" xfId="49" applyFont="1" applyFill="1" applyBorder="1" applyAlignment="1">
      <alignment horizontal="right"/>
    </xf>
    <xf numFmtId="187" fontId="148" fillId="0" borderId="26" xfId="28" applyNumberFormat="1" applyFont="1" applyFill="1" applyBorder="1" applyAlignment="1">
      <alignment horizontal="right"/>
    </xf>
    <xf numFmtId="186" fontId="147" fillId="0" borderId="28" xfId="28" applyNumberFormat="1" applyFont="1" applyFill="1" applyBorder="1" applyAlignment="1">
      <alignment horizontal="right"/>
    </xf>
    <xf numFmtId="168" fontId="148" fillId="0" borderId="26" xfId="28" applyFont="1" applyFill="1" applyBorder="1" applyAlignment="1">
      <alignment horizontal="right"/>
    </xf>
    <xf numFmtId="169" fontId="161" fillId="38" borderId="26" xfId="0" applyNumberFormat="1" applyFont="1" applyFill="1" applyBorder="1" applyAlignment="1">
      <alignment horizontal="right"/>
    </xf>
    <xf numFmtId="222" fontId="157" fillId="0" borderId="26" xfId="0" applyNumberFormat="1" applyFont="1" applyBorder="1" applyAlignment="1">
      <alignment horizontal="right"/>
    </xf>
    <xf numFmtId="170" fontId="161" fillId="0" borderId="26" xfId="0" applyNumberFormat="1" applyFont="1" applyBorder="1" applyAlignment="1">
      <alignment horizontal="right"/>
    </xf>
    <xf numFmtId="186" fontId="147" fillId="36" borderId="26" xfId="28" applyNumberFormat="1" applyFont="1" applyFill="1" applyBorder="1" applyAlignment="1">
      <alignment horizontal="right"/>
    </xf>
    <xf numFmtId="222" fontId="167" fillId="0" borderId="26" xfId="0" applyNumberFormat="1" applyFont="1" applyBorder="1" applyAlignment="1">
      <alignment horizontal="right"/>
    </xf>
    <xf numFmtId="186" fontId="161" fillId="36" borderId="26" xfId="28" applyNumberFormat="1" applyFont="1" applyFill="1" applyBorder="1" applyAlignment="1">
      <alignment horizontal="right"/>
    </xf>
    <xf numFmtId="186" fontId="166" fillId="0" borderId="26" xfId="28" applyNumberFormat="1" applyFont="1" applyFill="1" applyBorder="1" applyAlignment="1">
      <alignment horizontal="right"/>
    </xf>
    <xf numFmtId="170" fontId="148" fillId="42" borderId="0" xfId="0" applyNumberFormat="1" applyFont="1" applyFill="1" applyAlignment="1">
      <alignment horizontal="right"/>
    </xf>
    <xf numFmtId="2" fontId="194" fillId="41" borderId="14" xfId="0" applyNumberFormat="1" applyFont="1" applyFill="1" applyBorder="1" applyAlignment="1">
      <alignment horizontal="center"/>
    </xf>
    <xf numFmtId="9" fontId="0" fillId="0" borderId="0" xfId="49" applyFont="1" applyBorder="1"/>
    <xf numFmtId="9" fontId="192" fillId="0" borderId="0" xfId="49" applyFont="1" applyBorder="1"/>
    <xf numFmtId="0" fontId="0" fillId="0" borderId="11" xfId="0" applyBorder="1"/>
    <xf numFmtId="3" fontId="192" fillId="0" borderId="0" xfId="0" applyNumberFormat="1" applyFont="1"/>
    <xf numFmtId="171" fontId="201" fillId="39" borderId="15" xfId="49" applyNumberFormat="1" applyFont="1" applyFill="1" applyBorder="1" applyAlignment="1">
      <alignment horizontal="right"/>
    </xf>
    <xf numFmtId="0" fontId="141" fillId="0" borderId="0" xfId="0" applyFont="1"/>
    <xf numFmtId="171" fontId="196" fillId="39" borderId="15" xfId="385" applyNumberFormat="1" applyFont="1" applyFill="1" applyBorder="1" applyAlignment="1">
      <alignment horizontal="right"/>
    </xf>
    <xf numFmtId="2" fontId="194" fillId="41" borderId="13" xfId="0" applyNumberFormat="1" applyFont="1" applyFill="1" applyBorder="1" applyAlignment="1">
      <alignment horizontal="center"/>
    </xf>
    <xf numFmtId="171" fontId="192" fillId="0" borderId="0" xfId="49" applyNumberFormat="1" applyFont="1" applyBorder="1"/>
    <xf numFmtId="171" fontId="198" fillId="21" borderId="61" xfId="385" applyNumberFormat="1" applyFont="1" applyFill="1" applyBorder="1" applyAlignment="1">
      <alignment horizontal="right"/>
    </xf>
    <xf numFmtId="171" fontId="152" fillId="0" borderId="0" xfId="49" applyNumberFormat="1" applyFont="1" applyBorder="1" applyAlignment="1">
      <alignment horizontal="right"/>
    </xf>
    <xf numFmtId="222" fontId="157" fillId="21" borderId="0" xfId="0" applyNumberFormat="1" applyFont="1" applyFill="1" applyAlignment="1">
      <alignment horizontal="right"/>
    </xf>
    <xf numFmtId="43" fontId="148" fillId="0" borderId="0" xfId="0" applyNumberFormat="1" applyFont="1"/>
    <xf numFmtId="222" fontId="204" fillId="0" borderId="0" xfId="0" applyNumberFormat="1" applyFont="1" applyAlignment="1">
      <alignment horizontal="right"/>
    </xf>
    <xf numFmtId="170" fontId="157" fillId="21" borderId="0" xfId="0" applyNumberFormat="1" applyFont="1" applyFill="1" applyAlignment="1">
      <alignment horizontal="right"/>
    </xf>
    <xf numFmtId="186" fontId="157" fillId="0" borderId="0" xfId="28" applyNumberFormat="1" applyFont="1" applyBorder="1" applyAlignment="1">
      <alignment horizontal="right"/>
    </xf>
    <xf numFmtId="186" fontId="157" fillId="21" borderId="0" xfId="28" applyNumberFormat="1" applyFont="1" applyFill="1" applyBorder="1" applyAlignment="1">
      <alignment horizontal="right"/>
    </xf>
    <xf numFmtId="186" fontId="147" fillId="0" borderId="35" xfId="28" applyNumberFormat="1" applyFont="1" applyBorder="1" applyAlignment="1">
      <alignment horizontal="right"/>
    </xf>
    <xf numFmtId="169" fontId="152" fillId="0" borderId="26" xfId="0" applyNumberFormat="1" applyFont="1" applyBorder="1" applyAlignment="1">
      <alignment horizontal="right"/>
    </xf>
    <xf numFmtId="169" fontId="153" fillId="0" borderId="26" xfId="0" applyNumberFormat="1" applyFont="1" applyBorder="1" applyAlignment="1">
      <alignment horizontal="right"/>
    </xf>
    <xf numFmtId="174" fontId="147" fillId="0" borderId="0" xfId="0" applyNumberFormat="1" applyFont="1" applyAlignment="1">
      <alignment horizontal="right"/>
    </xf>
    <xf numFmtId="174" fontId="147" fillId="0" borderId="35" xfId="0" applyNumberFormat="1" applyFont="1" applyBorder="1" applyAlignment="1">
      <alignment horizontal="right"/>
    </xf>
    <xf numFmtId="174" fontId="148" fillId="42" borderId="0" xfId="0" applyNumberFormat="1" applyFont="1" applyFill="1" applyAlignment="1">
      <alignment horizontal="right"/>
    </xf>
    <xf numFmtId="174" fontId="168" fillId="0" borderId="0" xfId="28" applyNumberFormat="1" applyFont="1" applyBorder="1" applyAlignment="1">
      <alignment horizontal="right"/>
    </xf>
    <xf numFmtId="0" fontId="171" fillId="41" borderId="21" xfId="0" applyFont="1" applyFill="1" applyBorder="1"/>
    <xf numFmtId="0" fontId="206" fillId="0" borderId="13" xfId="0" applyFont="1" applyBorder="1"/>
    <xf numFmtId="2" fontId="171" fillId="41" borderId="13" xfId="0" applyNumberFormat="1" applyFont="1" applyFill="1" applyBorder="1"/>
    <xf numFmtId="2" fontId="171" fillId="41" borderId="13" xfId="0" applyNumberFormat="1" applyFont="1" applyFill="1" applyBorder="1" applyAlignment="1">
      <alignment horizontal="centerContinuous"/>
    </xf>
    <xf numFmtId="2" fontId="171" fillId="41" borderId="14" xfId="0" applyNumberFormat="1" applyFont="1" applyFill="1" applyBorder="1" applyAlignment="1">
      <alignment horizontal="centerContinuous"/>
    </xf>
    <xf numFmtId="0" fontId="171" fillId="41" borderId="22" xfId="0" applyFont="1" applyFill="1" applyBorder="1" applyAlignment="1">
      <alignment horizontal="left" wrapText="1"/>
    </xf>
    <xf numFmtId="0" fontId="171" fillId="41" borderId="0" xfId="0" applyFont="1" applyFill="1" applyAlignment="1">
      <alignment horizontal="right" wrapText="1"/>
    </xf>
    <xf numFmtId="0" fontId="171" fillId="41" borderId="61" xfId="0" applyFont="1" applyFill="1" applyBorder="1" applyAlignment="1">
      <alignment horizontal="right" wrapText="1"/>
    </xf>
    <xf numFmtId="0" fontId="171" fillId="41" borderId="62" xfId="0" applyFont="1" applyFill="1" applyBorder="1" applyAlignment="1">
      <alignment horizontal="right" wrapText="1"/>
    </xf>
    <xf numFmtId="0" fontId="171" fillId="41" borderId="15" xfId="0" applyFont="1" applyFill="1" applyBorder="1" applyAlignment="1">
      <alignment horizontal="right" wrapText="1"/>
    </xf>
    <xf numFmtId="0" fontId="207" fillId="21" borderId="22" xfId="0" applyFont="1" applyFill="1" applyBorder="1"/>
    <xf numFmtId="3" fontId="7" fillId="21" borderId="0" xfId="384" applyNumberFormat="1" applyFill="1" applyAlignment="1">
      <alignment horizontal="right" wrapText="1"/>
    </xf>
    <xf numFmtId="3" fontId="7" fillId="21" borderId="62" xfId="384" applyNumberFormat="1" applyFill="1" applyBorder="1" applyAlignment="1">
      <alignment horizontal="right" wrapText="1"/>
    </xf>
    <xf numFmtId="171" fontId="205" fillId="39" borderId="61" xfId="385" applyNumberFormat="1" applyFont="1" applyFill="1" applyBorder="1"/>
    <xf numFmtId="169" fontId="205" fillId="0" borderId="0" xfId="0" applyNumberFormat="1" applyFont="1"/>
    <xf numFmtId="3" fontId="205" fillId="21" borderId="0" xfId="0" applyNumberFormat="1" applyFont="1" applyFill="1"/>
    <xf numFmtId="171" fontId="205" fillId="39" borderId="15" xfId="385" applyNumberFormat="1" applyFont="1" applyFill="1" applyBorder="1"/>
    <xf numFmtId="0" fontId="205" fillId="21" borderId="22" xfId="0" applyFont="1" applyFill="1" applyBorder="1"/>
    <xf numFmtId="171" fontId="205" fillId="39" borderId="61" xfId="385" applyNumberFormat="1" applyFont="1" applyFill="1" applyBorder="1" applyAlignment="1">
      <alignment horizontal="right"/>
    </xf>
    <xf numFmtId="171" fontId="205" fillId="39" borderId="15" xfId="385" applyNumberFormat="1" applyFont="1" applyFill="1" applyBorder="1" applyAlignment="1">
      <alignment horizontal="right"/>
    </xf>
    <xf numFmtId="0" fontId="205" fillId="0" borderId="22" xfId="0" applyFont="1" applyBorder="1"/>
    <xf numFmtId="3" fontId="7" fillId="0" borderId="62" xfId="384" applyNumberFormat="1" applyBorder="1" applyAlignment="1">
      <alignment horizontal="right" wrapText="1"/>
    </xf>
    <xf numFmtId="3" fontId="205" fillId="0" borderId="0" xfId="0" applyNumberFormat="1" applyFont="1"/>
    <xf numFmtId="0" fontId="206" fillId="0" borderId="22" xfId="0" applyFont="1" applyBorder="1"/>
    <xf numFmtId="3" fontId="18" fillId="0" borderId="62" xfId="384" applyNumberFormat="1" applyFont="1" applyBorder="1" applyAlignment="1">
      <alignment horizontal="right" wrapText="1"/>
    </xf>
    <xf numFmtId="171" fontId="206" fillId="39" borderId="61" xfId="385" applyNumberFormat="1" applyFont="1" applyFill="1" applyBorder="1" applyAlignment="1">
      <alignment horizontal="right"/>
    </xf>
    <xf numFmtId="169" fontId="206" fillId="0" borderId="0" xfId="0" applyNumberFormat="1" applyFont="1"/>
    <xf numFmtId="3" fontId="206" fillId="0" borderId="0" xfId="0" applyNumberFormat="1" applyFont="1"/>
    <xf numFmtId="3" fontId="205" fillId="0" borderId="62" xfId="384" applyNumberFormat="1" applyFont="1" applyBorder="1" applyAlignment="1">
      <alignment horizontal="right" wrapText="1"/>
    </xf>
    <xf numFmtId="3" fontId="18" fillId="0" borderId="62" xfId="383" applyNumberFormat="1" applyFont="1" applyBorder="1" applyAlignment="1">
      <alignment wrapText="1"/>
    </xf>
    <xf numFmtId="0" fontId="206" fillId="0" borderId="0" xfId="0" applyFont="1"/>
    <xf numFmtId="3" fontId="7" fillId="0" borderId="62" xfId="383" applyNumberFormat="1" applyBorder="1" applyAlignment="1">
      <alignment wrapText="1"/>
    </xf>
    <xf numFmtId="3" fontId="205" fillId="0" borderId="62" xfId="28" applyNumberFormat="1" applyFont="1" applyBorder="1"/>
    <xf numFmtId="0" fontId="208" fillId="0" borderId="22" xfId="0" applyFont="1" applyBorder="1"/>
    <xf numFmtId="171" fontId="12" fillId="0" borderId="62" xfId="49" applyNumberFormat="1" applyFont="1" applyBorder="1" applyAlignment="1">
      <alignment wrapText="1"/>
    </xf>
    <xf numFmtId="171" fontId="208" fillId="39" borderId="61" xfId="49" applyNumberFormat="1" applyFont="1" applyFill="1" applyBorder="1" applyAlignment="1">
      <alignment horizontal="right"/>
    </xf>
    <xf numFmtId="171" fontId="208" fillId="0" borderId="0" xfId="49" applyNumberFormat="1" applyFont="1" applyBorder="1"/>
    <xf numFmtId="171" fontId="208" fillId="39" borderId="15" xfId="49" applyNumberFormat="1" applyFont="1" applyFill="1" applyBorder="1" applyAlignment="1">
      <alignment horizontal="right"/>
    </xf>
    <xf numFmtId="0" fontId="209" fillId="0" borderId="0" xfId="0" applyFont="1"/>
    <xf numFmtId="0" fontId="209" fillId="0" borderId="22" xfId="0" applyFont="1" applyBorder="1"/>
    <xf numFmtId="171" fontId="13" fillId="0" borderId="62" xfId="49" applyNumberFormat="1" applyFont="1" applyBorder="1" applyAlignment="1">
      <alignment wrapText="1"/>
    </xf>
    <xf numFmtId="171" fontId="209" fillId="39" borderId="61" xfId="49" applyNumberFormat="1" applyFont="1" applyFill="1" applyBorder="1" applyAlignment="1">
      <alignment horizontal="right"/>
    </xf>
    <xf numFmtId="171" fontId="209" fillId="0" borderId="0" xfId="49" applyNumberFormat="1" applyFont="1" applyBorder="1"/>
    <xf numFmtId="0" fontId="207" fillId="0" borderId="22" xfId="0" applyFont="1" applyBorder="1"/>
    <xf numFmtId="3" fontId="205" fillId="0" borderId="0" xfId="28" applyNumberFormat="1" applyFont="1" applyBorder="1"/>
    <xf numFmtId="3" fontId="7" fillId="0" borderId="0" xfId="383" applyNumberFormat="1" applyAlignment="1">
      <alignment wrapText="1"/>
    </xf>
    <xf numFmtId="3" fontId="206" fillId="0" borderId="62" xfId="28" applyNumberFormat="1" applyFont="1" applyBorder="1"/>
    <xf numFmtId="171" fontId="206" fillId="39" borderId="61" xfId="385" applyNumberFormat="1" applyFont="1" applyFill="1" applyBorder="1"/>
    <xf numFmtId="171" fontId="206" fillId="39" borderId="15" xfId="385" applyNumberFormat="1" applyFont="1" applyFill="1" applyBorder="1"/>
    <xf numFmtId="3" fontId="205" fillId="0" borderId="62" xfId="0" applyNumberFormat="1" applyFont="1" applyBorder="1"/>
    <xf numFmtId="1" fontId="205" fillId="0" borderId="0" xfId="0" applyNumberFormat="1" applyFont="1"/>
    <xf numFmtId="0" fontId="12" fillId="0" borderId="22" xfId="0" applyFont="1" applyBorder="1" applyAlignment="1">
      <alignment horizontal="left"/>
    </xf>
    <xf numFmtId="171" fontId="12" fillId="0" borderId="62" xfId="49" applyNumberFormat="1" applyFont="1" applyBorder="1"/>
    <xf numFmtId="171" fontId="12" fillId="39" borderId="61" xfId="385" applyNumberFormat="1" applyFont="1" applyFill="1" applyBorder="1" applyAlignment="1">
      <alignment horizontal="right"/>
    </xf>
    <xf numFmtId="169" fontId="12" fillId="0" borderId="0" xfId="0" applyNumberFormat="1" applyFont="1"/>
    <xf numFmtId="171" fontId="12" fillId="21" borderId="0" xfId="49" applyNumberFormat="1" applyFont="1" applyFill="1" applyBorder="1"/>
    <xf numFmtId="171" fontId="12" fillId="39" borderId="15" xfId="385" applyNumberFormat="1" applyFont="1" applyFill="1" applyBorder="1" applyAlignment="1">
      <alignment horizontal="right"/>
    </xf>
    <xf numFmtId="0" fontId="13" fillId="0" borderId="22" xfId="0" applyFont="1" applyBorder="1" applyAlignment="1">
      <alignment horizontal="left"/>
    </xf>
    <xf numFmtId="171" fontId="13" fillId="0" borderId="62" xfId="49" applyNumberFormat="1" applyFont="1" applyBorder="1"/>
    <xf numFmtId="171" fontId="13" fillId="39" borderId="61" xfId="385" applyNumberFormat="1" applyFont="1" applyFill="1" applyBorder="1" applyAlignment="1">
      <alignment horizontal="right"/>
    </xf>
    <xf numFmtId="169" fontId="13" fillId="0" borderId="0" xfId="0" applyNumberFormat="1" applyFont="1"/>
    <xf numFmtId="171" fontId="13" fillId="21" borderId="0" xfId="49" applyNumberFormat="1" applyFont="1" applyFill="1" applyBorder="1"/>
    <xf numFmtId="171" fontId="13" fillId="39" borderId="15" xfId="385" applyNumberFormat="1" applyFont="1" applyFill="1" applyBorder="1" applyAlignment="1">
      <alignment horizontal="right"/>
    </xf>
    <xf numFmtId="176" fontId="205" fillId="0" borderId="0" xfId="28" applyNumberFormat="1" applyFont="1" applyBorder="1"/>
    <xf numFmtId="0" fontId="205" fillId="0" borderId="23" xfId="0" applyFont="1" applyBorder="1"/>
    <xf numFmtId="0" fontId="7" fillId="0" borderId="11" xfId="0" applyFont="1" applyBorder="1"/>
    <xf numFmtId="176" fontId="205" fillId="0" borderId="11" xfId="28" applyNumberFormat="1" applyFont="1" applyBorder="1"/>
    <xf numFmtId="176" fontId="205" fillId="39" borderId="65" xfId="385" applyNumberFormat="1" applyFont="1" applyFill="1" applyBorder="1"/>
    <xf numFmtId="171" fontId="205" fillId="39" borderId="65" xfId="385" applyNumberFormat="1" applyFont="1" applyFill="1" applyBorder="1"/>
    <xf numFmtId="169" fontId="205" fillId="0" borderId="11" xfId="0" applyNumberFormat="1" applyFont="1" applyBorder="1"/>
    <xf numFmtId="3" fontId="205" fillId="0" borderId="11" xfId="0" applyNumberFormat="1" applyFont="1" applyBorder="1"/>
    <xf numFmtId="171" fontId="205" fillId="39" borderId="16" xfId="385" applyNumberFormat="1" applyFont="1" applyFill="1" applyBorder="1"/>
    <xf numFmtId="171" fontId="206" fillId="39" borderId="15" xfId="385" applyNumberFormat="1" applyFont="1" applyFill="1" applyBorder="1" applyAlignment="1">
      <alignment horizontal="right"/>
    </xf>
    <xf numFmtId="216" fontId="161" fillId="0" borderId="0" xfId="0" applyNumberFormat="1" applyFont="1" applyAlignment="1">
      <alignment horizontal="right"/>
    </xf>
    <xf numFmtId="216" fontId="152" fillId="0" borderId="0" xfId="0" applyNumberFormat="1" applyFont="1" applyAlignment="1">
      <alignment horizontal="right"/>
    </xf>
    <xf numFmtId="187" fontId="147" fillId="0" borderId="0" xfId="0" applyNumberFormat="1" applyFont="1" applyAlignment="1">
      <alignment horizontal="right"/>
    </xf>
    <xf numFmtId="182" fontId="147" fillId="0" borderId="24" xfId="28" applyNumberFormat="1" applyFont="1" applyFill="1" applyBorder="1" applyAlignment="1">
      <alignment horizontal="right"/>
    </xf>
    <xf numFmtId="168" fontId="157" fillId="0" borderId="0" xfId="28" applyFont="1" applyFill="1" applyBorder="1" applyAlignment="1">
      <alignment horizontal="right"/>
    </xf>
    <xf numFmtId="185" fontId="167" fillId="37" borderId="0" xfId="0" applyNumberFormat="1" applyFont="1" applyFill="1" applyAlignment="1">
      <alignment horizontal="right"/>
    </xf>
    <xf numFmtId="170" fontId="157" fillId="0" borderId="29" xfId="0" applyNumberFormat="1" applyFont="1" applyBorder="1" applyAlignment="1">
      <alignment horizontal="right"/>
    </xf>
    <xf numFmtId="169" fontId="157" fillId="0" borderId="0" xfId="0" applyNumberFormat="1" applyFont="1" applyAlignment="1">
      <alignment horizontal="center"/>
    </xf>
    <xf numFmtId="182" fontId="157" fillId="0" borderId="0" xfId="0" applyNumberFormat="1" applyFont="1" applyAlignment="1">
      <alignment horizontal="right"/>
    </xf>
    <xf numFmtId="182" fontId="152" fillId="0" borderId="0" xfId="0" applyNumberFormat="1" applyFont="1"/>
    <xf numFmtId="182" fontId="157" fillId="0" borderId="0" xfId="0" applyNumberFormat="1" applyFont="1"/>
    <xf numFmtId="186" fontId="168" fillId="0" borderId="0" xfId="28" applyNumberFormat="1" applyFont="1" applyBorder="1" applyAlignment="1">
      <alignment horizontal="right"/>
    </xf>
    <xf numFmtId="171" fontId="148" fillId="0" borderId="26" xfId="0" applyNumberFormat="1" applyFont="1" applyBorder="1" applyAlignment="1">
      <alignment horizontal="right"/>
    </xf>
    <xf numFmtId="170" fontId="148" fillId="0" borderId="30" xfId="0" applyNumberFormat="1" applyFont="1" applyBorder="1" applyAlignment="1">
      <alignment horizontal="right"/>
    </xf>
    <xf numFmtId="186" fontId="152" fillId="0" borderId="26" xfId="28" applyNumberFormat="1" applyFont="1" applyBorder="1" applyAlignment="1">
      <alignment horizontal="right"/>
    </xf>
    <xf numFmtId="173" fontId="152" fillId="0" borderId="26" xfId="0" applyNumberFormat="1" applyFont="1" applyBorder="1" applyAlignment="1">
      <alignment horizontal="right"/>
    </xf>
    <xf numFmtId="170" fontId="153" fillId="0" borderId="26" xfId="0" applyNumberFormat="1" applyFont="1" applyBorder="1" applyAlignment="1">
      <alignment horizontal="right"/>
    </xf>
    <xf numFmtId="172" fontId="153" fillId="0" borderId="26" xfId="0" applyNumberFormat="1" applyFont="1" applyBorder="1" applyAlignment="1">
      <alignment horizontal="right"/>
    </xf>
    <xf numFmtId="172" fontId="148" fillId="0" borderId="26" xfId="0" applyNumberFormat="1" applyFont="1" applyBorder="1" applyAlignment="1">
      <alignment horizontal="right"/>
    </xf>
    <xf numFmtId="37" fontId="148" fillId="0" borderId="26" xfId="0" applyNumberFormat="1" applyFont="1" applyBorder="1" applyAlignment="1">
      <alignment horizontal="right"/>
    </xf>
    <xf numFmtId="171" fontId="147" fillId="0" borderId="26" xfId="49" applyNumberFormat="1" applyFont="1" applyFill="1" applyBorder="1" applyAlignment="1">
      <alignment horizontal="right"/>
    </xf>
    <xf numFmtId="185" fontId="148" fillId="0" borderId="26" xfId="0" applyNumberFormat="1" applyFont="1" applyBorder="1" applyAlignment="1">
      <alignment horizontal="right"/>
    </xf>
    <xf numFmtId="170" fontId="157" fillId="0" borderId="28" xfId="0" applyNumberFormat="1" applyFont="1" applyBorder="1" applyAlignment="1">
      <alignment horizontal="right"/>
    </xf>
    <xf numFmtId="222" fontId="148" fillId="39" borderId="0" xfId="0" applyNumberFormat="1" applyFont="1" applyFill="1"/>
    <xf numFmtId="222" fontId="148" fillId="39" borderId="0" xfId="0" applyNumberFormat="1" applyFont="1" applyFill="1" applyAlignment="1">
      <alignment horizontal="right"/>
    </xf>
    <xf numFmtId="186" fontId="148" fillId="39" borderId="0" xfId="28" applyNumberFormat="1" applyFont="1" applyFill="1" applyBorder="1" applyAlignment="1">
      <alignment horizontal="right"/>
    </xf>
    <xf numFmtId="168" fontId="148" fillId="39" borderId="0" xfId="28" applyFont="1" applyFill="1" applyBorder="1" applyAlignment="1">
      <alignment horizontal="right"/>
    </xf>
    <xf numFmtId="222" fontId="148" fillId="39" borderId="0" xfId="0" applyNumberFormat="1" applyFont="1" applyFill="1" applyAlignment="1">
      <alignment horizontal="center"/>
    </xf>
    <xf numFmtId="0" fontId="147" fillId="39" borderId="0" xfId="0" applyFont="1" applyFill="1"/>
    <xf numFmtId="0" fontId="148" fillId="39" borderId="0" xfId="0" applyFont="1" applyFill="1"/>
    <xf numFmtId="0" fontId="210" fillId="39" borderId="0" xfId="0" applyFont="1" applyFill="1"/>
    <xf numFmtId="0" fontId="210" fillId="39" borderId="0" xfId="0" applyFont="1" applyFill="1" applyAlignment="1">
      <alignment horizontal="right"/>
    </xf>
    <xf numFmtId="0" fontId="210" fillId="39" borderId="26" xfId="0" applyFont="1" applyFill="1" applyBorder="1" applyAlignment="1">
      <alignment horizontal="right"/>
    </xf>
    <xf numFmtId="0" fontId="210" fillId="39" borderId="0" xfId="0" applyFont="1" applyFill="1" applyAlignment="1">
      <alignment horizontal="center"/>
    </xf>
    <xf numFmtId="222" fontId="210" fillId="0" borderId="0" xfId="0" applyNumberFormat="1" applyFont="1" applyAlignment="1">
      <alignment horizontal="right"/>
    </xf>
    <xf numFmtId="222" fontId="210" fillId="0" borderId="26" xfId="0" applyNumberFormat="1" applyFont="1" applyBorder="1" applyAlignment="1">
      <alignment horizontal="right"/>
    </xf>
    <xf numFmtId="171" fontId="210" fillId="0" borderId="0" xfId="49" applyNumberFormat="1" applyFont="1" applyFill="1" applyBorder="1" applyAlignment="1">
      <alignment horizontal="right"/>
    </xf>
    <xf numFmtId="171" fontId="210" fillId="0" borderId="26" xfId="49" applyNumberFormat="1" applyFont="1" applyFill="1" applyBorder="1" applyAlignment="1">
      <alignment horizontal="right"/>
    </xf>
    <xf numFmtId="222" fontId="147" fillId="0" borderId="0" xfId="0" applyNumberFormat="1" applyFont="1"/>
    <xf numFmtId="222" fontId="147" fillId="0" borderId="0" xfId="0" applyNumberFormat="1" applyFont="1" applyAlignment="1">
      <alignment horizontal="right"/>
    </xf>
    <xf numFmtId="222" fontId="147" fillId="0" borderId="0" xfId="0" applyNumberFormat="1" applyFont="1" applyAlignment="1">
      <alignment horizontal="center"/>
    </xf>
    <xf numFmtId="186" fontId="148" fillId="0" borderId="0" xfId="28" applyNumberFormat="1" applyFont="1" applyFill="1" applyBorder="1"/>
    <xf numFmtId="0" fontId="157" fillId="0" borderId="26" xfId="0" applyFont="1" applyBorder="1" applyAlignment="1">
      <alignment horizontal="right"/>
    </xf>
    <xf numFmtId="171" fontId="152" fillId="0" borderId="26" xfId="49" applyNumberFormat="1" applyFont="1" applyBorder="1" applyAlignment="1"/>
    <xf numFmtId="171" fontId="148" fillId="37" borderId="0" xfId="49" applyNumberFormat="1" applyFont="1" applyFill="1" applyBorder="1" applyAlignment="1">
      <alignment horizontal="right"/>
    </xf>
    <xf numFmtId="0" fontId="211" fillId="21" borderId="21" xfId="0" applyFont="1" applyFill="1" applyBorder="1"/>
    <xf numFmtId="0" fontId="211" fillId="21" borderId="13" xfId="0" applyFont="1" applyFill="1" applyBorder="1"/>
    <xf numFmtId="0" fontId="211" fillId="21" borderId="14" xfId="0" applyFont="1" applyFill="1" applyBorder="1"/>
    <xf numFmtId="0" fontId="211" fillId="21" borderId="0" xfId="0" applyFont="1" applyFill="1"/>
    <xf numFmtId="0" fontId="212" fillId="40" borderId="22" xfId="0" quotePrefix="1" applyFont="1" applyFill="1" applyBorder="1" applyAlignment="1">
      <alignment horizontal="left"/>
    </xf>
    <xf numFmtId="0" fontId="212" fillId="40" borderId="0" xfId="0" applyFont="1" applyFill="1" applyAlignment="1">
      <alignment horizontal="center"/>
    </xf>
    <xf numFmtId="0" fontId="212" fillId="40" borderId="15" xfId="0" applyFont="1" applyFill="1" applyBorder="1" applyAlignment="1">
      <alignment horizontal="center"/>
    </xf>
    <xf numFmtId="0" fontId="213" fillId="21" borderId="22" xfId="379" applyFont="1" applyFill="1" applyBorder="1"/>
    <xf numFmtId="0" fontId="213" fillId="21" borderId="0" xfId="0" applyFont="1" applyFill="1" applyAlignment="1">
      <alignment wrapText="1"/>
    </xf>
    <xf numFmtId="3" fontId="213" fillId="21" borderId="0" xfId="379" quotePrefix="1" applyNumberFormat="1" applyFont="1" applyFill="1" applyAlignment="1">
      <alignment horizontal="center"/>
    </xf>
    <xf numFmtId="0" fontId="213" fillId="21" borderId="0" xfId="0" quotePrefix="1" applyFont="1" applyFill="1" applyAlignment="1">
      <alignment wrapText="1"/>
    </xf>
    <xf numFmtId="0" fontId="213" fillId="21" borderId="0" xfId="0" quotePrefix="1" applyFont="1" applyFill="1" applyAlignment="1">
      <alignment horizontal="center" wrapText="1"/>
    </xf>
    <xf numFmtId="0" fontId="213" fillId="21" borderId="0" xfId="0" applyFont="1" applyFill="1"/>
    <xf numFmtId="0" fontId="213" fillId="21" borderId="0" xfId="379" applyFont="1" applyFill="1"/>
    <xf numFmtId="0" fontId="213" fillId="21" borderId="15" xfId="0" applyFont="1" applyFill="1" applyBorder="1" applyAlignment="1">
      <alignment horizontal="center"/>
    </xf>
    <xf numFmtId="0" fontId="213" fillId="21" borderId="0" xfId="379" applyFont="1" applyFill="1" applyAlignment="1">
      <alignment horizontal="center"/>
    </xf>
    <xf numFmtId="0" fontId="211" fillId="21" borderId="22" xfId="0" applyFont="1" applyFill="1" applyBorder="1"/>
    <xf numFmtId="226" fontId="211" fillId="21" borderId="0" xfId="374" applyNumberFormat="1" applyFont="1" applyFill="1" applyBorder="1" applyAlignment="1">
      <alignment horizontal="center"/>
    </xf>
    <xf numFmtId="189" fontId="213" fillId="21" borderId="0" xfId="374" applyNumberFormat="1" applyFont="1" applyFill="1" applyBorder="1" applyAlignment="1">
      <alignment horizontal="center"/>
    </xf>
    <xf numFmtId="38" fontId="211" fillId="21" borderId="0" xfId="374" applyNumberFormat="1" applyFont="1" applyFill="1" applyBorder="1" applyAlignment="1">
      <alignment horizontal="center"/>
    </xf>
    <xf numFmtId="9" fontId="211" fillId="21" borderId="15" xfId="49" applyFont="1" applyFill="1" applyBorder="1" applyAlignment="1">
      <alignment horizontal="center"/>
    </xf>
    <xf numFmtId="0" fontId="213" fillId="21" borderId="22" xfId="0" quotePrefix="1" applyFont="1" applyFill="1" applyBorder="1" applyAlignment="1">
      <alignment horizontal="left"/>
    </xf>
    <xf numFmtId="189" fontId="214" fillId="21" borderId="0" xfId="374" applyNumberFormat="1" applyFont="1" applyFill="1" applyBorder="1" applyAlignment="1">
      <alignment horizontal="center"/>
    </xf>
    <xf numFmtId="38" fontId="213" fillId="21" borderId="0" xfId="374" applyNumberFormat="1" applyFont="1" applyFill="1" applyBorder="1" applyAlignment="1">
      <alignment horizontal="center"/>
    </xf>
    <xf numFmtId="0" fontId="211" fillId="21" borderId="15" xfId="0" applyFont="1" applyFill="1" applyBorder="1"/>
    <xf numFmtId="0" fontId="211" fillId="21" borderId="22" xfId="0" quotePrefix="1" applyFont="1" applyFill="1" applyBorder="1" applyAlignment="1">
      <alignment horizontal="left"/>
    </xf>
    <xf numFmtId="0" fontId="211" fillId="21" borderId="22" xfId="379" applyFont="1" applyFill="1" applyBorder="1"/>
    <xf numFmtId="3" fontId="211" fillId="21" borderId="22" xfId="379" applyNumberFormat="1" applyFont="1" applyFill="1" applyBorder="1"/>
    <xf numFmtId="220" fontId="211" fillId="21" borderId="0" xfId="374" applyNumberFormat="1" applyFont="1" applyFill="1" applyBorder="1" applyAlignment="1">
      <alignment horizontal="center"/>
    </xf>
    <xf numFmtId="40" fontId="211" fillId="21" borderId="0" xfId="374" applyFont="1" applyFill="1" applyBorder="1" applyAlignment="1">
      <alignment horizontal="center"/>
    </xf>
    <xf numFmtId="0" fontId="211" fillId="21" borderId="22" xfId="379" applyFont="1" applyFill="1" applyBorder="1" applyAlignment="1">
      <alignment horizontal="left"/>
    </xf>
    <xf numFmtId="0" fontId="211" fillId="21" borderId="0" xfId="379" applyFont="1" applyFill="1" applyAlignment="1">
      <alignment horizontal="center"/>
    </xf>
    <xf numFmtId="7" fontId="213" fillId="21" borderId="0" xfId="374" applyNumberFormat="1" applyFont="1" applyFill="1" applyBorder="1" applyAlignment="1">
      <alignment horizontal="center" vertical="center"/>
    </xf>
    <xf numFmtId="10" fontId="211" fillId="21" borderId="0" xfId="49" applyNumberFormat="1" applyFont="1" applyFill="1"/>
    <xf numFmtId="0" fontId="211" fillId="21" borderId="22" xfId="0" quotePrefix="1" applyFont="1" applyFill="1" applyBorder="1"/>
    <xf numFmtId="9" fontId="211" fillId="21" borderId="0" xfId="0" applyNumberFormat="1" applyFont="1" applyFill="1"/>
    <xf numFmtId="227" fontId="211" fillId="21" borderId="0" xfId="0" applyNumberFormat="1" applyFont="1" applyFill="1"/>
    <xf numFmtId="4" fontId="211" fillId="21" borderId="0" xfId="0" applyNumberFormat="1" applyFont="1" applyFill="1"/>
    <xf numFmtId="171" fontId="211" fillId="21" borderId="0" xfId="49" applyNumberFormat="1" applyFont="1" applyFill="1"/>
    <xf numFmtId="0" fontId="215" fillId="40" borderId="22" xfId="0" quotePrefix="1" applyFont="1" applyFill="1" applyBorder="1" applyAlignment="1">
      <alignment horizontal="left"/>
    </xf>
    <xf numFmtId="0" fontId="216" fillId="40" borderId="0" xfId="0" quotePrefix="1" applyFont="1" applyFill="1" applyAlignment="1">
      <alignment horizontal="left"/>
    </xf>
    <xf numFmtId="0" fontId="211" fillId="40" borderId="15" xfId="0" applyFont="1" applyFill="1" applyBorder="1"/>
    <xf numFmtId="4" fontId="211" fillId="21" borderId="22" xfId="0" applyNumberFormat="1" applyFont="1" applyFill="1" applyBorder="1"/>
    <xf numFmtId="0" fontId="213" fillId="21" borderId="0" xfId="0" applyFont="1" applyFill="1" applyAlignment="1">
      <alignment horizontal="center"/>
    </xf>
    <xf numFmtId="0" fontId="213" fillId="21" borderId="22" xfId="0" applyFont="1" applyFill="1" applyBorder="1"/>
    <xf numFmtId="171" fontId="211" fillId="21" borderId="0" xfId="380" applyNumberFormat="1" applyFont="1" applyFill="1" applyBorder="1" applyAlignment="1">
      <alignment horizontal="center"/>
    </xf>
    <xf numFmtId="2" fontId="211" fillId="21" borderId="0" xfId="0" applyNumberFormat="1" applyFont="1" applyFill="1" applyAlignment="1">
      <alignment horizontal="center"/>
    </xf>
    <xf numFmtId="7" fontId="213" fillId="0" borderId="0" xfId="374" applyNumberFormat="1" applyFont="1" applyFill="1" applyBorder="1" applyAlignment="1">
      <alignment horizontal="center" vertical="center"/>
    </xf>
    <xf numFmtId="9" fontId="211" fillId="21" borderId="0" xfId="49" applyFont="1" applyFill="1"/>
    <xf numFmtId="0" fontId="213" fillId="21" borderId="0" xfId="0" applyFont="1" applyFill="1" applyAlignment="1">
      <alignment horizontal="center" wrapText="1"/>
    </xf>
    <xf numFmtId="189" fontId="211" fillId="0" borderId="0" xfId="374" applyNumberFormat="1" applyFont="1" applyFill="1" applyBorder="1" applyAlignment="1">
      <alignment horizontal="center"/>
    </xf>
    <xf numFmtId="0" fontId="212" fillId="40" borderId="23" xfId="0" quotePrefix="1" applyFont="1" applyFill="1" applyBorder="1"/>
    <xf numFmtId="0" fontId="212" fillId="40" borderId="11" xfId="0" quotePrefix="1" applyFont="1" applyFill="1" applyBorder="1"/>
    <xf numFmtId="0" fontId="212" fillId="40" borderId="11" xfId="0" quotePrefix="1" applyFont="1" applyFill="1" applyBorder="1" applyAlignment="1">
      <alignment horizontal="left"/>
    </xf>
    <xf numFmtId="166" fontId="212" fillId="40" borderId="11" xfId="378" quotePrefix="1" applyNumberFormat="1" applyFont="1" applyFill="1" applyBorder="1" applyAlignment="1">
      <alignment horizontal="center"/>
    </xf>
    <xf numFmtId="0" fontId="211" fillId="40" borderId="16" xfId="0" applyFont="1" applyFill="1" applyBorder="1"/>
    <xf numFmtId="0" fontId="217" fillId="21" borderId="0" xfId="0" applyFont="1" applyFill="1"/>
    <xf numFmtId="2" fontId="211" fillId="21" borderId="0" xfId="0" applyNumberFormat="1" applyFont="1" applyFill="1"/>
    <xf numFmtId="9" fontId="211" fillId="21" borderId="0" xfId="49" applyFont="1" applyFill="1" applyBorder="1"/>
    <xf numFmtId="0" fontId="211" fillId="21" borderId="29" xfId="0" applyFont="1" applyFill="1" applyBorder="1"/>
    <xf numFmtId="9" fontId="211" fillId="21" borderId="29" xfId="49" applyFont="1" applyFill="1" applyBorder="1"/>
    <xf numFmtId="186" fontId="211" fillId="21" borderId="0" xfId="28" applyNumberFormat="1" applyFont="1" applyFill="1"/>
    <xf numFmtId="0" fontId="152" fillId="22" borderId="0" xfId="0" applyFont="1" applyFill="1"/>
    <xf numFmtId="0" fontId="215" fillId="40" borderId="0" xfId="388" applyFont="1" applyFill="1" applyAlignment="1">
      <alignment horizontal="left"/>
    </xf>
    <xf numFmtId="0" fontId="215" fillId="40" borderId="0" xfId="388" applyFont="1" applyFill="1" applyAlignment="1">
      <alignment horizontal="right"/>
    </xf>
    <xf numFmtId="232" fontId="218" fillId="39" borderId="29" xfId="389" applyNumberFormat="1" applyFont="1" applyFill="1" applyBorder="1" applyAlignment="1">
      <alignment horizontal="left"/>
    </xf>
    <xf numFmtId="232" fontId="218" fillId="39" borderId="29" xfId="389" applyNumberFormat="1" applyFont="1" applyFill="1" applyBorder="1" applyAlignment="1">
      <alignment horizontal="right"/>
    </xf>
    <xf numFmtId="0" fontId="219" fillId="0" borderId="0" xfId="389" applyFont="1"/>
    <xf numFmtId="3" fontId="218" fillId="0" borderId="0" xfId="389" applyNumberFormat="1" applyFont="1"/>
    <xf numFmtId="233" fontId="219" fillId="0" borderId="0" xfId="390" applyNumberFormat="1" applyFont="1"/>
    <xf numFmtId="3" fontId="219" fillId="0" borderId="0" xfId="389" applyNumberFormat="1" applyFont="1"/>
    <xf numFmtId="0" fontId="218" fillId="0" borderId="0" xfId="389" applyFont="1"/>
    <xf numFmtId="233" fontId="218" fillId="0" borderId="0" xfId="390" applyNumberFormat="1" applyFont="1"/>
    <xf numFmtId="0" fontId="219" fillId="0" borderId="0" xfId="389" applyFont="1" applyAlignment="1">
      <alignment horizontal="left"/>
    </xf>
    <xf numFmtId="170" fontId="219" fillId="0" borderId="0" xfId="390" applyNumberFormat="1" applyFont="1" applyAlignment="1">
      <alignment horizontal="left" indent="1"/>
    </xf>
    <xf numFmtId="170" fontId="219" fillId="0" borderId="0" xfId="372" applyNumberFormat="1" applyFont="1" applyAlignment="1">
      <alignment horizontal="left" indent="1"/>
    </xf>
    <xf numFmtId="233" fontId="219" fillId="0" borderId="0" xfId="390" applyNumberFormat="1" applyFont="1" applyAlignment="1">
      <alignment horizontal="left" indent="2"/>
    </xf>
    <xf numFmtId="233" fontId="218" fillId="0" borderId="0" xfId="390" applyNumberFormat="1" applyFont="1" applyAlignment="1">
      <alignment horizontal="left" indent="1"/>
    </xf>
    <xf numFmtId="0" fontId="219" fillId="0" borderId="0" xfId="389" applyFont="1" applyAlignment="1">
      <alignment horizontal="left" indent="2"/>
    </xf>
    <xf numFmtId="0" fontId="218" fillId="0" borderId="0" xfId="389" applyFont="1" applyAlignment="1">
      <alignment horizontal="left"/>
    </xf>
    <xf numFmtId="0" fontId="218" fillId="0" borderId="0" xfId="389" applyFont="1" applyAlignment="1">
      <alignment horizontal="right"/>
    </xf>
    <xf numFmtId="0" fontId="218" fillId="0" borderId="69" xfId="389" applyFont="1" applyBorder="1" applyAlignment="1">
      <alignment horizontal="left" indent="2"/>
    </xf>
    <xf numFmtId="0" fontId="218" fillId="0" borderId="70" xfId="389" applyFont="1" applyBorder="1" applyAlignment="1">
      <alignment horizontal="right"/>
    </xf>
    <xf numFmtId="0" fontId="218" fillId="0" borderId="0" xfId="389" applyFont="1" applyAlignment="1">
      <alignment horizontal="left" indent="2"/>
    </xf>
    <xf numFmtId="234" fontId="218" fillId="0" borderId="0" xfId="389" applyNumberFormat="1" applyFont="1" applyAlignment="1">
      <alignment horizontal="left"/>
    </xf>
    <xf numFmtId="235" fontId="218" fillId="0" borderId="0" xfId="389" applyNumberFormat="1" applyFont="1" applyAlignment="1">
      <alignment horizontal="left"/>
    </xf>
    <xf numFmtId="0" fontId="220" fillId="0" borderId="24" xfId="389" applyFont="1" applyBorder="1"/>
    <xf numFmtId="0" fontId="0" fillId="0" borderId="24" xfId="0" applyBorder="1"/>
    <xf numFmtId="0" fontId="219" fillId="0" borderId="24" xfId="389" applyFont="1" applyBorder="1"/>
    <xf numFmtId="236" fontId="219" fillId="0" borderId="0" xfId="389" applyNumberFormat="1" applyFont="1"/>
    <xf numFmtId="236" fontId="218" fillId="0" borderId="0" xfId="389" applyNumberFormat="1" applyFont="1"/>
    <xf numFmtId="171" fontId="211" fillId="0" borderId="0" xfId="49" applyNumberFormat="1" applyFont="1"/>
    <xf numFmtId="9" fontId="211" fillId="0" borderId="0" xfId="0" applyNumberFormat="1" applyFont="1"/>
    <xf numFmtId="9" fontId="219" fillId="0" borderId="0" xfId="391" applyFont="1" applyBorder="1" applyAlignment="1">
      <alignment horizontal="right"/>
    </xf>
    <xf numFmtId="2" fontId="211" fillId="0" borderId="0" xfId="49" applyNumberFormat="1" applyFont="1"/>
    <xf numFmtId="179" fontId="219" fillId="0" borderId="0" xfId="389" applyNumberFormat="1" applyFont="1"/>
    <xf numFmtId="3" fontId="219" fillId="0" borderId="0" xfId="390" applyNumberFormat="1" applyFont="1" applyAlignment="1">
      <alignment horizontal="right" vertical="center"/>
    </xf>
    <xf numFmtId="237" fontId="219" fillId="0" borderId="0" xfId="389" applyNumberFormat="1" applyFont="1" applyAlignment="1">
      <alignment horizontal="right"/>
    </xf>
    <xf numFmtId="9" fontId="219" fillId="0" borderId="0" xfId="391" applyFont="1" applyAlignment="1">
      <alignment horizontal="right"/>
    </xf>
    <xf numFmtId="0" fontId="219" fillId="0" borderId="0" xfId="389" applyFont="1" applyAlignment="1">
      <alignment horizontal="left" indent="1"/>
    </xf>
    <xf numFmtId="171" fontId="219" fillId="0" borderId="0" xfId="49" applyNumberFormat="1" applyFont="1"/>
    <xf numFmtId="171" fontId="218" fillId="0" borderId="0" xfId="49" applyNumberFormat="1" applyFont="1"/>
    <xf numFmtId="0" fontId="14" fillId="0" borderId="0" xfId="0" applyFont="1" applyAlignment="1">
      <alignment horizontal="left"/>
    </xf>
    <xf numFmtId="3" fontId="220" fillId="0" borderId="0" xfId="389" applyNumberFormat="1" applyFont="1"/>
    <xf numFmtId="0" fontId="218" fillId="0" borderId="0" xfId="389" applyFont="1" applyAlignment="1">
      <alignment horizontal="left" indent="1"/>
    </xf>
    <xf numFmtId="187" fontId="167" fillId="22" borderId="0" xfId="28" applyNumberFormat="1" applyFont="1" applyFill="1" applyBorder="1" applyAlignment="1">
      <alignment horizontal="right"/>
    </xf>
    <xf numFmtId="43" fontId="211" fillId="21" borderId="0" xfId="0" applyNumberFormat="1" applyFont="1" applyFill="1"/>
    <xf numFmtId="0" fontId="212" fillId="40" borderId="0" xfId="0" quotePrefix="1" applyFont="1" applyFill="1" applyAlignment="1">
      <alignment horizontal="left"/>
    </xf>
    <xf numFmtId="0" fontId="212" fillId="21" borderId="0" xfId="0" quotePrefix="1" applyFont="1" applyFill="1" applyAlignment="1">
      <alignment horizontal="left"/>
    </xf>
    <xf numFmtId="0" fontId="213" fillId="39" borderId="0" xfId="0" applyFont="1" applyFill="1" applyAlignment="1">
      <alignment horizontal="right"/>
    </xf>
    <xf numFmtId="0" fontId="213" fillId="21" borderId="0" xfId="379" applyFont="1" applyFill="1" applyAlignment="1">
      <alignment horizontal="left"/>
    </xf>
    <xf numFmtId="7" fontId="211" fillId="21" borderId="0" xfId="0" applyNumberFormat="1" applyFont="1" applyFill="1"/>
    <xf numFmtId="0" fontId="213" fillId="43" borderId="35" xfId="0" applyFont="1" applyFill="1" applyBorder="1"/>
    <xf numFmtId="238" fontId="213" fillId="43" borderId="35" xfId="0" applyNumberFormat="1" applyFont="1" applyFill="1" applyBorder="1"/>
    <xf numFmtId="1" fontId="211" fillId="21" borderId="0" xfId="0" applyNumberFormat="1" applyFont="1" applyFill="1"/>
    <xf numFmtId="169" fontId="211" fillId="21" borderId="0" xfId="0" applyNumberFormat="1" applyFont="1" applyFill="1"/>
    <xf numFmtId="38" fontId="211" fillId="21" borderId="0" xfId="0" applyNumberFormat="1" applyFont="1" applyFill="1"/>
    <xf numFmtId="3" fontId="211" fillId="21" borderId="0" xfId="379" applyNumberFormat="1" applyFont="1" applyFill="1"/>
    <xf numFmtId="169" fontId="213" fillId="21" borderId="0" xfId="0" applyNumberFormat="1" applyFont="1" applyFill="1"/>
    <xf numFmtId="171" fontId="220" fillId="0" borderId="0" xfId="49" applyNumberFormat="1" applyFont="1"/>
    <xf numFmtId="0" fontId="220" fillId="0" borderId="0" xfId="389" applyFont="1" applyAlignment="1">
      <alignment horizontal="left" indent="2"/>
    </xf>
    <xf numFmtId="169" fontId="219" fillId="0" borderId="0" xfId="389" applyNumberFormat="1" applyFont="1" applyAlignment="1">
      <alignment horizontal="center"/>
    </xf>
    <xf numFmtId="188" fontId="219" fillId="0" borderId="0" xfId="389" applyNumberFormat="1" applyFont="1" applyAlignment="1">
      <alignment horizontal="center"/>
    </xf>
    <xf numFmtId="38" fontId="219" fillId="0" borderId="0" xfId="389" applyNumberFormat="1" applyFont="1" applyAlignment="1">
      <alignment horizontal="center"/>
    </xf>
    <xf numFmtId="39" fontId="148" fillId="0" borderId="26" xfId="0" applyNumberFormat="1" applyFont="1" applyBorder="1" applyAlignment="1">
      <alignment horizontal="right"/>
    </xf>
    <xf numFmtId="171" fontId="167" fillId="0" borderId="0" xfId="49" applyNumberFormat="1" applyFont="1" applyFill="1" applyBorder="1" applyAlignment="1">
      <alignment horizontal="right"/>
    </xf>
    <xf numFmtId="222" fontId="148" fillId="39" borderId="26" xfId="0" applyNumberFormat="1" applyFont="1" applyFill="1" applyBorder="1" applyAlignment="1">
      <alignment horizontal="right"/>
    </xf>
    <xf numFmtId="2" fontId="148" fillId="0" borderId="26" xfId="0" applyNumberFormat="1" applyFont="1" applyBorder="1" applyAlignment="1">
      <alignment horizontal="right"/>
    </xf>
    <xf numFmtId="169" fontId="152" fillId="0" borderId="26" xfId="0" applyNumberFormat="1" applyFont="1" applyBorder="1"/>
    <xf numFmtId="169" fontId="161" fillId="0" borderId="26" xfId="0" applyNumberFormat="1" applyFont="1" applyBorder="1" applyAlignment="1">
      <alignment horizontal="right"/>
    </xf>
    <xf numFmtId="169" fontId="147" fillId="0" borderId="26" xfId="0" applyNumberFormat="1" applyFont="1" applyBorder="1"/>
    <xf numFmtId="169" fontId="157" fillId="0" borderId="26" xfId="0" applyNumberFormat="1" applyFont="1" applyBorder="1"/>
    <xf numFmtId="216" fontId="161" fillId="0" borderId="26" xfId="0" applyNumberFormat="1" applyFont="1" applyBorder="1" applyAlignment="1">
      <alignment horizontal="right"/>
    </xf>
    <xf numFmtId="216" fontId="152" fillId="0" borderId="26" xfId="0" applyNumberFormat="1" applyFont="1" applyBorder="1" applyAlignment="1">
      <alignment horizontal="right"/>
    </xf>
    <xf numFmtId="187" fontId="147" fillId="0" borderId="26" xfId="0" applyNumberFormat="1" applyFont="1" applyBorder="1" applyAlignment="1">
      <alignment horizontal="right"/>
    </xf>
    <xf numFmtId="168" fontId="157" fillId="0" borderId="26" xfId="28" applyFont="1" applyFill="1" applyBorder="1" applyAlignment="1">
      <alignment horizontal="right"/>
    </xf>
    <xf numFmtId="39" fontId="157" fillId="0" borderId="26" xfId="0" applyNumberFormat="1" applyFont="1" applyBorder="1" applyAlignment="1">
      <alignment horizontal="right"/>
    </xf>
    <xf numFmtId="171" fontId="157" fillId="0" borderId="26" xfId="49" applyNumberFormat="1" applyFont="1" applyFill="1" applyBorder="1" applyAlignment="1">
      <alignment horizontal="right"/>
    </xf>
    <xf numFmtId="174" fontId="168" fillId="0" borderId="26" xfId="28" applyNumberFormat="1" applyFont="1" applyFill="1" applyBorder="1" applyAlignment="1">
      <alignment horizontal="right"/>
    </xf>
    <xf numFmtId="171" fontId="153" fillId="0" borderId="0" xfId="49" applyNumberFormat="1" applyFont="1" applyBorder="1" applyAlignment="1"/>
    <xf numFmtId="186" fontId="147" fillId="0" borderId="35" xfId="49" applyNumberFormat="1" applyFont="1" applyFill="1" applyBorder="1" applyAlignment="1">
      <alignment horizontal="right"/>
    </xf>
    <xf numFmtId="230" fontId="147" fillId="0" borderId="35" xfId="49" applyNumberFormat="1" applyFont="1" applyFill="1" applyBorder="1" applyAlignment="1">
      <alignment horizontal="right"/>
    </xf>
    <xf numFmtId="186" fontId="147" fillId="0" borderId="68" xfId="49" applyNumberFormat="1" applyFont="1" applyFill="1" applyBorder="1" applyAlignment="1">
      <alignment horizontal="right"/>
    </xf>
    <xf numFmtId="10" fontId="152" fillId="0" borderId="26" xfId="49" applyNumberFormat="1" applyFont="1" applyBorder="1" applyAlignment="1"/>
    <xf numFmtId="10" fontId="152" fillId="0" borderId="0" xfId="49" applyNumberFormat="1" applyFont="1" applyBorder="1" applyAlignment="1"/>
    <xf numFmtId="3" fontId="211" fillId="21" borderId="0" xfId="0" applyNumberFormat="1" applyFont="1" applyFill="1"/>
    <xf numFmtId="168" fontId="148" fillId="0" borderId="0" xfId="28" applyFont="1" applyAlignment="1">
      <alignment horizontal="right"/>
    </xf>
    <xf numFmtId="43" fontId="152" fillId="0" borderId="0" xfId="0" applyNumberFormat="1" applyFont="1" applyAlignment="1">
      <alignment horizontal="right"/>
    </xf>
    <xf numFmtId="0" fontId="152" fillId="39" borderId="0" xfId="0" applyFont="1" applyFill="1"/>
    <xf numFmtId="0" fontId="152" fillId="39" borderId="0" xfId="0" applyFont="1" applyFill="1" applyAlignment="1">
      <alignment horizontal="right"/>
    </xf>
    <xf numFmtId="43" fontId="152" fillId="39" borderId="0" xfId="0" applyNumberFormat="1" applyFont="1" applyFill="1" applyAlignment="1">
      <alignment horizontal="right"/>
    </xf>
    <xf numFmtId="0" fontId="152" fillId="39" borderId="26" xfId="0" applyFont="1" applyFill="1" applyBorder="1" applyAlignment="1">
      <alignment horizontal="right"/>
    </xf>
    <xf numFmtId="0" fontId="153" fillId="39" borderId="0" xfId="0" applyFont="1" applyFill="1"/>
    <xf numFmtId="9" fontId="157" fillId="0" borderId="0" xfId="0" applyNumberFormat="1" applyFont="1" applyAlignment="1">
      <alignment horizontal="right"/>
    </xf>
    <xf numFmtId="9" fontId="157" fillId="0" borderId="26" xfId="0" applyNumberFormat="1" applyFont="1" applyBorder="1" applyAlignment="1">
      <alignment horizontal="right"/>
    </xf>
    <xf numFmtId="43" fontId="152" fillId="0" borderId="26" xfId="0" applyNumberFormat="1" applyFont="1" applyBorder="1" applyAlignment="1">
      <alignment horizontal="right"/>
    </xf>
    <xf numFmtId="239" fontId="152" fillId="0" borderId="26" xfId="0" applyNumberFormat="1" applyFont="1" applyBorder="1" applyAlignment="1">
      <alignment horizontal="right"/>
    </xf>
    <xf numFmtId="239" fontId="152" fillId="0" borderId="0" xfId="0" applyNumberFormat="1" applyFont="1" applyAlignment="1">
      <alignment horizontal="right"/>
    </xf>
    <xf numFmtId="171" fontId="148" fillId="0" borderId="0" xfId="49" applyNumberFormat="1" applyFont="1" applyAlignment="1">
      <alignment horizontal="right"/>
    </xf>
    <xf numFmtId="0" fontId="149" fillId="40" borderId="0" xfId="0" applyFont="1" applyFill="1"/>
    <xf numFmtId="0" fontId="149" fillId="40" borderId="0" xfId="0" applyFont="1" applyFill="1" applyAlignment="1">
      <alignment horizontal="right"/>
    </xf>
    <xf numFmtId="0" fontId="149" fillId="40" borderId="26" xfId="0" applyFont="1" applyFill="1" applyBorder="1" applyAlignment="1">
      <alignment horizontal="right"/>
    </xf>
    <xf numFmtId="0" fontId="149" fillId="40" borderId="0" xfId="0" applyFont="1" applyFill="1" applyAlignment="1">
      <alignment horizontal="center"/>
    </xf>
    <xf numFmtId="171" fontId="147" fillId="0" borderId="0" xfId="49" applyNumberFormat="1" applyFont="1" applyAlignment="1">
      <alignment horizontal="right"/>
    </xf>
    <xf numFmtId="170" fontId="157" fillId="0" borderId="0" xfId="28" applyNumberFormat="1" applyFont="1" applyBorder="1" applyAlignment="1">
      <alignment horizontal="right"/>
    </xf>
    <xf numFmtId="170" fontId="147" fillId="0" borderId="0" xfId="28" applyNumberFormat="1" applyFont="1" applyBorder="1" applyAlignment="1">
      <alignment horizontal="right"/>
    </xf>
    <xf numFmtId="170" fontId="148" fillId="0" borderId="0" xfId="28" applyNumberFormat="1" applyFont="1" applyBorder="1" applyAlignment="1">
      <alignment horizontal="right"/>
    </xf>
    <xf numFmtId="170" fontId="157" fillId="21" borderId="0" xfId="28" applyNumberFormat="1" applyFont="1" applyFill="1" applyBorder="1" applyAlignment="1">
      <alignment horizontal="right"/>
    </xf>
    <xf numFmtId="170" fontId="147" fillId="0" borderId="35" xfId="28" applyNumberFormat="1" applyFont="1" applyBorder="1" applyAlignment="1">
      <alignment horizontal="right"/>
    </xf>
    <xf numFmtId="170" fontId="147" fillId="0" borderId="68" xfId="0" applyNumberFormat="1" applyFont="1" applyBorder="1" applyAlignment="1">
      <alignment horizontal="right"/>
    </xf>
    <xf numFmtId="170" fontId="157" fillId="0" borderId="0" xfId="28" applyNumberFormat="1" applyFont="1" applyFill="1" applyBorder="1" applyAlignment="1">
      <alignment horizontal="right"/>
    </xf>
    <xf numFmtId="169" fontId="157" fillId="21" borderId="0" xfId="0" applyNumberFormat="1" applyFont="1" applyFill="1" applyAlignment="1">
      <alignment horizontal="right"/>
    </xf>
    <xf numFmtId="169" fontId="152" fillId="21" borderId="0" xfId="0" applyNumberFormat="1" applyFont="1" applyFill="1" applyAlignment="1">
      <alignment horizontal="right"/>
    </xf>
    <xf numFmtId="182" fontId="152" fillId="0" borderId="0" xfId="0" applyNumberFormat="1" applyFont="1" applyAlignment="1">
      <alignment horizontal="right"/>
    </xf>
    <xf numFmtId="168" fontId="148" fillId="0" borderId="26" xfId="28" applyFont="1" applyBorder="1" applyAlignment="1">
      <alignment horizontal="right"/>
    </xf>
    <xf numFmtId="170" fontId="148" fillId="22" borderId="0" xfId="28" applyNumberFormat="1" applyFont="1" applyFill="1" applyBorder="1" applyAlignment="1">
      <alignment horizontal="right"/>
    </xf>
    <xf numFmtId="170" fontId="157" fillId="22" borderId="0" xfId="0" applyNumberFormat="1" applyFont="1" applyFill="1" applyAlignment="1">
      <alignment horizontal="right"/>
    </xf>
    <xf numFmtId="0" fontId="176" fillId="40" borderId="0" xfId="376" quotePrefix="1" applyFont="1" applyFill="1" applyAlignment="1">
      <alignment horizontal="left" vertical="center"/>
    </xf>
    <xf numFmtId="178" fontId="66" fillId="0" borderId="27" xfId="29" applyNumberFormat="1" applyFont="1" applyFill="1" applyBorder="1" applyAlignment="1" applyProtection="1">
      <alignment horizontal="center" vertical="center"/>
      <protection hidden="1"/>
    </xf>
    <xf numFmtId="178" fontId="66" fillId="0" borderId="28" xfId="29" applyNumberFormat="1" applyFont="1" applyFill="1" applyBorder="1" applyAlignment="1" applyProtection="1">
      <alignment horizontal="center" vertical="center"/>
      <protection hidden="1"/>
    </xf>
    <xf numFmtId="178" fontId="66" fillId="0" borderId="31" xfId="29" applyNumberFormat="1" applyFont="1" applyFill="1" applyBorder="1" applyAlignment="1" applyProtection="1">
      <alignment horizontal="center" vertical="center"/>
      <protection hidden="1"/>
    </xf>
    <xf numFmtId="178" fontId="66" fillId="0" borderId="30" xfId="29" applyNumberFormat="1" applyFont="1" applyFill="1" applyBorder="1" applyAlignment="1" applyProtection="1">
      <alignment horizontal="center" vertical="center"/>
      <protection hidden="1"/>
    </xf>
    <xf numFmtId="0" fontId="66" fillId="0" borderId="27" xfId="45" applyFont="1" applyBorder="1" applyAlignment="1" applyProtection="1">
      <alignment horizontal="center" vertical="center"/>
      <protection hidden="1"/>
    </xf>
    <xf numFmtId="0" fontId="66" fillId="0" borderId="28" xfId="45" applyFont="1" applyBorder="1" applyAlignment="1" applyProtection="1">
      <alignment horizontal="center" vertical="center"/>
      <protection hidden="1"/>
    </xf>
    <xf numFmtId="0" fontId="66" fillId="0" borderId="31" xfId="45" applyFont="1" applyBorder="1" applyAlignment="1" applyProtection="1">
      <alignment horizontal="center" vertical="center"/>
      <protection hidden="1"/>
    </xf>
    <xf numFmtId="0" fontId="66" fillId="0" borderId="30" xfId="45" applyFont="1" applyBorder="1" applyAlignment="1" applyProtection="1">
      <alignment horizontal="center" vertical="center"/>
      <protection hidden="1"/>
    </xf>
    <xf numFmtId="0" fontId="66" fillId="0" borderId="24" xfId="45" applyFont="1" applyBorder="1" applyAlignment="1" applyProtection="1">
      <alignment horizontal="center" vertical="center"/>
      <protection hidden="1"/>
    </xf>
    <xf numFmtId="0" fontId="66" fillId="0" borderId="29" xfId="45" applyFont="1" applyBorder="1" applyAlignment="1" applyProtection="1">
      <alignment horizontal="center" vertical="center"/>
      <protection hidden="1"/>
    </xf>
    <xf numFmtId="0" fontId="66" fillId="0" borderId="0" xfId="45" applyFont="1" applyAlignment="1" applyProtection="1">
      <alignment horizontal="left" vertical="center"/>
      <protection hidden="1"/>
    </xf>
    <xf numFmtId="0" fontId="64" fillId="0" borderId="0" xfId="45" applyFont="1" applyAlignment="1" applyProtection="1">
      <alignment horizontal="center" vertical="center" wrapText="1"/>
      <protection hidden="1"/>
    </xf>
    <xf numFmtId="0" fontId="66" fillId="0" borderId="10" xfId="45" applyFont="1" applyBorder="1" applyAlignment="1" applyProtection="1">
      <alignment horizontal="center" vertical="center"/>
      <protection hidden="1"/>
    </xf>
    <xf numFmtId="2" fontId="66" fillId="0" borderId="0" xfId="45" applyNumberFormat="1" applyFont="1" applyAlignment="1" applyProtection="1">
      <alignment horizontal="center" vertical="center"/>
      <protection hidden="1"/>
    </xf>
    <xf numFmtId="0" fontId="66" fillId="0" borderId="29" xfId="45" applyFont="1" applyBorder="1" applyAlignment="1" applyProtection="1">
      <alignment horizontal="left" vertical="center"/>
      <protection hidden="1"/>
    </xf>
    <xf numFmtId="0" fontId="64" fillId="0" borderId="0" xfId="45" applyFont="1" applyAlignment="1" applyProtection="1">
      <alignment horizontal="left" vertical="center"/>
      <protection hidden="1"/>
    </xf>
    <xf numFmtId="0" fontId="66" fillId="0" borderId="0" xfId="45" applyFont="1" applyAlignment="1" applyProtection="1">
      <alignment horizontal="center" vertical="center" wrapText="1"/>
      <protection hidden="1"/>
    </xf>
    <xf numFmtId="0" fontId="66" fillId="0" borderId="0" xfId="45" applyFont="1" applyAlignment="1" applyProtection="1">
      <alignment horizontal="center" vertical="center"/>
      <protection hidden="1"/>
    </xf>
    <xf numFmtId="0" fontId="66" fillId="0" borderId="26" xfId="45" applyFont="1" applyBorder="1" applyAlignment="1" applyProtection="1">
      <alignment horizontal="center" vertical="center"/>
      <protection hidden="1"/>
    </xf>
    <xf numFmtId="0" fontId="64" fillId="0" borderId="10" xfId="45" applyFont="1" applyBorder="1" applyAlignment="1">
      <alignment horizontal="center" vertical="center"/>
    </xf>
    <xf numFmtId="0" fontId="64" fillId="0" borderId="0" xfId="45" applyFont="1" applyAlignment="1">
      <alignment horizontal="center" vertical="center"/>
    </xf>
    <xf numFmtId="0" fontId="66" fillId="0" borderId="0" xfId="44" applyFont="1" applyAlignment="1" applyProtection="1">
      <alignment horizontal="left" vertical="center" wrapText="1" shrinkToFit="1"/>
      <protection hidden="1"/>
    </xf>
    <xf numFmtId="0" fontId="66" fillId="0" borderId="27" xfId="45" applyFont="1" applyBorder="1" applyAlignment="1">
      <alignment horizontal="center" vertical="center"/>
    </xf>
    <xf numFmtId="0" fontId="66" fillId="0" borderId="28" xfId="45" applyFont="1" applyBorder="1" applyAlignment="1">
      <alignment horizontal="center" vertical="center"/>
    </xf>
    <xf numFmtId="0" fontId="66" fillId="0" borderId="31" xfId="45" applyFont="1" applyBorder="1" applyAlignment="1">
      <alignment horizontal="center" vertical="center"/>
    </xf>
    <xf numFmtId="0" fontId="66" fillId="0" borderId="30" xfId="45" applyFont="1" applyBorder="1" applyAlignment="1">
      <alignment horizontal="center" vertical="center"/>
    </xf>
    <xf numFmtId="0" fontId="74" fillId="0" borderId="0" xfId="45" applyFont="1" applyAlignment="1" applyProtection="1">
      <alignment horizontal="left" vertical="center"/>
      <protection hidden="1"/>
    </xf>
    <xf numFmtId="0" fontId="66" fillId="0" borderId="27" xfId="45" applyFont="1" applyBorder="1" applyAlignment="1" applyProtection="1">
      <alignment horizontal="center" vertical="center" wrapText="1" shrinkToFit="1"/>
      <protection hidden="1"/>
    </xf>
    <xf numFmtId="0" fontId="66" fillId="0" borderId="24" xfId="45" applyFont="1" applyBorder="1" applyAlignment="1" applyProtection="1">
      <alignment horizontal="center" vertical="center" wrapText="1" shrinkToFit="1"/>
      <protection hidden="1"/>
    </xf>
    <xf numFmtId="0" fontId="66" fillId="0" borderId="28" xfId="45" applyFont="1" applyBorder="1" applyAlignment="1" applyProtection="1">
      <alignment horizontal="center" vertical="center" wrapText="1" shrinkToFit="1"/>
      <protection hidden="1"/>
    </xf>
    <xf numFmtId="0" fontId="66" fillId="0" borderId="10" xfId="45" applyFont="1" applyBorder="1" applyAlignment="1" applyProtection="1">
      <alignment horizontal="center" vertical="center" wrapText="1" shrinkToFit="1"/>
      <protection hidden="1"/>
    </xf>
    <xf numFmtId="0" fontId="66" fillId="0" borderId="0" xfId="45" applyFont="1" applyAlignment="1" applyProtection="1">
      <alignment horizontal="center" vertical="center" wrapText="1" shrinkToFit="1"/>
      <protection hidden="1"/>
    </xf>
    <xf numFmtId="0" fontId="66" fillId="0" borderId="26" xfId="45" applyFont="1" applyBorder="1" applyAlignment="1" applyProtection="1">
      <alignment horizontal="center" vertical="center" wrapText="1" shrinkToFit="1"/>
      <protection hidden="1"/>
    </xf>
    <xf numFmtId="0" fontId="66" fillId="0" borderId="31" xfId="45" applyFont="1" applyBorder="1" applyAlignment="1" applyProtection="1">
      <alignment horizontal="center" vertical="center" wrapText="1" shrinkToFit="1"/>
      <protection hidden="1"/>
    </xf>
    <xf numFmtId="0" fontId="66" fillId="0" borderId="29" xfId="45" applyFont="1" applyBorder="1" applyAlignment="1" applyProtection="1">
      <alignment horizontal="center" vertical="center" wrapText="1" shrinkToFit="1"/>
      <protection hidden="1"/>
    </xf>
    <xf numFmtId="0" fontId="66" fillId="0" borderId="30" xfId="45" applyFont="1" applyBorder="1" applyAlignment="1" applyProtection="1">
      <alignment horizontal="center" vertical="center" wrapText="1" shrinkToFit="1"/>
      <protection hidden="1"/>
    </xf>
    <xf numFmtId="0" fontId="66" fillId="0" borderId="37" xfId="45" applyFont="1" applyBorder="1" applyAlignment="1" applyProtection="1">
      <alignment horizontal="center" vertical="center"/>
      <protection hidden="1"/>
    </xf>
    <xf numFmtId="0" fontId="66" fillId="0" borderId="38" xfId="45" applyFont="1" applyBorder="1" applyAlignment="1" applyProtection="1">
      <alignment horizontal="center" vertical="center"/>
      <protection hidden="1"/>
    </xf>
    <xf numFmtId="0" fontId="66" fillId="0" borderId="39" xfId="45" applyFont="1" applyBorder="1" applyAlignment="1" applyProtection="1">
      <alignment horizontal="center" vertical="center"/>
      <protection hidden="1"/>
    </xf>
    <xf numFmtId="0" fontId="66" fillId="0" borderId="40" xfId="45" applyFont="1" applyBorder="1" applyAlignment="1" applyProtection="1">
      <alignment horizontal="center" vertical="center"/>
      <protection hidden="1"/>
    </xf>
    <xf numFmtId="0" fontId="66" fillId="0" borderId="41" xfId="45" applyFont="1" applyBorder="1" applyAlignment="1" applyProtection="1">
      <alignment horizontal="center" vertical="center"/>
      <protection hidden="1"/>
    </xf>
    <xf numFmtId="0" fontId="66" fillId="0" borderId="42" xfId="45" applyFont="1" applyBorder="1" applyAlignment="1" applyProtection="1">
      <alignment horizontal="center" vertical="center"/>
      <protection hidden="1"/>
    </xf>
    <xf numFmtId="0" fontId="66" fillId="0" borderId="37" xfId="45" applyFont="1" applyBorder="1" applyAlignment="1" applyProtection="1">
      <alignment horizontal="center" vertical="center" shrinkToFit="1"/>
      <protection hidden="1"/>
    </xf>
    <xf numFmtId="0" fontId="66" fillId="0" borderId="38" xfId="45" applyFont="1" applyBorder="1" applyAlignment="1" applyProtection="1">
      <alignment horizontal="center" vertical="center" shrinkToFit="1"/>
      <protection hidden="1"/>
    </xf>
    <xf numFmtId="0" fontId="66" fillId="0" borderId="39" xfId="45" applyFont="1" applyBorder="1" applyAlignment="1" applyProtection="1">
      <alignment horizontal="center" vertical="center" shrinkToFit="1"/>
      <protection hidden="1"/>
    </xf>
    <xf numFmtId="0" fontId="66" fillId="0" borderId="40" xfId="45" applyFont="1" applyBorder="1" applyAlignment="1" applyProtection="1">
      <alignment horizontal="center" vertical="center" shrinkToFit="1"/>
      <protection hidden="1"/>
    </xf>
    <xf numFmtId="0" fontId="66" fillId="0" borderId="41" xfId="45" applyFont="1" applyBorder="1" applyAlignment="1" applyProtection="1">
      <alignment horizontal="center" vertical="center" shrinkToFit="1"/>
      <protection hidden="1"/>
    </xf>
    <xf numFmtId="0" fontId="66" fillId="0" borderId="42" xfId="45" applyFont="1" applyBorder="1" applyAlignment="1" applyProtection="1">
      <alignment horizontal="center" vertical="center" shrinkToFit="1"/>
      <protection hidden="1"/>
    </xf>
    <xf numFmtId="0" fontId="213" fillId="39" borderId="0" xfId="379" applyFont="1" applyFill="1" applyAlignment="1">
      <alignment horizontal="left" vertical="center"/>
    </xf>
    <xf numFmtId="169" fontId="34" fillId="18" borderId="0" xfId="41" applyNumberFormat="1" applyFont="1" applyFill="1" applyAlignment="1">
      <alignment horizontal="center"/>
    </xf>
    <xf numFmtId="169" fontId="34" fillId="0" borderId="0" xfId="41" applyNumberFormat="1" applyFont="1" applyAlignment="1">
      <alignment horizontal="center"/>
    </xf>
    <xf numFmtId="169" fontId="35" fillId="18" borderId="0" xfId="41" applyNumberFormat="1" applyFont="1" applyFill="1" applyAlignment="1">
      <alignment horizontal="center"/>
    </xf>
    <xf numFmtId="0" fontId="194" fillId="41" borderId="13" xfId="0" applyFont="1" applyFill="1" applyBorder="1" applyAlignment="1">
      <alignment horizontal="center"/>
    </xf>
    <xf numFmtId="0" fontId="194" fillId="41" borderId="63" xfId="0" applyFont="1" applyFill="1" applyBorder="1" applyAlignment="1">
      <alignment horizontal="center"/>
    </xf>
    <xf numFmtId="2" fontId="194" fillId="41" borderId="64" xfId="0" applyNumberFormat="1" applyFont="1" applyFill="1" applyBorder="1" applyAlignment="1">
      <alignment horizontal="center"/>
    </xf>
    <xf numFmtId="2" fontId="194" fillId="41" borderId="13" xfId="0" applyNumberFormat="1" applyFont="1" applyFill="1" applyBorder="1" applyAlignment="1">
      <alignment horizontal="center"/>
    </xf>
    <xf numFmtId="2" fontId="194" fillId="41" borderId="63" xfId="0" applyNumberFormat="1" applyFont="1" applyFill="1" applyBorder="1" applyAlignment="1">
      <alignment horizontal="center"/>
    </xf>
    <xf numFmtId="0" fontId="194" fillId="41" borderId="55" xfId="0" applyFont="1" applyFill="1" applyBorder="1" applyAlignment="1">
      <alignment horizontal="center"/>
    </xf>
    <xf numFmtId="0" fontId="171" fillId="41" borderId="13" xfId="0" applyFont="1" applyFill="1" applyBorder="1" applyAlignment="1">
      <alignment horizontal="center"/>
    </xf>
    <xf numFmtId="0" fontId="171" fillId="41" borderId="63" xfId="0" applyFont="1" applyFill="1" applyBorder="1" applyAlignment="1">
      <alignment horizontal="center"/>
    </xf>
    <xf numFmtId="2" fontId="171" fillId="41" borderId="64" xfId="0" applyNumberFormat="1" applyFont="1" applyFill="1" applyBorder="1" applyAlignment="1">
      <alignment horizontal="center"/>
    </xf>
    <xf numFmtId="2" fontId="171" fillId="41" borderId="63" xfId="0" applyNumberFormat="1" applyFont="1" applyFill="1" applyBorder="1" applyAlignment="1">
      <alignment horizontal="center"/>
    </xf>
  </cellXfs>
  <cellStyles count="392">
    <cellStyle name="_%(SignOnly)" xfId="58" xr:uid="{00000000-0005-0000-0000-000000000000}"/>
    <cellStyle name="_%(SignSpaceOnly)" xfId="59" xr:uid="{00000000-0005-0000-0000-000001000000}"/>
    <cellStyle name="_Comma" xfId="60" xr:uid="{00000000-0005-0000-0000-000002000000}"/>
    <cellStyle name="_Comma_01 adj for merger plan" xfId="61" xr:uid="{00000000-0005-0000-0000-000003000000}"/>
    <cellStyle name="_Comma_Ability to Pay Analysis" xfId="62" xr:uid="{00000000-0005-0000-0000-000004000000}"/>
    <cellStyle name="_Comma_AFL" xfId="63" xr:uid="{00000000-0005-0000-0000-000005000000}"/>
    <cellStyle name="_Comma_AIZ" xfId="64" xr:uid="{00000000-0005-0000-0000-000006000000}"/>
    <cellStyle name="_Comma_AIZ04-Quantum2" xfId="65" xr:uid="{00000000-0005-0000-0000-000007000000}"/>
    <cellStyle name="_Comma_AMP" xfId="66" xr:uid="{00000000-0005-0000-0000-000008000000}"/>
    <cellStyle name="_Comma_Book1" xfId="67" xr:uid="{00000000-0005-0000-0000-000009000000}"/>
    <cellStyle name="_Comma_Book3" xfId="68" xr:uid="{00000000-0005-0000-0000-00000A000000}"/>
    <cellStyle name="_Comma_CNO" xfId="69" xr:uid="{00000000-0005-0000-0000-00000B000000}"/>
    <cellStyle name="_Comma_CNO04" xfId="70" xr:uid="{00000000-0005-0000-0000-00000C000000}"/>
    <cellStyle name="_Comma_DCF Alexander Forbes" xfId="71" xr:uid="{00000000-0005-0000-0000-00000D000000}"/>
    <cellStyle name="_Comma_fmbi counties" xfId="72" xr:uid="{00000000-0005-0000-0000-00000E000000}"/>
    <cellStyle name="_Comma_FMBI MBHI Graphs" xfId="73" xr:uid="{00000000-0005-0000-0000-00000F000000}"/>
    <cellStyle name="_Comma_FMBI MBHI Graphs 07102001" xfId="74" xr:uid="{00000000-0005-0000-0000-000010000000}"/>
    <cellStyle name="_Comma_FMBI MBHI Graphs_7601" xfId="75" xr:uid="{00000000-0005-0000-0000-000011000000}"/>
    <cellStyle name="_Comma_genworth model" xfId="76" xr:uid="{00000000-0005-0000-0000-000012000000}"/>
    <cellStyle name="_Comma_Insurance Brokerage CSC_1Q2002" xfId="77" xr:uid="{00000000-0005-0000-0000-000013000000}"/>
    <cellStyle name="_Comma_JP_LNC_spread_monitor (2)" xfId="78" xr:uid="{00000000-0005-0000-0000-000014000000}"/>
    <cellStyle name="_Comma_NFP" xfId="79" xr:uid="{00000000-0005-0000-0000-000015000000}"/>
    <cellStyle name="_Comma_NFS" xfId="80" xr:uid="{00000000-0005-0000-0000-000016000000}"/>
    <cellStyle name="_Comma_Overview3" xfId="81" xr:uid="{00000000-0005-0000-0000-000017000000}"/>
    <cellStyle name="_Comma_phil data" xfId="82" xr:uid="{00000000-0005-0000-0000-000018000000}"/>
    <cellStyle name="_Comma_Price Performance Charts" xfId="83" xr:uid="{00000000-0005-0000-0000-000019000000}"/>
    <cellStyle name="_Comma_Quarterly Review by Company" xfId="84" xr:uid="{00000000-0005-0000-0000-00001A000000}"/>
    <cellStyle name="_Comma_SFG Data File" xfId="85" xr:uid="{00000000-0005-0000-0000-00001B000000}"/>
    <cellStyle name="_Comma_Sheet1" xfId="86" xr:uid="{00000000-0005-0000-0000-00001C000000}"/>
    <cellStyle name="_Comma_Stock-QTR1 FDS" xfId="87" xr:uid="{00000000-0005-0000-0000-00001D000000}"/>
    <cellStyle name="_Comma_Updated Valuation Changes" xfId="88" xr:uid="{00000000-0005-0000-0000-00001E000000}"/>
    <cellStyle name="_Comma_Valuation Graphs" xfId="89" xr:uid="{00000000-0005-0000-0000-00001F000000}"/>
    <cellStyle name="_Comma_xratio - historical mkt val" xfId="90" xr:uid="{00000000-0005-0000-0000-000020000000}"/>
    <cellStyle name="_Currency" xfId="91" xr:uid="{00000000-0005-0000-0000-000021000000}"/>
    <cellStyle name="_Currency_01 adj for merger plan" xfId="92" xr:uid="{00000000-0005-0000-0000-000022000000}"/>
    <cellStyle name="_Currency_Ability to Pay Analysis" xfId="93" xr:uid="{00000000-0005-0000-0000-000023000000}"/>
    <cellStyle name="_Currency_AFL" xfId="94" xr:uid="{00000000-0005-0000-0000-000024000000}"/>
    <cellStyle name="_Currency_AIZ" xfId="95" xr:uid="{00000000-0005-0000-0000-000025000000}"/>
    <cellStyle name="_Currency_AMP" xfId="96" xr:uid="{00000000-0005-0000-0000-000026000000}"/>
    <cellStyle name="_Currency_Balance Sheet" xfId="97" xr:uid="{00000000-0005-0000-0000-000027000000}"/>
    <cellStyle name="_Currency_Book1" xfId="98" xr:uid="{00000000-0005-0000-0000-000028000000}"/>
    <cellStyle name="_Currency_Book29" xfId="99" xr:uid="{00000000-0005-0000-0000-000029000000}"/>
    <cellStyle name="_Currency_Book3" xfId="100" xr:uid="{00000000-0005-0000-0000-00002A000000}"/>
    <cellStyle name="_Currency_Book3_1" xfId="101" xr:uid="{00000000-0005-0000-0000-00002B000000}"/>
    <cellStyle name="_Currency_CNO" xfId="102" xr:uid="{00000000-0005-0000-0000-00002C000000}"/>
    <cellStyle name="_Currency_DCF Alexander Forbes" xfId="103" xr:uid="{00000000-0005-0000-0000-00002D000000}"/>
    <cellStyle name="_Currency_fmbi counties" xfId="104" xr:uid="{00000000-0005-0000-0000-00002E000000}"/>
    <cellStyle name="_Currency_FMBI MBHI Graphs" xfId="105" xr:uid="{00000000-0005-0000-0000-00002F000000}"/>
    <cellStyle name="_Currency_FMBI MBHI Graphs 07102001" xfId="106" xr:uid="{00000000-0005-0000-0000-000030000000}"/>
    <cellStyle name="_Currency_FMBI MBHI Graphs_7601" xfId="107" xr:uid="{00000000-0005-0000-0000-000031000000}"/>
    <cellStyle name="_Currency_GNW" xfId="108" xr:uid="{00000000-0005-0000-0000-000032000000}"/>
    <cellStyle name="_Currency_Insurance Brokerage CSC_1Q2002" xfId="109" xr:uid="{00000000-0005-0000-0000-000033000000}"/>
    <cellStyle name="_Currency_JP" xfId="110" xr:uid="{00000000-0005-0000-0000-000034000000}"/>
    <cellStyle name="_Currency_LNC" xfId="111" xr:uid="{00000000-0005-0000-0000-000035000000}"/>
    <cellStyle name="_Currency_MET" xfId="112" xr:uid="{00000000-0005-0000-0000-000036000000}"/>
    <cellStyle name="_Currency_MET04" xfId="113" xr:uid="{00000000-0005-0000-0000-000037000000}"/>
    <cellStyle name="_Currency_NFS" xfId="114" xr:uid="{00000000-0005-0000-0000-000038000000}"/>
    <cellStyle name="_Currency_Overview3" xfId="115" xr:uid="{00000000-0005-0000-0000-000039000000}"/>
    <cellStyle name="_Currency_phil data" xfId="116" xr:uid="{00000000-0005-0000-0000-00003A000000}"/>
    <cellStyle name="_Currency_Price Performance Charts" xfId="117" xr:uid="{00000000-0005-0000-0000-00003B000000}"/>
    <cellStyle name="_Currency_PRU" xfId="118" xr:uid="{00000000-0005-0000-0000-00003C000000}"/>
    <cellStyle name="_Currency_PRU04" xfId="119" xr:uid="{00000000-0005-0000-0000-00003D000000}"/>
    <cellStyle name="_Currency_RiskReward" xfId="120" xr:uid="{00000000-0005-0000-0000-00003E000000}"/>
    <cellStyle name="_Currency_SFG" xfId="121" xr:uid="{00000000-0005-0000-0000-00003F000000}"/>
    <cellStyle name="_Currency_Sheet1" xfId="122" xr:uid="{00000000-0005-0000-0000-000040000000}"/>
    <cellStyle name="_Currency_Stock-QTR1 FDS" xfId="123" xr:uid="{00000000-0005-0000-0000-000041000000}"/>
    <cellStyle name="_Currency_TMK" xfId="124" xr:uid="{00000000-0005-0000-0000-000042000000}"/>
    <cellStyle name="_Currency_Updated Valuation Changes" xfId="125" xr:uid="{00000000-0005-0000-0000-000043000000}"/>
    <cellStyle name="_Currency_Valuation Graphs" xfId="126" xr:uid="{00000000-0005-0000-0000-000044000000}"/>
    <cellStyle name="_Currency_xratio - historical mkt val" xfId="127" xr:uid="{00000000-0005-0000-0000-000045000000}"/>
    <cellStyle name="_CurrencySpace" xfId="128" xr:uid="{00000000-0005-0000-0000-000046000000}"/>
    <cellStyle name="_CurrencySpace_01 adj for merger plan" xfId="129" xr:uid="{00000000-0005-0000-0000-000047000000}"/>
    <cellStyle name="_CurrencySpace_Ability to Pay Analysis" xfId="130" xr:uid="{00000000-0005-0000-0000-000048000000}"/>
    <cellStyle name="_CurrencySpace_AFL" xfId="131" xr:uid="{00000000-0005-0000-0000-000049000000}"/>
    <cellStyle name="_CurrencySpace_AIZ" xfId="132" xr:uid="{00000000-0005-0000-0000-00004A000000}"/>
    <cellStyle name="_CurrencySpace_AMP" xfId="133" xr:uid="{00000000-0005-0000-0000-00004B000000}"/>
    <cellStyle name="_CurrencySpace_Balance Sheet" xfId="134" xr:uid="{00000000-0005-0000-0000-00004C000000}"/>
    <cellStyle name="_CurrencySpace_Book1" xfId="135" xr:uid="{00000000-0005-0000-0000-00004D000000}"/>
    <cellStyle name="_CurrencySpace_Book29" xfId="136" xr:uid="{00000000-0005-0000-0000-00004E000000}"/>
    <cellStyle name="_CurrencySpace_Book3" xfId="137" xr:uid="{00000000-0005-0000-0000-00004F000000}"/>
    <cellStyle name="_CurrencySpace_Book3_1" xfId="138" xr:uid="{00000000-0005-0000-0000-000050000000}"/>
    <cellStyle name="_CurrencySpace_CNO" xfId="139" xr:uid="{00000000-0005-0000-0000-000051000000}"/>
    <cellStyle name="_CurrencySpace_DCF Alexander Forbes" xfId="140" xr:uid="{00000000-0005-0000-0000-000052000000}"/>
    <cellStyle name="_CurrencySpace_fmbi counties" xfId="141" xr:uid="{00000000-0005-0000-0000-000053000000}"/>
    <cellStyle name="_CurrencySpace_FMBI MBHI Graphs" xfId="142" xr:uid="{00000000-0005-0000-0000-000054000000}"/>
    <cellStyle name="_CurrencySpace_FMBI MBHI Graphs 07102001" xfId="143" xr:uid="{00000000-0005-0000-0000-000055000000}"/>
    <cellStyle name="_CurrencySpace_FMBI MBHI Graphs_7601" xfId="144" xr:uid="{00000000-0005-0000-0000-000056000000}"/>
    <cellStyle name="_CurrencySpace_GNW" xfId="145" xr:uid="{00000000-0005-0000-0000-000057000000}"/>
    <cellStyle name="_CurrencySpace_Insurance Brokerage CSC_1Q2002" xfId="146" xr:uid="{00000000-0005-0000-0000-000058000000}"/>
    <cellStyle name="_CurrencySpace_JP" xfId="147" xr:uid="{00000000-0005-0000-0000-000059000000}"/>
    <cellStyle name="_CurrencySpace_LNC" xfId="148" xr:uid="{00000000-0005-0000-0000-00005A000000}"/>
    <cellStyle name="_CurrencySpace_MET" xfId="149" xr:uid="{00000000-0005-0000-0000-00005B000000}"/>
    <cellStyle name="_CurrencySpace_MET04" xfId="150" xr:uid="{00000000-0005-0000-0000-00005C000000}"/>
    <cellStyle name="_CurrencySpace_NFS" xfId="151" xr:uid="{00000000-0005-0000-0000-00005D000000}"/>
    <cellStyle name="_CurrencySpace_Overview3" xfId="152" xr:uid="{00000000-0005-0000-0000-00005E000000}"/>
    <cellStyle name="_CurrencySpace_phil data" xfId="153" xr:uid="{00000000-0005-0000-0000-00005F000000}"/>
    <cellStyle name="_CurrencySpace_Price Performance Charts" xfId="154" xr:uid="{00000000-0005-0000-0000-000060000000}"/>
    <cellStyle name="_CurrencySpace_PRU" xfId="155" xr:uid="{00000000-0005-0000-0000-000061000000}"/>
    <cellStyle name="_CurrencySpace_PRU04" xfId="156" xr:uid="{00000000-0005-0000-0000-000062000000}"/>
    <cellStyle name="_CurrencySpace_RiskReward" xfId="157" xr:uid="{00000000-0005-0000-0000-000063000000}"/>
    <cellStyle name="_CurrencySpace_SFG" xfId="158" xr:uid="{00000000-0005-0000-0000-000064000000}"/>
    <cellStyle name="_CurrencySpace_Sheet1" xfId="159" xr:uid="{00000000-0005-0000-0000-000065000000}"/>
    <cellStyle name="_CurrencySpace_Stock-QTR1 FDS" xfId="160" xr:uid="{00000000-0005-0000-0000-000066000000}"/>
    <cellStyle name="_CurrencySpace_TMK" xfId="161" xr:uid="{00000000-0005-0000-0000-000067000000}"/>
    <cellStyle name="_CurrencySpace_Updated Valuation Changes" xfId="162" xr:uid="{00000000-0005-0000-0000-000068000000}"/>
    <cellStyle name="_CurrencySpace_Valuation Graphs" xfId="163" xr:uid="{00000000-0005-0000-0000-000069000000}"/>
    <cellStyle name="_CurrencySpace_xratio - historical mkt val" xfId="164" xr:uid="{00000000-0005-0000-0000-00006A000000}"/>
    <cellStyle name="_Dollar" xfId="165" xr:uid="{00000000-0005-0000-0000-00006B000000}"/>
    <cellStyle name="_Euro" xfId="166" xr:uid="{00000000-0005-0000-0000-00006C000000}"/>
    <cellStyle name="_Heading" xfId="167" xr:uid="{00000000-0005-0000-0000-00006D000000}"/>
    <cellStyle name="_Heading_prestemp" xfId="168" xr:uid="{00000000-0005-0000-0000-00006E000000}"/>
    <cellStyle name="_Highlight" xfId="169" xr:uid="{00000000-0005-0000-0000-00006F000000}"/>
    <cellStyle name="_Multiple" xfId="170" xr:uid="{00000000-0005-0000-0000-000070000000}"/>
    <cellStyle name="_Multiple_01 adj for merger plan" xfId="171" xr:uid="{00000000-0005-0000-0000-000071000000}"/>
    <cellStyle name="_Multiple_Ability to Pay Analysis" xfId="172" xr:uid="{00000000-0005-0000-0000-000072000000}"/>
    <cellStyle name="_Multiple_AFL" xfId="173" xr:uid="{00000000-0005-0000-0000-000073000000}"/>
    <cellStyle name="_Multiple_AIZ" xfId="174" xr:uid="{00000000-0005-0000-0000-000074000000}"/>
    <cellStyle name="_Multiple_AMP" xfId="175" xr:uid="{00000000-0005-0000-0000-000075000000}"/>
    <cellStyle name="_Multiple_Balance Sheet" xfId="176" xr:uid="{00000000-0005-0000-0000-000076000000}"/>
    <cellStyle name="_Multiple_Book1" xfId="177" xr:uid="{00000000-0005-0000-0000-000077000000}"/>
    <cellStyle name="_Multiple_Book29" xfId="178" xr:uid="{00000000-0005-0000-0000-000078000000}"/>
    <cellStyle name="_Multiple_Book3" xfId="179" xr:uid="{00000000-0005-0000-0000-000079000000}"/>
    <cellStyle name="_Multiple_Book3_1" xfId="180" xr:uid="{00000000-0005-0000-0000-00007A000000}"/>
    <cellStyle name="_Multiple_CNO" xfId="181" xr:uid="{00000000-0005-0000-0000-00007B000000}"/>
    <cellStyle name="_Multiple_DCF Alexander Forbes" xfId="182" xr:uid="{00000000-0005-0000-0000-00007C000000}"/>
    <cellStyle name="_Multiple_fmbi counties" xfId="183" xr:uid="{00000000-0005-0000-0000-00007D000000}"/>
    <cellStyle name="_Multiple_FMBI MBHI Graphs" xfId="184" xr:uid="{00000000-0005-0000-0000-00007E000000}"/>
    <cellStyle name="_Multiple_FMBI MBHI Graphs 07102001" xfId="185" xr:uid="{00000000-0005-0000-0000-00007F000000}"/>
    <cellStyle name="_Multiple_FMBI MBHI Graphs_7601" xfId="186" xr:uid="{00000000-0005-0000-0000-000080000000}"/>
    <cellStyle name="_Multiple_GNW" xfId="187" xr:uid="{00000000-0005-0000-0000-000081000000}"/>
    <cellStyle name="_Multiple_Insurance Brokerage CSC_1Q2002" xfId="188" xr:uid="{00000000-0005-0000-0000-000082000000}"/>
    <cellStyle name="_Multiple_JP" xfId="189" xr:uid="{00000000-0005-0000-0000-000083000000}"/>
    <cellStyle name="_Multiple_LNC" xfId="190" xr:uid="{00000000-0005-0000-0000-000084000000}"/>
    <cellStyle name="_Multiple_MET" xfId="191" xr:uid="{00000000-0005-0000-0000-000085000000}"/>
    <cellStyle name="_Multiple_MET04" xfId="192" xr:uid="{00000000-0005-0000-0000-000086000000}"/>
    <cellStyle name="_Multiple_NFS" xfId="193" xr:uid="{00000000-0005-0000-0000-000087000000}"/>
    <cellStyle name="_Multiple_Overview3" xfId="194" xr:uid="{00000000-0005-0000-0000-000088000000}"/>
    <cellStyle name="_Multiple_phil data" xfId="195" xr:uid="{00000000-0005-0000-0000-000089000000}"/>
    <cellStyle name="_Multiple_Price Performance Charts" xfId="196" xr:uid="{00000000-0005-0000-0000-00008A000000}"/>
    <cellStyle name="_Multiple_PRU" xfId="197" xr:uid="{00000000-0005-0000-0000-00008B000000}"/>
    <cellStyle name="_Multiple_PRU04" xfId="198" xr:uid="{00000000-0005-0000-0000-00008C000000}"/>
    <cellStyle name="_Multiple_RiskReward" xfId="199" xr:uid="{00000000-0005-0000-0000-00008D000000}"/>
    <cellStyle name="_Multiple_SFG" xfId="200" xr:uid="{00000000-0005-0000-0000-00008E000000}"/>
    <cellStyle name="_Multiple_Sheet1" xfId="201" xr:uid="{00000000-0005-0000-0000-00008F000000}"/>
    <cellStyle name="_Multiple_Stock-QTR1 FDS" xfId="202" xr:uid="{00000000-0005-0000-0000-000090000000}"/>
    <cellStyle name="_Multiple_TMK" xfId="203" xr:uid="{00000000-0005-0000-0000-000091000000}"/>
    <cellStyle name="_Multiple_Updated Valuation Changes" xfId="204" xr:uid="{00000000-0005-0000-0000-000092000000}"/>
    <cellStyle name="_Multiple_Valuation Graphs" xfId="205" xr:uid="{00000000-0005-0000-0000-000093000000}"/>
    <cellStyle name="_Multiple_xratio - historical mkt val" xfId="206" xr:uid="{00000000-0005-0000-0000-000094000000}"/>
    <cellStyle name="_MultipleSpace" xfId="207" xr:uid="{00000000-0005-0000-0000-000095000000}"/>
    <cellStyle name="_MultipleSpace_01 adj for merger plan" xfId="208" xr:uid="{00000000-0005-0000-0000-000096000000}"/>
    <cellStyle name="_MultipleSpace_Ability to Pay Analysis" xfId="209" xr:uid="{00000000-0005-0000-0000-000097000000}"/>
    <cellStyle name="_MultipleSpace_AFL" xfId="210" xr:uid="{00000000-0005-0000-0000-000098000000}"/>
    <cellStyle name="_MultipleSpace_AIZ" xfId="211" xr:uid="{00000000-0005-0000-0000-000099000000}"/>
    <cellStyle name="_MultipleSpace_AMP" xfId="212" xr:uid="{00000000-0005-0000-0000-00009A000000}"/>
    <cellStyle name="_MultipleSpace_Balance Sheet" xfId="213" xr:uid="{00000000-0005-0000-0000-00009B000000}"/>
    <cellStyle name="_MultipleSpace_Book1" xfId="214" xr:uid="{00000000-0005-0000-0000-00009C000000}"/>
    <cellStyle name="_MultipleSpace_Book29" xfId="215" xr:uid="{00000000-0005-0000-0000-00009D000000}"/>
    <cellStyle name="_MultipleSpace_Book3" xfId="216" xr:uid="{00000000-0005-0000-0000-00009E000000}"/>
    <cellStyle name="_MultipleSpace_Book3_1" xfId="217" xr:uid="{00000000-0005-0000-0000-00009F000000}"/>
    <cellStyle name="_MultipleSpace_CNO" xfId="218" xr:uid="{00000000-0005-0000-0000-0000A0000000}"/>
    <cellStyle name="_MultipleSpace_DCF Alexander Forbes" xfId="219" xr:uid="{00000000-0005-0000-0000-0000A1000000}"/>
    <cellStyle name="_MultipleSpace_fmbi counties" xfId="220" xr:uid="{00000000-0005-0000-0000-0000A2000000}"/>
    <cellStyle name="_MultipleSpace_FMBI MBHI Graphs" xfId="221" xr:uid="{00000000-0005-0000-0000-0000A3000000}"/>
    <cellStyle name="_MultipleSpace_FMBI MBHI Graphs 07102001" xfId="222" xr:uid="{00000000-0005-0000-0000-0000A4000000}"/>
    <cellStyle name="_MultipleSpace_FMBI MBHI Graphs_7601" xfId="223" xr:uid="{00000000-0005-0000-0000-0000A5000000}"/>
    <cellStyle name="_MultipleSpace_GNW" xfId="224" xr:uid="{00000000-0005-0000-0000-0000A6000000}"/>
    <cellStyle name="_MultipleSpace_Insurance Brokerage CSC_1Q2002" xfId="225" xr:uid="{00000000-0005-0000-0000-0000A7000000}"/>
    <cellStyle name="_MultipleSpace_JP" xfId="226" xr:uid="{00000000-0005-0000-0000-0000A8000000}"/>
    <cellStyle name="_MultipleSpace_LNC" xfId="227" xr:uid="{00000000-0005-0000-0000-0000A9000000}"/>
    <cellStyle name="_MultipleSpace_MET" xfId="228" xr:uid="{00000000-0005-0000-0000-0000AA000000}"/>
    <cellStyle name="_MultipleSpace_MET04" xfId="229" xr:uid="{00000000-0005-0000-0000-0000AB000000}"/>
    <cellStyle name="_MultipleSpace_NFS" xfId="230" xr:uid="{00000000-0005-0000-0000-0000AC000000}"/>
    <cellStyle name="_MultipleSpace_Overview3" xfId="231" xr:uid="{00000000-0005-0000-0000-0000AD000000}"/>
    <cellStyle name="_MultipleSpace_phil data" xfId="232" xr:uid="{00000000-0005-0000-0000-0000AE000000}"/>
    <cellStyle name="_MultipleSpace_Price Performance Charts" xfId="233" xr:uid="{00000000-0005-0000-0000-0000AF000000}"/>
    <cellStyle name="_MultipleSpace_PRU" xfId="234" xr:uid="{00000000-0005-0000-0000-0000B0000000}"/>
    <cellStyle name="_MultipleSpace_PRU04" xfId="235" xr:uid="{00000000-0005-0000-0000-0000B1000000}"/>
    <cellStyle name="_MultipleSpace_RiskReward" xfId="236" xr:uid="{00000000-0005-0000-0000-0000B2000000}"/>
    <cellStyle name="_MultipleSpace_SFG" xfId="237" xr:uid="{00000000-0005-0000-0000-0000B3000000}"/>
    <cellStyle name="_MultipleSpace_Sheet1" xfId="238" xr:uid="{00000000-0005-0000-0000-0000B4000000}"/>
    <cellStyle name="_MultipleSpace_Stock-QTR1 FDS" xfId="239" xr:uid="{00000000-0005-0000-0000-0000B5000000}"/>
    <cellStyle name="_MultipleSpace_TMK" xfId="240" xr:uid="{00000000-0005-0000-0000-0000B6000000}"/>
    <cellStyle name="_MultipleSpace_Updated Valuation Changes" xfId="241" xr:uid="{00000000-0005-0000-0000-0000B7000000}"/>
    <cellStyle name="_MultipleSpace_Valuation Graphs" xfId="242" xr:uid="{00000000-0005-0000-0000-0000B8000000}"/>
    <cellStyle name="_MultipleSpace_xratio - historical mkt val" xfId="243" xr:uid="{00000000-0005-0000-0000-0000B9000000}"/>
    <cellStyle name="_Percent" xfId="244" xr:uid="{00000000-0005-0000-0000-0000BA000000}"/>
    <cellStyle name="_Percent_DCF Alexander Forbes" xfId="245" xr:uid="{00000000-0005-0000-0000-0000BB000000}"/>
    <cellStyle name="_Percent_FMBI MBHI Graphs" xfId="246" xr:uid="{00000000-0005-0000-0000-0000BC000000}"/>
    <cellStyle name="_Percent_FMBI MBHI Graphs 07102001" xfId="247" xr:uid="{00000000-0005-0000-0000-0000BD000000}"/>
    <cellStyle name="_Percent_FMBI MBHI Graphs_7601" xfId="248" xr:uid="{00000000-0005-0000-0000-0000BE000000}"/>
    <cellStyle name="_PercentSpace" xfId="249" xr:uid="{00000000-0005-0000-0000-0000BF000000}"/>
    <cellStyle name="_PercentSpace_01 adj for merger plan" xfId="250" xr:uid="{00000000-0005-0000-0000-0000C0000000}"/>
    <cellStyle name="_PercentSpace_DCF Alexander Forbes" xfId="251" xr:uid="{00000000-0005-0000-0000-0000C1000000}"/>
    <cellStyle name="_PercentSpace_FMBI MBHI Graphs" xfId="252" xr:uid="{00000000-0005-0000-0000-0000C2000000}"/>
    <cellStyle name="_PercentSpace_FMBI MBHI Graphs 07102001" xfId="253" xr:uid="{00000000-0005-0000-0000-0000C3000000}"/>
    <cellStyle name="_PercentSpace_FMBI MBHI Graphs_7601" xfId="254" xr:uid="{00000000-0005-0000-0000-0000C4000000}"/>
    <cellStyle name="_SubHeading" xfId="255" xr:uid="{00000000-0005-0000-0000-0000C5000000}"/>
    <cellStyle name="_SubHeading_Ability to Pay Analysis" xfId="256" xr:uid="{00000000-0005-0000-0000-0000C6000000}"/>
    <cellStyle name="_SubHeading_BankUnited Model" xfId="257" xr:uid="{00000000-0005-0000-0000-0000C7000000}"/>
    <cellStyle name="_SubHeading_fmbi counties" xfId="258" xr:uid="{00000000-0005-0000-0000-0000C8000000}"/>
    <cellStyle name="_SubHeading_FMBI MBHI Graphs" xfId="259" xr:uid="{00000000-0005-0000-0000-0000C9000000}"/>
    <cellStyle name="_SubHeading_FMBI MBHI Graphs 07102001" xfId="260" xr:uid="{00000000-0005-0000-0000-0000CA000000}"/>
    <cellStyle name="_SubHeading_FMBI MBHI Graphs_7601" xfId="261" xr:uid="{00000000-0005-0000-0000-0000CB000000}"/>
    <cellStyle name="_SubHeading_prestemp" xfId="262" xr:uid="{00000000-0005-0000-0000-0000CC000000}"/>
    <cellStyle name="_SubHeading_prestemp_Insurance Brokerage CSC_1Q2002" xfId="263" xr:uid="{00000000-0005-0000-0000-0000CD000000}"/>
    <cellStyle name="_SubHeading_prestemp_Overview3" xfId="264" xr:uid="{00000000-0005-0000-0000-0000CE000000}"/>
    <cellStyle name="_SubHeading_prestemp_Updated Valuation Changes" xfId="265" xr:uid="{00000000-0005-0000-0000-0000CF000000}"/>
    <cellStyle name="_SubHeading_xratio - historical mkt val" xfId="266" xr:uid="{00000000-0005-0000-0000-0000D0000000}"/>
    <cellStyle name="_Table" xfId="267" xr:uid="{00000000-0005-0000-0000-0000D1000000}"/>
    <cellStyle name="_Table_Ability to Pay Analysis" xfId="268" xr:uid="{00000000-0005-0000-0000-0000D2000000}"/>
    <cellStyle name="_Table_BankUnited Model" xfId="269" xr:uid="{00000000-0005-0000-0000-0000D3000000}"/>
    <cellStyle name="_Table_fmbi counties" xfId="270" xr:uid="{00000000-0005-0000-0000-0000D4000000}"/>
    <cellStyle name="_Table_xratio - historical mkt val" xfId="271" xr:uid="{00000000-0005-0000-0000-0000D5000000}"/>
    <cellStyle name="_TableHead" xfId="272" xr:uid="{00000000-0005-0000-0000-0000D6000000}"/>
    <cellStyle name="_TableRowHead" xfId="273" xr:uid="{00000000-0005-0000-0000-0000D7000000}"/>
    <cellStyle name="_TableSuperHead" xfId="274" xr:uid="{00000000-0005-0000-0000-0000D8000000}"/>
    <cellStyle name="_TableSuperHead_Ability to Pay Analysis" xfId="275" xr:uid="{00000000-0005-0000-0000-0000D9000000}"/>
    <cellStyle name="_TableSuperHead_BankUnited Model" xfId="276" xr:uid="{00000000-0005-0000-0000-0000DA000000}"/>
    <cellStyle name="_TableSuperHead_fmbi counties" xfId="277" xr:uid="{00000000-0005-0000-0000-0000DB000000}"/>
    <cellStyle name="_TableSuperHead_xratio - historical mkt val" xfId="278" xr:uid="{00000000-0005-0000-0000-0000DC0000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ctual data" xfId="279" xr:uid="{00000000-0005-0000-0000-0000F5000000}"/>
    <cellStyle name="Actual year" xfId="280" xr:uid="{00000000-0005-0000-0000-0000F6000000}"/>
    <cellStyle name="Actuals Cells" xfId="281" xr:uid="{00000000-0005-0000-0000-0000F7000000}"/>
    <cellStyle name="AFE" xfId="282" xr:uid="{00000000-0005-0000-0000-0000F8000000}"/>
    <cellStyle name="afl" xfId="283" xr:uid="{00000000-0005-0000-0000-0000F9000000}"/>
    <cellStyle name="Andre's Title" xfId="284" xr:uid="{00000000-0005-0000-0000-0000FA000000}"/>
    <cellStyle name="Bad" xfId="25" builtinId="27" customBuiltin="1"/>
    <cellStyle name="Bad 2" xfId="56" xr:uid="{00000000-0005-0000-0000-0000FC000000}"/>
    <cellStyle name="Blank" xfId="285" xr:uid="{00000000-0005-0000-0000-0000FD000000}"/>
    <cellStyle name="Blue" xfId="286" xr:uid="{00000000-0005-0000-0000-0000FE000000}"/>
    <cellStyle name="Blue Title" xfId="287" xr:uid="{00000000-0005-0000-0000-0000FF000000}"/>
    <cellStyle name="Calc Cells" xfId="288" xr:uid="{00000000-0005-0000-0000-000000010000}"/>
    <cellStyle name="Calculation" xfId="26" builtinId="22" customBuiltin="1"/>
    <cellStyle name="Case" xfId="289" xr:uid="{00000000-0005-0000-0000-000002010000}"/>
    <cellStyle name="Check Cell" xfId="27" builtinId="23" customBuiltin="1"/>
    <cellStyle name="Co. Names" xfId="290" xr:uid="{00000000-0005-0000-0000-000004010000}"/>
    <cellStyle name="Co. Names - Bold" xfId="291" xr:uid="{00000000-0005-0000-0000-000005010000}"/>
    <cellStyle name="Co. Names_Blend" xfId="292" xr:uid="{00000000-0005-0000-0000-000006010000}"/>
    <cellStyle name="Col Head" xfId="293" xr:uid="{00000000-0005-0000-0000-000007010000}"/>
    <cellStyle name="Comma" xfId="28" builtinId="3"/>
    <cellStyle name="Comma 2" xfId="374" xr:uid="{00000000-0005-0000-0000-000009010000}"/>
    <cellStyle name="Comma_TEST Update 1" xfId="29" xr:uid="{00000000-0005-0000-0000-00000A010000}"/>
    <cellStyle name="Comma0" xfId="294" xr:uid="{00000000-0005-0000-0000-00000B010000}"/>
    <cellStyle name="Company name" xfId="295" xr:uid="{00000000-0005-0000-0000-00000C010000}"/>
    <cellStyle name="CompanyTitle" xfId="296" xr:uid="{00000000-0005-0000-0000-00000D010000}"/>
    <cellStyle name="Currency" xfId="378" builtinId="4"/>
    <cellStyle name="Currency [2]" xfId="297" xr:uid="{00000000-0005-0000-0000-00000F010000}"/>
    <cellStyle name="Currency_TEST Update 1" xfId="30" xr:uid="{00000000-0005-0000-0000-000010010000}"/>
    <cellStyle name="Currency0" xfId="298" xr:uid="{00000000-0005-0000-0000-000011010000}"/>
    <cellStyle name="date" xfId="299" xr:uid="{00000000-0005-0000-0000-000012010000}"/>
    <cellStyle name="default" xfId="300" xr:uid="{00000000-0005-0000-0000-000013010000}"/>
    <cellStyle name="Dollar" xfId="301" xr:uid="{00000000-0005-0000-0000-000014010000}"/>
    <cellStyle name="emp" xfId="302" xr:uid="{00000000-0005-0000-0000-000015010000}"/>
    <cellStyle name="Explanatory Text" xfId="31" builtinId="53" customBuiltin="1"/>
    <cellStyle name="External File Cells" xfId="303" xr:uid="{00000000-0005-0000-0000-000017010000}"/>
    <cellStyle name="Fit" xfId="304" xr:uid="{00000000-0005-0000-0000-000018010000}"/>
    <cellStyle name="Fixed" xfId="305" xr:uid="{00000000-0005-0000-0000-000019010000}"/>
    <cellStyle name="Footnotes" xfId="306" xr:uid="{00000000-0005-0000-0000-00001A010000}"/>
    <cellStyle name="Forecast Cells" xfId="307" xr:uid="{00000000-0005-0000-0000-00001B010000}"/>
    <cellStyle name="G1_1999 figures" xfId="308" xr:uid="{00000000-0005-0000-0000-00001C010000}"/>
    <cellStyle name="Good" xfId="32" builtinId="26" customBuiltin="1"/>
    <cellStyle name="Good 2" xfId="54" xr:uid="{00000000-0005-0000-0000-00001E010000}"/>
    <cellStyle name="H_1998_col_head" xfId="309" xr:uid="{00000000-0005-0000-0000-00001F010000}"/>
    <cellStyle name="H_1999_col_head" xfId="310" xr:uid="{00000000-0005-0000-0000-000020010000}"/>
    <cellStyle name="H1_1998 figures" xfId="311" xr:uid="{00000000-0005-0000-0000-000021010000}"/>
    <cellStyle name="Heading" xfId="312" xr:uid="{00000000-0005-0000-0000-000022010000}"/>
    <cellStyle name="Heading 1" xfId="33" builtinId="16" customBuiltin="1"/>
    <cellStyle name="Heading 2" xfId="34" builtinId="17" customBuiltin="1"/>
    <cellStyle name="Heading 3" xfId="35" builtinId="18" customBuiltin="1"/>
    <cellStyle name="Heading 4" xfId="36" builtinId="19" customBuiltin="1"/>
    <cellStyle name="Heading1" xfId="313" xr:uid="{00000000-0005-0000-0000-000027010000}"/>
    <cellStyle name="Input" xfId="37" builtinId="20" customBuiltin="1"/>
    <cellStyle name="Input Cells" xfId="314" xr:uid="{00000000-0005-0000-0000-000029010000}"/>
    <cellStyle name="Item Descriptions" xfId="315" xr:uid="{00000000-0005-0000-0000-00002A010000}"/>
    <cellStyle name="Line" xfId="316" xr:uid="{00000000-0005-0000-0000-00002B010000}"/>
    <cellStyle name="Linked Cell" xfId="38" builtinId="24" customBuiltin="1"/>
    <cellStyle name="Mainhead" xfId="317" xr:uid="{00000000-0005-0000-0000-00002D010000}"/>
    <cellStyle name="Merrill" xfId="318" xr:uid="{00000000-0005-0000-0000-00002E010000}"/>
    <cellStyle name="Mix" xfId="319" xr:uid="{00000000-0005-0000-0000-00002F010000}"/>
    <cellStyle name="Monitor" xfId="320" xr:uid="{00000000-0005-0000-0000-000030010000}"/>
    <cellStyle name="Multiple" xfId="321" xr:uid="{00000000-0005-0000-0000-000031010000}"/>
    <cellStyle name="Neutral" xfId="39" builtinId="28" customBuiltin="1"/>
    <cellStyle name="Neutral 2" xfId="55" xr:uid="{00000000-0005-0000-0000-000033010000}"/>
    <cellStyle name="Normal" xfId="0" builtinId="0"/>
    <cellStyle name="Normal - Style1" xfId="322" xr:uid="{00000000-0005-0000-0000-000035010000}"/>
    <cellStyle name="Normal 101" xfId="375" xr:uid="{00000000-0005-0000-0000-000036010000}"/>
    <cellStyle name="Normal 2" xfId="53" xr:uid="{00000000-0005-0000-0000-000037010000}"/>
    <cellStyle name="Normal 2 2" xfId="373" xr:uid="{00000000-0005-0000-0000-000038010000}"/>
    <cellStyle name="Normal 3" xfId="323" xr:uid="{00000000-0005-0000-0000-000039010000}"/>
    <cellStyle name="Normal 3 3" xfId="389" xr:uid="{861B2221-1409-4EF6-80FB-759F9123ECED}"/>
    <cellStyle name="Normal 4" xfId="377" xr:uid="{00000000-0005-0000-0000-00003A010000}"/>
    <cellStyle name="Normal 5" xfId="381" xr:uid="{00000000-0005-0000-0000-00003B010000}"/>
    <cellStyle name="Normal 6" xfId="386" xr:uid="{9E158606-8103-48B7-BC87-1011BF58B83B}"/>
    <cellStyle name="Normal 7" xfId="388" xr:uid="{573D2144-562B-473A-A13C-D836601F52B7}"/>
    <cellStyle name="Normal 8 3" xfId="382" xr:uid="{00000000-0005-0000-0000-00003C010000}"/>
    <cellStyle name="Normal Cells" xfId="324" xr:uid="{00000000-0005-0000-0000-00003D010000}"/>
    <cellStyle name="Normal_EPS_revision table_WES" xfId="384" xr:uid="{00000000-0005-0000-0000-00003E010000}"/>
    <cellStyle name="Normal_GSANZMigration" xfId="40" xr:uid="{00000000-0005-0000-0000-00003F010000}"/>
    <cellStyle name="Normal_HILEVA" xfId="41" xr:uid="{00000000-0005-0000-0000-000040010000}"/>
    <cellStyle name="Normal_INDUST_TPLATE" xfId="42" xr:uid="{00000000-0005-0000-0000-000041010000}"/>
    <cellStyle name="Normal_MKTVAL" xfId="379" xr:uid="{00000000-0005-0000-0000-000042010000}"/>
    <cellStyle name="Normal_PBLMODEL" xfId="390" xr:uid="{7AE4CA8E-295B-46B3-BEEF-F32BE284CDC0}"/>
    <cellStyle name="Normal_pmeREVN" xfId="383" xr:uid="{00000000-0005-0000-0000-000043010000}"/>
    <cellStyle name="Normal_PROPERTY1" xfId="43" xr:uid="{00000000-0005-0000-0000-000044010000}"/>
    <cellStyle name="Normal_sbcestimate" xfId="372" xr:uid="{00000000-0005-0000-0000-000045010000}"/>
    <cellStyle name="Normal_Sector_Summary_Pack_Eur" xfId="376" xr:uid="{00000000-0005-0000-0000-000046010000}"/>
    <cellStyle name="Normal_TEST" xfId="44" xr:uid="{00000000-0005-0000-0000-000047010000}"/>
    <cellStyle name="Normal_TEST Update 1" xfId="45" xr:uid="{00000000-0005-0000-0000-000048010000}"/>
    <cellStyle name="Normal_TPLATE_VALID" xfId="46" xr:uid="{00000000-0005-0000-0000-000049010000}"/>
    <cellStyle name="Note" xfId="47" builtinId="10" customBuiltin="1"/>
    <cellStyle name="Number" xfId="325" xr:uid="{00000000-0005-0000-0000-00004B010000}"/>
    <cellStyle name="Numbers" xfId="326" xr:uid="{00000000-0005-0000-0000-00004C010000}"/>
    <cellStyle name="Numbers - Bold" xfId="327" xr:uid="{00000000-0005-0000-0000-00004D010000}"/>
    <cellStyle name="Numbers - Bold - Italic" xfId="328" xr:uid="{00000000-0005-0000-0000-00004E010000}"/>
    <cellStyle name="Numbers - Bold_Blend" xfId="329" xr:uid="{00000000-0005-0000-0000-00004F010000}"/>
    <cellStyle name="Numbers - Large" xfId="330" xr:uid="{00000000-0005-0000-0000-000050010000}"/>
    <cellStyle name="Numbers_Comps" xfId="331" xr:uid="{00000000-0005-0000-0000-000051010000}"/>
    <cellStyle name="OSW_ColumnLabels" xfId="332" xr:uid="{00000000-0005-0000-0000-000052010000}"/>
    <cellStyle name="Output" xfId="48" builtinId="21" customBuiltin="1"/>
    <cellStyle name="Output 2" xfId="57" xr:uid="{00000000-0005-0000-0000-000054010000}"/>
    <cellStyle name="Page" xfId="333" xr:uid="{00000000-0005-0000-0000-000055010000}"/>
    <cellStyle name="Page header" xfId="334" xr:uid="{00000000-0005-0000-0000-000056010000}"/>
    <cellStyle name="Percent" xfId="49" builtinId="5"/>
    <cellStyle name="Percent 2" xfId="380" xr:uid="{00000000-0005-0000-0000-000058010000}"/>
    <cellStyle name="Percent 2 2" xfId="385" xr:uid="{00000000-0005-0000-0000-000059010000}"/>
    <cellStyle name="Percent 3" xfId="387" xr:uid="{7ED766F9-487F-4E10-BD18-ED36CC827675}"/>
    <cellStyle name="Percent 3 2" xfId="391" xr:uid="{AAFD731A-E616-4042-AAB3-0AEAFA8522A7}"/>
    <cellStyle name="Percentage" xfId="335" xr:uid="{00000000-0005-0000-0000-00005A010000}"/>
    <cellStyle name="Price" xfId="336" xr:uid="{00000000-0005-0000-0000-00005B010000}"/>
    <cellStyle name="prot" xfId="337" xr:uid="{00000000-0005-0000-0000-00005C010000}"/>
    <cellStyle name="Punto" xfId="338" xr:uid="{00000000-0005-0000-0000-00005D010000}"/>
    <cellStyle name="r" xfId="339" xr:uid="{00000000-0005-0000-0000-00005E010000}"/>
    <cellStyle name="Reuters Cells" xfId="340" xr:uid="{00000000-0005-0000-0000-00005F010000}"/>
    <cellStyle name="s" xfId="341" xr:uid="{00000000-0005-0000-0000-000060010000}"/>
    <cellStyle name="ShadedCells_Database" xfId="342" xr:uid="{00000000-0005-0000-0000-000061010000}"/>
    <cellStyle name="Sheet Title" xfId="343" xr:uid="{00000000-0005-0000-0000-000062010000}"/>
    <cellStyle name="ShOut" xfId="344" xr:uid="{00000000-0005-0000-0000-000063010000}"/>
    <cellStyle name="Style 1" xfId="345" xr:uid="{00000000-0005-0000-0000-000064010000}"/>
    <cellStyle name="Style 2" xfId="346" xr:uid="{00000000-0005-0000-0000-000065010000}"/>
    <cellStyle name="Style 3" xfId="347" xr:uid="{00000000-0005-0000-0000-000066010000}"/>
    <cellStyle name="Style D green" xfId="348" xr:uid="{00000000-0005-0000-0000-000067010000}"/>
    <cellStyle name="Style E" xfId="349" xr:uid="{00000000-0005-0000-0000-000068010000}"/>
    <cellStyle name="Style H" xfId="350" xr:uid="{00000000-0005-0000-0000-000069010000}"/>
    <cellStyle name="Sub total" xfId="351" xr:uid="{00000000-0005-0000-0000-00006A010000}"/>
    <cellStyle name="Sum" xfId="352" xr:uid="{00000000-0005-0000-0000-00006B010000}"/>
    <cellStyle name="Swiss" xfId="353" xr:uid="{00000000-0005-0000-0000-00006C010000}"/>
    <cellStyle name="t" xfId="354" xr:uid="{00000000-0005-0000-0000-00006D010000}"/>
    <cellStyle name="Table end" xfId="355" xr:uid="{00000000-0005-0000-0000-00006E010000}"/>
    <cellStyle name="Table head" xfId="356" xr:uid="{00000000-0005-0000-0000-00006F010000}"/>
    <cellStyle name="table text bold" xfId="357" xr:uid="{00000000-0005-0000-0000-000070010000}"/>
    <cellStyle name="table text bold green" xfId="358" xr:uid="{00000000-0005-0000-0000-000071010000}"/>
    <cellStyle name="table text light" xfId="359" xr:uid="{00000000-0005-0000-0000-000072010000}"/>
    <cellStyle name="Table Title" xfId="360" xr:uid="{00000000-0005-0000-0000-000073010000}"/>
    <cellStyle name="Table Units" xfId="361" xr:uid="{00000000-0005-0000-0000-000074010000}"/>
    <cellStyle name="Time" xfId="362" xr:uid="{00000000-0005-0000-0000-000075010000}"/>
    <cellStyle name="Title" xfId="50" builtinId="15" customBuiltin="1"/>
    <cellStyle name="Title - PROJECT" xfId="363" xr:uid="{00000000-0005-0000-0000-000077010000}"/>
    <cellStyle name="Title - Underline" xfId="364" xr:uid="{00000000-0005-0000-0000-000078010000}"/>
    <cellStyle name="Title1" xfId="365" xr:uid="{00000000-0005-0000-0000-000079010000}"/>
    <cellStyle name="Title2" xfId="366" xr:uid="{00000000-0005-0000-0000-00007A010000}"/>
    <cellStyle name="Titles - Col. Headings" xfId="367" xr:uid="{00000000-0005-0000-0000-00007B010000}"/>
    <cellStyle name="Titles - Other" xfId="368" xr:uid="{00000000-0005-0000-0000-00007C010000}"/>
    <cellStyle name="Total" xfId="51" builtinId="25" customBuiltin="1"/>
    <cellStyle name="unm" xfId="369" xr:uid="{00000000-0005-0000-0000-00007E010000}"/>
    <cellStyle name="Warning Text" xfId="52" builtinId="11" customBuiltin="1"/>
    <cellStyle name="Year" xfId="370" xr:uid="{00000000-0005-0000-0000-000080010000}"/>
    <cellStyle name="Years" xfId="371" xr:uid="{00000000-0005-0000-0000-000081010000}"/>
  </cellStyles>
  <dxfs count="3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patternType="gray125">
          <fgColor rgb="FF92D050"/>
        </patternFill>
      </fill>
      <border>
        <left style="thin">
          <color rgb="FF00B050"/>
        </left>
        <right style="thin">
          <color rgb="FF00B050"/>
        </right>
        <vertical/>
        <horizontal/>
      </border>
    </dxf>
    <dxf>
      <fill>
        <patternFill patternType="gray125">
          <fgColor rgb="FF92D050"/>
        </patternFill>
      </fill>
      <border>
        <left style="thin">
          <color rgb="FF00B050"/>
        </left>
        <right style="thin">
          <color rgb="FF00B050"/>
        </right>
        <vertical/>
        <horizontal/>
      </border>
    </dxf>
    <dxf>
      <fill>
        <patternFill patternType="gray125">
          <fgColor rgb="FF92D050"/>
        </patternFill>
      </fill>
      <border>
        <left style="thin">
          <color rgb="FF00B050"/>
        </left>
        <right style="thin">
          <color rgb="FF00B050"/>
        </right>
        <vertical/>
        <horizontal/>
      </border>
    </dxf>
    <dxf>
      <fill>
        <patternFill patternType="gray125">
          <fgColor rgb="FF92D050"/>
        </patternFill>
      </fill>
      <border>
        <left style="thin">
          <color rgb="FF00B050"/>
        </left>
        <right style="thin">
          <color rgb="FF00B050"/>
        </right>
        <vertical/>
        <horizontal/>
      </border>
    </dxf>
  </dxfs>
  <tableStyles count="1" defaultTableStyle="TableStyleMedium9" defaultPivotStyle="PivotStyleLight16">
    <tableStyle name="Invisible" pivot="0" table="0" count="0" xr9:uid="{AADF1553-2923-490F-A2F2-28424FADBF52}"/>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E76AA"/>
      <rgbColor rgb="00CFD6E6"/>
      <rgbColor rgb="009EADCC"/>
      <rgbColor rgb="00EFF1F6"/>
      <rgbColor rgb="00BFC8DD"/>
      <rgbColor rgb="008E9FC4"/>
      <rgbColor rgb="00DFE4EE"/>
      <rgbColor rgb="00AEBAD5"/>
      <rgbColor rgb="00000000"/>
      <rgbColor rgb="00AAAAAA"/>
      <rgbColor rgb="00444444"/>
      <rgbColor rgb="00CCCCCC"/>
      <rgbColor rgb="00888888"/>
      <rgbColor rgb="00666666"/>
      <rgbColor rgb="00EEEEEE"/>
      <rgbColor rgb="0022222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FFFFCC"/>
      <color rgb="FFFF00FF"/>
      <color rgb="FFFFCCFF"/>
      <color rgb="FFFF9900"/>
      <color rgb="FFCCFFFF"/>
      <color rgb="FFFF66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hartsheet" Target="chartsheets/sheet2.xml"/><Relationship Id="rId28"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styles" Target="styles.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lineChart>
        <c:grouping val="standard"/>
        <c:varyColors val="0"/>
        <c:ser>
          <c:idx val="0"/>
          <c:order val="0"/>
          <c:tx>
            <c:v>ANZ EBIT margin (LHS)</c:v>
          </c:tx>
          <c:marker>
            <c:symbol val="none"/>
          </c:marker>
          <c:val>
            <c:numRef>
              <c:f>MODEL!#REF!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MODEL!#REF!</c15:sqref>
                        </c15:formulaRef>
                      </c:ext>
                    </c:extLst>
                  </c:multiLvlStrRef>
                </c15:cat>
              </c15:filteredCategoryTitle>
            </c:ext>
            <c:ext xmlns:c16="http://schemas.microsoft.com/office/drawing/2014/chart" uri="{C3380CC4-5D6E-409C-BE32-E72D297353CC}">
              <c16:uniqueId val="{00000000-FBEF-4E03-9294-D78D6DDF73C9}"/>
            </c:ext>
          </c:extLst>
        </c:ser>
        <c:dLbls>
          <c:showLegendKey val="0"/>
          <c:showVal val="0"/>
          <c:showCatName val="0"/>
          <c:showSerName val="0"/>
          <c:showPercent val="0"/>
          <c:showBubbleSize val="0"/>
        </c:dLbls>
        <c:marker val="1"/>
        <c:smooth val="0"/>
        <c:axId val="224104448"/>
        <c:axId val="224106368"/>
      </c:lineChart>
      <c:lineChart>
        <c:grouping val="standard"/>
        <c:varyColors val="0"/>
        <c:ser>
          <c:idx val="1"/>
          <c:order val="1"/>
          <c:tx>
            <c:v>AUD/USD (RHS)</c:v>
          </c:tx>
          <c:spPr>
            <a:ln>
              <a:prstDash val="dash"/>
            </a:ln>
          </c:spPr>
          <c:marker>
            <c:symbol val="none"/>
          </c:marker>
          <c:val>
            <c:numRef>
              <c:f>MODEL!#REF!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MODEL!#REF!</c15:sqref>
                        </c15:formulaRef>
                      </c:ext>
                    </c:extLst>
                  </c:multiLvlStrRef>
                </c15:cat>
              </c15:filteredCategoryTitle>
            </c:ext>
            <c:ext xmlns:c16="http://schemas.microsoft.com/office/drawing/2014/chart" uri="{C3380CC4-5D6E-409C-BE32-E72D297353CC}">
              <c16:uniqueId val="{00000001-FBEF-4E03-9294-D78D6DDF73C9}"/>
            </c:ext>
          </c:extLst>
        </c:ser>
        <c:dLbls>
          <c:showLegendKey val="0"/>
          <c:showVal val="0"/>
          <c:showCatName val="0"/>
          <c:showSerName val="0"/>
          <c:showPercent val="0"/>
          <c:showBubbleSize val="0"/>
        </c:dLbls>
        <c:marker val="1"/>
        <c:smooth val="0"/>
        <c:axId val="343753856"/>
        <c:axId val="224107904"/>
      </c:lineChart>
      <c:catAx>
        <c:axId val="224104448"/>
        <c:scaling>
          <c:orientation val="minMax"/>
        </c:scaling>
        <c:delete val="0"/>
        <c:axPos val="b"/>
        <c:numFmt formatCode="General" sourceLinked="1"/>
        <c:majorTickMark val="none"/>
        <c:minorTickMark val="none"/>
        <c:tickLblPos val="nextTo"/>
        <c:crossAx val="224106368"/>
        <c:crosses val="autoZero"/>
        <c:auto val="1"/>
        <c:lblAlgn val="ctr"/>
        <c:lblOffset val="100"/>
        <c:noMultiLvlLbl val="0"/>
      </c:catAx>
      <c:valAx>
        <c:axId val="224106368"/>
        <c:scaling>
          <c:orientation val="minMax"/>
        </c:scaling>
        <c:delete val="0"/>
        <c:axPos val="l"/>
        <c:majorGridlines/>
        <c:numFmt formatCode="General" sourceLinked="1"/>
        <c:majorTickMark val="none"/>
        <c:minorTickMark val="none"/>
        <c:tickLblPos val="nextTo"/>
        <c:spPr>
          <a:ln w="9525">
            <a:noFill/>
          </a:ln>
        </c:spPr>
        <c:crossAx val="224104448"/>
        <c:crosses val="autoZero"/>
        <c:crossBetween val="between"/>
      </c:valAx>
      <c:valAx>
        <c:axId val="224107904"/>
        <c:scaling>
          <c:orientation val="minMax"/>
        </c:scaling>
        <c:delete val="0"/>
        <c:axPos val="r"/>
        <c:numFmt formatCode="0.0" sourceLinked="0"/>
        <c:majorTickMark val="out"/>
        <c:minorTickMark val="none"/>
        <c:tickLblPos val="nextTo"/>
        <c:crossAx val="343753856"/>
        <c:crosses val="max"/>
        <c:crossBetween val="between"/>
      </c:valAx>
      <c:catAx>
        <c:axId val="343753856"/>
        <c:scaling>
          <c:orientation val="minMax"/>
        </c:scaling>
        <c:delete val="1"/>
        <c:axPos val="b"/>
        <c:numFmt formatCode="General" sourceLinked="1"/>
        <c:majorTickMark val="out"/>
        <c:minorTickMark val="none"/>
        <c:tickLblPos val="nextTo"/>
        <c:crossAx val="224107904"/>
        <c:crosses val="autoZero"/>
        <c:auto val="1"/>
        <c:lblAlgn val="ctr"/>
        <c:lblOffset val="100"/>
        <c:noMultiLvlLbl val="0"/>
      </c:catAx>
    </c:plotArea>
    <c:legend>
      <c:legendPos val="b"/>
      <c:overlay val="0"/>
    </c:legend>
    <c:plotVisOnly val="1"/>
    <c:dispBlanksAs val="gap"/>
    <c:showDLblsOverMax val="0"/>
  </c:chart>
  <c:spPr>
    <a:ln>
      <a:noFill/>
    </a:ln>
  </c:spPr>
  <c:txPr>
    <a:bodyPr/>
    <a:lstStyle/>
    <a:p>
      <a:pPr>
        <a:defRPr sz="2000"/>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strRef>
              <c:f>MODEL!$B$2:$D$2</c:f>
              <c:strCache>
                <c:ptCount val="1"/>
                <c:pt idx="0">
                  <c:v>FY17</c:v>
                </c:pt>
              </c:strCache>
            </c:strRef>
          </c:cat>
          <c:val>
            <c:numRef>
              <c:f>MODEL!#REF!</c:f>
              <c:numCache>
                <c:formatCode>General</c:formatCode>
                <c:ptCount val="1"/>
                <c:pt idx="0">
                  <c:v>1</c:v>
                </c:pt>
              </c:numCache>
            </c:numRef>
          </c:val>
          <c:smooth val="1"/>
          <c:extLst>
            <c:ext xmlns:c16="http://schemas.microsoft.com/office/drawing/2014/chart" uri="{C3380CC4-5D6E-409C-BE32-E72D297353CC}">
              <c16:uniqueId val="{00000000-91D6-4715-BDCB-0DB85C52EE23}"/>
            </c:ext>
          </c:extLst>
        </c:ser>
        <c:dLbls>
          <c:showLegendKey val="0"/>
          <c:showVal val="0"/>
          <c:showCatName val="0"/>
          <c:showSerName val="0"/>
          <c:showPercent val="0"/>
          <c:showBubbleSize val="0"/>
        </c:dLbls>
        <c:smooth val="0"/>
        <c:axId val="559323008"/>
        <c:axId val="559324544"/>
      </c:lineChart>
      <c:catAx>
        <c:axId val="559323008"/>
        <c:scaling>
          <c:orientation val="minMax"/>
        </c:scaling>
        <c:delete val="0"/>
        <c:axPos val="b"/>
        <c:numFmt formatCode="General" sourceLinked="1"/>
        <c:majorTickMark val="out"/>
        <c:minorTickMark val="none"/>
        <c:tickLblPos val="nextTo"/>
        <c:crossAx val="559324544"/>
        <c:crosses val="autoZero"/>
        <c:auto val="1"/>
        <c:lblAlgn val="ctr"/>
        <c:lblOffset val="100"/>
        <c:noMultiLvlLbl val="0"/>
      </c:catAx>
      <c:valAx>
        <c:axId val="559324544"/>
        <c:scaling>
          <c:orientation val="minMax"/>
        </c:scaling>
        <c:delete val="0"/>
        <c:axPos val="l"/>
        <c:majorGridlines/>
        <c:numFmt formatCode="General" sourceLinked="1"/>
        <c:majorTickMark val="out"/>
        <c:minorTickMark val="none"/>
        <c:tickLblPos val="nextTo"/>
        <c:crossAx val="559323008"/>
        <c:crosses val="autoZero"/>
        <c:crossBetween val="between"/>
      </c:valAx>
    </c:plotArea>
    <c:plotVisOnly val="1"/>
    <c:dispBlanksAs val="gap"/>
    <c:showDLblsOverMax val="0"/>
  </c:chart>
  <c:spPr>
    <a:ln>
      <a:noFill/>
    </a:ln>
  </c:spPr>
  <c:txPr>
    <a:bodyPr/>
    <a:lstStyle/>
    <a:p>
      <a:pPr>
        <a:defRPr sz="2000"/>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1"/>
  <sheetViews>
    <sheetView zoomScale="9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E00-000000000000}">
  <sheetPr codeName="Chart24"/>
  <sheetViews>
    <sheetView zoomScale="97"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xdr:col>
          <xdr:colOff>2000250</xdr:colOff>
          <xdr:row>2</xdr:row>
          <xdr:rowOff>38100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INVESTMENT STATISTICS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2009775</xdr:colOff>
          <xdr:row>4</xdr:row>
          <xdr:rowOff>28575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 PROFIT &amp; LOSS/BAL.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2000250</xdr:colOff>
          <xdr:row>6</xdr:row>
          <xdr:rowOff>28575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STATEMENT OF CASH FLOWS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2000250</xdr:colOff>
          <xdr:row>8</xdr:row>
          <xdr:rowOff>28575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GEOGRAPHICAL  BREAKDOWN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2000250</xdr:colOff>
          <xdr:row>10</xdr:row>
          <xdr:rowOff>28575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DIVISIONAL BREAKDOWN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2000250</xdr:colOff>
          <xdr:row>12</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solidFill>
              <a:srgbClr val="FFFF00" mc:Ignorable="a14" a14:legacySpreadsheetColorIndex="13"/>
            </a:solidFill>
            <a:ln w="2476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UPDATE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0</xdr:rowOff>
        </xdr:from>
        <xdr:to>
          <xdr:col>3</xdr:col>
          <xdr:colOff>104775</xdr:colOff>
          <xdr:row>16</xdr:row>
          <xdr:rowOff>47625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Include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15</xdr:row>
          <xdr:rowOff>0</xdr:rowOff>
        </xdr:from>
        <xdr:to>
          <xdr:col>3</xdr:col>
          <xdr:colOff>800100</xdr:colOff>
          <xdr:row>16</xdr:row>
          <xdr:rowOff>47625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Include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152400</xdr:rowOff>
        </xdr:from>
        <xdr:to>
          <xdr:col>4</xdr:col>
          <xdr:colOff>838200</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Include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6</xdr:row>
          <xdr:rowOff>0</xdr:rowOff>
        </xdr:from>
        <xdr:to>
          <xdr:col>1</xdr:col>
          <xdr:colOff>3048000</xdr:colOff>
          <xdr:row>9</xdr:row>
          <xdr:rowOff>38100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Get Current</a:t>
              </a:r>
            </a:p>
            <a:p>
              <a:pPr algn="ctr" rtl="0">
                <a:defRPr sz="1000"/>
              </a:pPr>
              <a:r>
                <a:rPr lang="en-AU" sz="1000" b="1" i="0" u="none" strike="noStrike" baseline="0">
                  <a:solidFill>
                    <a:srgbClr val="000000"/>
                  </a:solidFill>
                  <a:latin typeface="Arial"/>
                  <a:cs typeface="Arial"/>
                </a:rPr>
                <a:t>Price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0</xdr:rowOff>
        </xdr:from>
        <xdr:to>
          <xdr:col>6</xdr:col>
          <xdr:colOff>28575</xdr:colOff>
          <xdr:row>16</xdr:row>
          <xdr:rowOff>47625</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Include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15</xdr:row>
          <xdr:rowOff>0</xdr:rowOff>
        </xdr:from>
        <xdr:to>
          <xdr:col>6</xdr:col>
          <xdr:colOff>790575</xdr:colOff>
          <xdr:row>16</xdr:row>
          <xdr:rowOff>47625</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Include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2200275</xdr:colOff>
          <xdr:row>1</xdr:row>
          <xdr:rowOff>171450</xdr:rowOff>
        </xdr:from>
        <xdr:to>
          <xdr:col>1</xdr:col>
          <xdr:colOff>3057525</xdr:colOff>
          <xdr:row>4</xdr:row>
          <xdr:rowOff>152400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Update Research</a:t>
              </a:r>
            </a:p>
            <a:p>
              <a:pPr algn="ctr" rtl="0">
                <a:defRPr sz="1000"/>
              </a:pPr>
              <a:r>
                <a:rPr lang="en-AU" sz="1000" b="1" i="0" u="none" strike="noStrike" baseline="0">
                  <a:solidFill>
                    <a:srgbClr val="000000"/>
                  </a:solidFill>
                  <a:latin typeface="Arial"/>
                  <a:cs typeface="Arial"/>
                </a:rPr>
                <a:t>Database</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1</xdr:row>
      <xdr:rowOff>0</xdr:rowOff>
    </xdr:from>
    <xdr:to>
      <xdr:col>1</xdr:col>
      <xdr:colOff>1924050</xdr:colOff>
      <xdr:row>3</xdr:row>
      <xdr:rowOff>0</xdr:rowOff>
    </xdr:to>
    <xdr:pic>
      <xdr:nvPicPr>
        <xdr:cNvPr id="4" name="Picture 3" descr="Goldman Sachs Research">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57150"/>
          <a:ext cx="19050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26</xdr:col>
      <xdr:colOff>190500</xdr:colOff>
      <xdr:row>68</xdr:row>
      <xdr:rowOff>28575</xdr:rowOff>
    </xdr:from>
    <xdr:to>
      <xdr:col>27</xdr:col>
      <xdr:colOff>238125</xdr:colOff>
      <xdr:row>69</xdr:row>
      <xdr:rowOff>38100</xdr:rowOff>
    </xdr:to>
    <xdr:sp macro="" textlink="">
      <xdr:nvSpPr>
        <xdr:cNvPr id="49179" name="Line 2">
          <a:extLst>
            <a:ext uri="{FF2B5EF4-FFF2-40B4-BE49-F238E27FC236}">
              <a16:creationId xmlns:a16="http://schemas.microsoft.com/office/drawing/2014/main" id="{00000000-0008-0000-0B00-00001BC00000}"/>
            </a:ext>
          </a:extLst>
        </xdr:cNvPr>
        <xdr:cNvSpPr>
          <a:spLocks noChangeShapeType="1"/>
        </xdr:cNvSpPr>
      </xdr:nvSpPr>
      <xdr:spPr bwMode="auto">
        <a:xfrm flipH="1" flipV="1">
          <a:off x="19011900" y="9401175"/>
          <a:ext cx="990600" cy="161925"/>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17</xdr:col>
          <xdr:colOff>1000125</xdr:colOff>
          <xdr:row>53</xdr:row>
          <xdr:rowOff>66675</xdr:rowOff>
        </xdr:from>
        <xdr:to>
          <xdr:col>21</xdr:col>
          <xdr:colOff>781050</xdr:colOff>
          <xdr:row>56</xdr:row>
          <xdr:rowOff>104775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700-00000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400" b="0" i="0" u="none" strike="noStrike" baseline="0">
                  <a:solidFill>
                    <a:srgbClr val="000000"/>
                  </a:solidFill>
                  <a:latin typeface="Arial"/>
                  <a:cs typeface="Arial"/>
                </a:rPr>
                <a:t>UPDATE TO DIRECTORY LISTED ABOVE.</a:t>
              </a:r>
            </a:p>
            <a:p>
              <a:pPr algn="ctr" rtl="0">
                <a:defRPr sz="1000"/>
              </a:pPr>
              <a:r>
                <a:rPr lang="en-AU" sz="1400" b="0" i="0" u="none" strike="noStrike" baseline="0">
                  <a:solidFill>
                    <a:srgbClr val="000000"/>
                  </a:solidFill>
                  <a:latin typeface="Arial"/>
                  <a:cs typeface="Arial"/>
                </a:rPr>
                <a:t> May take a while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285402" cy="6064577"/>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1</xdr:col>
      <xdr:colOff>221672</xdr:colOff>
      <xdr:row>3</xdr:row>
      <xdr:rowOff>233795</xdr:rowOff>
    </xdr:from>
    <xdr:to>
      <xdr:col>4</xdr:col>
      <xdr:colOff>17318</xdr:colOff>
      <xdr:row>13</xdr:row>
      <xdr:rowOff>34636</xdr:rowOff>
    </xdr:to>
    <xdr:sp macro=""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535997" y="976745"/>
          <a:ext cx="4596246" cy="2277341"/>
        </a:xfrm>
        <a:prstGeom prst="rect">
          <a:avLst/>
        </a:prstGeom>
        <a:noFill/>
        <a:ln w="9525">
          <a:solidFill>
            <a:srgbClr val="000000"/>
          </a:solidFill>
          <a:miter lim="800000"/>
          <a:headEnd/>
          <a:tailEnd/>
        </a:ln>
        <a:effectLst>
          <a:outerShdw dist="35921" dir="2700000" algn="ctr" rotWithShape="0">
            <a:srgbClr val="000000"/>
          </a:outerShdw>
        </a:effectLst>
      </xdr:spPr>
      <xdr:txBody>
        <a:bodyPr/>
        <a:lstStyle/>
        <a:p>
          <a:endParaRPr lang="en-US"/>
        </a:p>
      </xdr:txBody>
    </xdr:sp>
    <xdr:clientData/>
  </xdr:twoCellAnchor>
  <xdr:twoCellAnchor>
    <xdr:from>
      <xdr:col>2</xdr:col>
      <xdr:colOff>4330</xdr:colOff>
      <xdr:row>26</xdr:row>
      <xdr:rowOff>238124</xdr:rowOff>
    </xdr:from>
    <xdr:to>
      <xdr:col>43</xdr:col>
      <xdr:colOff>0</xdr:colOff>
      <xdr:row>34</xdr:row>
      <xdr:rowOff>34636</xdr:rowOff>
    </xdr:to>
    <xdr:sp macro="" textlink="">
      <xdr:nvSpPr>
        <xdr:cNvPr id="3" name="Rectangle 2">
          <a:extLst>
            <a:ext uri="{FF2B5EF4-FFF2-40B4-BE49-F238E27FC236}">
              <a16:creationId xmlns:a16="http://schemas.microsoft.com/office/drawing/2014/main" id="{00000000-0008-0000-0F00-000003000000}"/>
            </a:ext>
          </a:extLst>
        </xdr:cNvPr>
        <xdr:cNvSpPr>
          <a:spLocks noChangeArrowheads="1"/>
        </xdr:cNvSpPr>
      </xdr:nvSpPr>
      <xdr:spPr bwMode="auto">
        <a:xfrm>
          <a:off x="547255" y="6677024"/>
          <a:ext cx="18921845" cy="1777712"/>
        </a:xfrm>
        <a:prstGeom prst="rect">
          <a:avLst/>
        </a:prstGeom>
        <a:noFill/>
        <a:ln w="9525">
          <a:solidFill>
            <a:srgbClr val="000000"/>
          </a:solidFill>
          <a:miter lim="800000"/>
          <a:headEnd/>
          <a:tailEnd/>
        </a:ln>
        <a:effectLst>
          <a:outerShdw dist="35921" dir="2700000" algn="ctr" rotWithShape="0">
            <a:srgbClr val="000000"/>
          </a:outerShdw>
        </a:effectLst>
      </xdr:spPr>
      <xdr:txBody>
        <a:bodyPr/>
        <a:lstStyle/>
        <a:p>
          <a:endParaRPr lang="en-US"/>
        </a:p>
      </xdr:txBody>
    </xdr:sp>
    <xdr:clientData/>
  </xdr:twoCellAnchor>
  <xdr:twoCellAnchor>
    <xdr:from>
      <xdr:col>1</xdr:col>
      <xdr:colOff>185304</xdr:colOff>
      <xdr:row>35</xdr:row>
      <xdr:rowOff>228600</xdr:rowOff>
    </xdr:from>
    <xdr:to>
      <xdr:col>4</xdr:col>
      <xdr:colOff>13607</xdr:colOff>
      <xdr:row>48</xdr:row>
      <xdr:rowOff>138545</xdr:rowOff>
    </xdr:to>
    <xdr:sp macro="" textlink="">
      <xdr:nvSpPr>
        <xdr:cNvPr id="4" name="Rectangle 3">
          <a:extLst>
            <a:ext uri="{FF2B5EF4-FFF2-40B4-BE49-F238E27FC236}">
              <a16:creationId xmlns:a16="http://schemas.microsoft.com/office/drawing/2014/main" id="{00000000-0008-0000-0F00-000004000000}"/>
            </a:ext>
          </a:extLst>
        </xdr:cNvPr>
        <xdr:cNvSpPr>
          <a:spLocks noChangeArrowheads="1"/>
        </xdr:cNvSpPr>
      </xdr:nvSpPr>
      <xdr:spPr bwMode="auto">
        <a:xfrm>
          <a:off x="499629" y="8896350"/>
          <a:ext cx="4628903" cy="3129395"/>
        </a:xfrm>
        <a:prstGeom prst="rect">
          <a:avLst/>
        </a:prstGeom>
        <a:noFill/>
        <a:ln w="9525">
          <a:solidFill>
            <a:srgbClr val="000000"/>
          </a:solidFill>
          <a:miter lim="800000"/>
          <a:headEnd/>
          <a:tailEnd/>
        </a:ln>
        <a:effectLst>
          <a:outerShdw dist="35921" dir="2700000" algn="ctr" rotWithShape="0">
            <a:srgbClr val="000000"/>
          </a:outerShdw>
        </a:effectLst>
      </xdr:spPr>
      <xdr:txBody>
        <a:bodyPr/>
        <a:lstStyle/>
        <a:p>
          <a:endParaRPr lang="en-US"/>
        </a:p>
      </xdr:txBody>
    </xdr:sp>
    <xdr:clientData/>
  </xdr:twoCellAnchor>
  <xdr:twoCellAnchor>
    <xdr:from>
      <xdr:col>1</xdr:col>
      <xdr:colOff>226003</xdr:colOff>
      <xdr:row>15</xdr:row>
      <xdr:rowOff>224271</xdr:rowOff>
    </xdr:from>
    <xdr:to>
      <xdr:col>4</xdr:col>
      <xdr:colOff>27215</xdr:colOff>
      <xdr:row>23</xdr:row>
      <xdr:rowOff>51953</xdr:rowOff>
    </xdr:to>
    <xdr:sp macro="" textlink="">
      <xdr:nvSpPr>
        <xdr:cNvPr id="5" name="Rectangle 8">
          <a:extLst>
            <a:ext uri="{FF2B5EF4-FFF2-40B4-BE49-F238E27FC236}">
              <a16:creationId xmlns:a16="http://schemas.microsoft.com/office/drawing/2014/main" id="{00000000-0008-0000-0F00-000005000000}"/>
            </a:ext>
          </a:extLst>
        </xdr:cNvPr>
        <xdr:cNvSpPr>
          <a:spLocks noChangeArrowheads="1"/>
        </xdr:cNvSpPr>
      </xdr:nvSpPr>
      <xdr:spPr bwMode="auto">
        <a:xfrm>
          <a:off x="540328" y="3939021"/>
          <a:ext cx="4601812" cy="1808882"/>
        </a:xfrm>
        <a:prstGeom prst="rect">
          <a:avLst/>
        </a:prstGeom>
        <a:noFill/>
        <a:ln w="9525">
          <a:solidFill>
            <a:srgbClr val="000000"/>
          </a:solidFill>
          <a:miter lim="800000"/>
          <a:headEnd/>
          <a:tailEnd/>
        </a:ln>
        <a:effectLst>
          <a:outerShdw dist="35921" dir="2700000" algn="ctr" rotWithShape="0">
            <a:srgbClr val="000000"/>
          </a:outerShdw>
        </a:effectLst>
      </xdr:spPr>
      <xdr:txBody>
        <a:bodyPr/>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28575</xdr:rowOff>
    </xdr:from>
    <xdr:to>
      <xdr:col>0</xdr:col>
      <xdr:colOff>0</xdr:colOff>
      <xdr:row>197</xdr:row>
      <xdr:rowOff>19050</xdr:rowOff>
    </xdr:to>
    <xdr:sp macro="" textlink="">
      <xdr:nvSpPr>
        <xdr:cNvPr id="56346" name="Line 1">
          <a:extLst>
            <a:ext uri="{FF2B5EF4-FFF2-40B4-BE49-F238E27FC236}">
              <a16:creationId xmlns:a16="http://schemas.microsoft.com/office/drawing/2014/main" id="{00000000-0008-0000-2200-00001ADC0000}"/>
            </a:ext>
          </a:extLst>
        </xdr:cNvPr>
        <xdr:cNvSpPr>
          <a:spLocks noChangeShapeType="1"/>
        </xdr:cNvSpPr>
      </xdr:nvSpPr>
      <xdr:spPr bwMode="auto">
        <a:xfrm>
          <a:off x="0" y="190500"/>
          <a:ext cx="0" cy="31727775"/>
        </a:xfrm>
        <a:prstGeom prst="line">
          <a:avLst/>
        </a:prstGeom>
        <a:noFill/>
        <a:ln w="19050">
          <a:solidFill>
            <a:srgbClr val="5E76AA"/>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absoluteAnchor>
    <xdr:pos x="0" y="0"/>
    <xdr:ext cx="9285402" cy="6064577"/>
    <xdr:graphicFrame macro="">
      <xdr:nvGraphicFramePr>
        <xdr:cNvPr id="2" name="Chart 1">
          <a:extLst>
            <a:ext uri="{FF2B5EF4-FFF2-40B4-BE49-F238E27FC236}">
              <a16:creationId xmlns:a16="http://schemas.microsoft.com/office/drawing/2014/main" id="{00000000-0008-0000-2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W:\LD\Coverage\DMP\Models\DMP-Model_20240719_to_VA.xlsx" TargetMode="External"/><Relationship Id="rId1" Type="http://schemas.openxmlformats.org/officeDocument/2006/relationships/externalLinkPath" Target="file:///\\firmwide.corp.gs.com\root\LD\Coverage\DMP\Models\DMP-Model_20240719_to_V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_FDSCACHE__"/>
      <sheetName val="INDUST_TPLATE"/>
      <sheetName val="TPLATE_VALID"/>
      <sheetName val="_QP_DMP.AX"/>
      <sheetName val="DMP.AX_Live_Sheet"/>
      <sheetName val="DMP.AX_Validation_Sheet"/>
      <sheetName val="DMP.AX_Annotation_Sheet"/>
      <sheetName val="Cover Page"/>
      <sheetName val="Sheet2"/>
      <sheetName val="Sheet1"/>
      <sheetName val="GSJBW Template"/>
      <sheetName val="Valuation"/>
      <sheetName val="DCF"/>
      <sheetName val="MODEL"/>
      <sheetName val="Chart2"/>
      <sheetName val="Segments"/>
      <sheetName val="Capex and PPE"/>
      <sheetName val="Debt"/>
      <sheetName val="FX Exposure"/>
      <sheetName val="Key ratios"/>
      <sheetName val="MktShare"/>
      <sheetName val="RFGcomp"/>
      <sheetName val="FX"/>
      <sheetName val="Ratio analysis"/>
      <sheetName val="Metrics"/>
      <sheetName val="Sheet3"/>
      <sheetName val="EVA"/>
      <sheetName val="Euro"/>
      <sheetName val="key Assump"/>
      <sheetName val="FranchiseForSale"/>
      <sheetName val="Cost structure"/>
      <sheetName val="CheeseCosts"/>
      <sheetName val="Bd"/>
      <sheetName val="Leverage"/>
      <sheetName val="Europe"/>
      <sheetName val="Pizza Costs"/>
      <sheetName val="Summary sheet"/>
      <sheetName val="DPZ sales comp"/>
      <sheetName val="DOM sales comp"/>
      <sheetName val="New store by half"/>
      <sheetName val="Guidance"/>
      <sheetName val="Franchisee profit"/>
      <sheetName val="Franchisee profit case 2"/>
      <sheetName val="Franchisee profit_only 24%"/>
      <sheetName val="DMP Japan market stats"/>
      <sheetName val="Underpayment scenario"/>
      <sheetName val="Employment agreement"/>
      <sheetName val="Franchise profit new calc"/>
      <sheetName val="Trading update summary"/>
      <sheetName val="COVID assumptions"/>
      <sheetName val="FX link for TWD"/>
      <sheetName val="Mark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2">
          <cell r="D12">
            <v>9.3833333333333338E-2</v>
          </cell>
        </row>
        <row r="39">
          <cell r="D39">
            <v>4109.4305934237809</v>
          </cell>
        </row>
        <row r="45">
          <cell r="D45">
            <v>1.4532185186803079</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theme/theme1.xml><?xml version="1.0" encoding="utf-8"?>
<a:theme xmlns:a="http://schemas.openxmlformats.org/drawingml/2006/main" name="Office Theme">
  <a:themeElements>
    <a:clrScheme name="GIR Exhibits">
      <a:dk1>
        <a:srgbClr val="000000"/>
      </a:dk1>
      <a:lt1>
        <a:sysClr val="window" lastClr="FFFFFF"/>
      </a:lt1>
      <a:dk2>
        <a:srgbClr val="BE3232"/>
      </a:dk2>
      <a:lt2>
        <a:srgbClr val="F67F26"/>
      </a:lt2>
      <a:accent1>
        <a:srgbClr val="00355F"/>
      </a:accent1>
      <a:accent2>
        <a:srgbClr val="ACD4F1"/>
      </a:accent2>
      <a:accent3>
        <a:srgbClr val="A5A5A5"/>
      </a:accent3>
      <a:accent4>
        <a:srgbClr val="7399C6"/>
      </a:accent4>
      <a:accent5>
        <a:srgbClr val="078549"/>
      </a:accent5>
      <a:accent6>
        <a:srgbClr val="8BC346"/>
      </a:accent6>
      <a:hlink>
        <a:srgbClr val="7399C6"/>
      </a:hlink>
      <a:folHlink>
        <a:srgbClr val="A5A5A5"/>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3963DD3-4F43-4042-81E1-C37B4DA92233}">
  <we:reference id="49825c50-e8d8-4c4a-9a2c-e6f24181e018"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omments" Target="../comments2.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customProperty" Target="../customProperty2.bin"/><Relationship Id="rId16" Type="http://schemas.openxmlformats.org/officeDocument/2006/relationships/ctrlProp" Target="../ctrlProps/ctrlProp1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4.bin"/><Relationship Id="rId4" Type="http://schemas.openxmlformats.org/officeDocument/2006/relationships/customProperty" Target="../customProperty5.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7.bin"/><Relationship Id="rId2" Type="http://schemas.openxmlformats.org/officeDocument/2006/relationships/customProperty" Target="../customProperty6.bin"/><Relationship Id="rId1" Type="http://schemas.openxmlformats.org/officeDocument/2006/relationships/printerSettings" Target="../printerSettings/printerSettings5.bin"/><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9.bin"/><Relationship Id="rId1" Type="http://schemas.openxmlformats.org/officeDocument/2006/relationships/printerSettings" Target="../printerSettings/printerSettings8.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customProperty" Target="../customProperty10.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3.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customProperty" Target="../customProperty1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customProperty" Target="../customProperty17.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1"/>
  <sheetViews>
    <sheetView workbookViewId="0"/>
  </sheetViews>
  <sheetFormatPr defaultRowHeight="12.75"/>
  <sheetData>
    <row r="1" spans="1:2">
      <c r="B1" t="s">
        <v>1717</v>
      </c>
    </row>
  </sheetData>
  <pageMargins left="0.7" right="0.7" top="0.75" bottom="0.75" header="0.3" footer="0.3"/>
  <pageSetup paperSize="9" orientation="portrait" horizontalDpi="300" verticalDpi="300" r:id="rId1"/>
  <customProperties>
    <customPr name="Qube.Worksheet.Visibility" r:id="rId2"/>
  </customProperties>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82"/>
  <sheetViews>
    <sheetView workbookViewId="0"/>
  </sheetViews>
  <sheetFormatPr defaultColWidth="9.140625" defaultRowHeight="12.75"/>
  <cols>
    <col min="1" max="1" width="6.28515625" style="4" customWidth="1"/>
    <col min="2" max="2" width="59.7109375" style="1" customWidth="1"/>
    <col min="3" max="7" width="13.140625" style="4" customWidth="1"/>
    <col min="8" max="8" width="12.7109375" style="4" customWidth="1"/>
    <col min="9" max="9" width="23.85546875" style="4" customWidth="1"/>
    <col min="10" max="10" width="15.42578125" style="4" customWidth="1"/>
    <col min="11" max="11" width="13.5703125" style="4" customWidth="1"/>
    <col min="12" max="12" width="18.85546875" style="4" customWidth="1"/>
    <col min="13" max="13" width="9.7109375" style="4" customWidth="1"/>
    <col min="14" max="26" width="13.5703125" style="4" customWidth="1"/>
    <col min="27" max="27" width="9.140625" style="4"/>
    <col min="28" max="28" width="22.5703125" style="4" customWidth="1"/>
    <col min="29" max="29" width="13.5703125" style="4" customWidth="1"/>
    <col min="30" max="30" width="20.5703125" style="4" customWidth="1"/>
    <col min="31" max="31" width="15.28515625" style="6" customWidth="1"/>
    <col min="32" max="32" width="13.5703125" style="4" customWidth="1"/>
    <col min="33" max="33" width="23.85546875" style="4" customWidth="1"/>
    <col min="34" max="34" width="23" style="4" customWidth="1"/>
    <col min="35" max="60" width="13.5703125" style="4" customWidth="1"/>
    <col min="61" max="16384" width="9.140625" style="4"/>
  </cols>
  <sheetData>
    <row r="1" spans="2:41" ht="15" customHeight="1">
      <c r="F1" s="4" t="s">
        <v>1374</v>
      </c>
      <c r="G1" s="4">
        <v>0</v>
      </c>
      <c r="H1" s="7"/>
      <c r="I1" s="2"/>
      <c r="J1" s="3"/>
      <c r="AB1" s="5"/>
      <c r="AG1" s="2"/>
      <c r="AH1" s="2"/>
      <c r="AI1" s="2"/>
    </row>
    <row r="2" spans="2:41" ht="15" customHeight="1">
      <c r="B2" s="46"/>
      <c r="AB2" s="7"/>
    </row>
    <row r="3" spans="2:41" ht="15" customHeight="1">
      <c r="C3" s="47" t="s">
        <v>1010</v>
      </c>
      <c r="D3" s="8"/>
      <c r="E3" s="48"/>
      <c r="F3" s="48"/>
      <c r="G3" s="49">
        <f ca="1">TODAY()</f>
        <v>46069</v>
      </c>
      <c r="AB3" s="5"/>
    </row>
    <row r="4" spans="2:41" ht="15" customHeight="1" thickBot="1">
      <c r="D4" s="48"/>
      <c r="E4" s="48"/>
      <c r="F4" s="48"/>
      <c r="J4" s="50"/>
      <c r="AB4" s="5"/>
      <c r="AG4" s="9"/>
      <c r="AH4" s="9"/>
      <c r="AI4" s="9"/>
      <c r="AJ4" s="9"/>
      <c r="AK4" s="9"/>
    </row>
    <row r="5" spans="2:41" ht="15" customHeight="1" thickBot="1">
      <c r="E5" s="12"/>
      <c r="J5" s="50"/>
      <c r="AB5" s="5"/>
      <c r="AG5" s="2"/>
      <c r="AH5" s="2"/>
      <c r="AI5" s="2"/>
      <c r="AJ5" s="2"/>
      <c r="AK5" s="2"/>
      <c r="AL5" s="2"/>
    </row>
    <row r="6" spans="2:41" ht="15" customHeight="1" thickBot="1">
      <c r="C6" s="51" t="s">
        <v>1011</v>
      </c>
      <c r="D6" s="158" t="s">
        <v>487</v>
      </c>
      <c r="E6" s="51" t="s">
        <v>1012</v>
      </c>
      <c r="F6" s="52" t="s">
        <v>488</v>
      </c>
      <c r="G6" s="15"/>
      <c r="I6" s="12" t="s">
        <v>1013</v>
      </c>
      <c r="J6" s="103" t="s">
        <v>431</v>
      </c>
      <c r="L6" s="12" t="s">
        <v>1014</v>
      </c>
      <c r="M6" s="104" t="s">
        <v>1020</v>
      </c>
      <c r="AB6" s="10"/>
      <c r="AC6" s="10"/>
      <c r="AG6" s="2"/>
      <c r="AH6" s="2"/>
      <c r="AI6" s="2"/>
      <c r="AJ6" s="2"/>
      <c r="AK6" s="2"/>
    </row>
    <row r="7" spans="2:41" ht="15" customHeight="1" thickBot="1">
      <c r="C7" s="46" t="s">
        <v>1016</v>
      </c>
      <c r="D7" s="158" t="s">
        <v>366</v>
      </c>
      <c r="E7" s="51" t="s">
        <v>1017</v>
      </c>
      <c r="F7" s="53">
        <v>2</v>
      </c>
      <c r="I7" s="12" t="s">
        <v>1018</v>
      </c>
      <c r="J7" s="103" t="s">
        <v>525</v>
      </c>
      <c r="L7" s="12" t="s">
        <v>1019</v>
      </c>
      <c r="M7" s="104" t="s">
        <v>1020</v>
      </c>
      <c r="AG7" s="2"/>
      <c r="AH7" s="2"/>
      <c r="AI7" s="2"/>
      <c r="AJ7" s="2"/>
      <c r="AK7" s="2"/>
    </row>
    <row r="8" spans="2:41" ht="15" customHeight="1">
      <c r="C8" s="46" t="s">
        <v>1021</v>
      </c>
      <c r="D8" s="101" t="s">
        <v>475</v>
      </c>
      <c r="E8" s="54"/>
      <c r="F8" s="55"/>
      <c r="G8" s="56"/>
      <c r="I8" s="12"/>
      <c r="J8" s="104"/>
      <c r="L8" s="12" t="s">
        <v>1022</v>
      </c>
      <c r="M8" s="104" t="s">
        <v>1020</v>
      </c>
      <c r="AG8" s="2"/>
      <c r="AH8" s="2"/>
      <c r="AI8" s="2"/>
      <c r="AJ8" s="2"/>
      <c r="AK8" s="2"/>
    </row>
    <row r="9" spans="2:41" ht="15" customHeight="1" thickBot="1">
      <c r="D9" s="102"/>
      <c r="E9" s="57"/>
      <c r="F9" s="57"/>
      <c r="G9" s="58"/>
      <c r="I9" s="12" t="s">
        <v>1023</v>
      </c>
      <c r="J9" s="97" t="e">
        <v>#VALUE!</v>
      </c>
      <c r="AB9" s="11"/>
      <c r="AG9" s="2"/>
      <c r="AH9" s="2"/>
      <c r="AI9" s="2"/>
      <c r="AJ9" s="2"/>
      <c r="AK9" s="59"/>
    </row>
    <row r="10" spans="2:41" ht="15" customHeight="1">
      <c r="C10" s="51" t="s">
        <v>1024</v>
      </c>
      <c r="D10" s="60">
        <v>2.78</v>
      </c>
      <c r="E10" s="51" t="s">
        <v>1025</v>
      </c>
      <c r="F10" s="110">
        <v>129.99532199999999</v>
      </c>
      <c r="I10" s="12" t="s">
        <v>1026</v>
      </c>
      <c r="J10" s="106">
        <v>40983</v>
      </c>
      <c r="K10" s="109">
        <f>J10</f>
        <v>40983</v>
      </c>
      <c r="AB10" s="11"/>
      <c r="AG10" s="2"/>
      <c r="AH10" s="2"/>
      <c r="AI10" s="2"/>
      <c r="AJ10" s="2"/>
      <c r="AK10" s="2"/>
      <c r="AL10" s="2"/>
      <c r="AM10" s="2"/>
      <c r="AN10" s="2"/>
      <c r="AO10" s="2"/>
    </row>
    <row r="11" spans="2:41" ht="15" customHeight="1">
      <c r="C11" s="51" t="s">
        <v>1469</v>
      </c>
      <c r="D11" s="157">
        <f>J76</f>
        <v>0</v>
      </c>
      <c r="E11" s="61" t="s">
        <v>1028</v>
      </c>
      <c r="F11" s="62" t="s">
        <v>1029</v>
      </c>
      <c r="G11" s="2"/>
      <c r="I11" s="12" t="s">
        <v>1030</v>
      </c>
      <c r="J11" s="105">
        <v>100</v>
      </c>
      <c r="AB11" s="12"/>
      <c r="AG11" s="2"/>
      <c r="AH11" s="2"/>
      <c r="AI11" s="2"/>
      <c r="AJ11" s="2"/>
      <c r="AK11" s="2"/>
    </row>
    <row r="12" spans="2:41" ht="15" customHeight="1">
      <c r="C12" s="51" t="s">
        <v>1470</v>
      </c>
      <c r="D12" s="166">
        <v>0</v>
      </c>
      <c r="E12" s="159" t="s">
        <v>481</v>
      </c>
      <c r="F12" s="161">
        <v>3</v>
      </c>
      <c r="G12" s="2"/>
      <c r="I12" s="12" t="s">
        <v>1031</v>
      </c>
      <c r="J12" s="105">
        <v>30</v>
      </c>
      <c r="AB12" s="12"/>
      <c r="AG12" s="2"/>
      <c r="AH12" s="2"/>
      <c r="AI12" s="2"/>
      <c r="AJ12" s="2"/>
      <c r="AK12" s="2"/>
    </row>
    <row r="13" spans="2:41">
      <c r="B13" s="63" t="s">
        <v>1032</v>
      </c>
      <c r="C13" s="64" t="s">
        <v>1033</v>
      </c>
      <c r="D13" s="64" t="s">
        <v>1033</v>
      </c>
      <c r="E13" s="64" t="s">
        <v>1034</v>
      </c>
      <c r="F13" s="64" t="s">
        <v>1034</v>
      </c>
      <c r="G13" s="64" t="s">
        <v>1034</v>
      </c>
      <c r="I13" s="12" t="s">
        <v>1035</v>
      </c>
      <c r="J13" s="106">
        <v>40963</v>
      </c>
      <c r="K13" s="109">
        <f>J13</f>
        <v>40963</v>
      </c>
      <c r="AG13" s="2"/>
      <c r="AH13" s="2"/>
      <c r="AI13" s="2"/>
      <c r="AJ13" s="2"/>
      <c r="AK13" s="2"/>
    </row>
    <row r="14" spans="2:41">
      <c r="B14" s="63" t="s">
        <v>1036</v>
      </c>
      <c r="C14" s="65" t="s">
        <v>1020</v>
      </c>
      <c r="D14" s="65" t="s">
        <v>1020</v>
      </c>
      <c r="E14" s="65" t="s">
        <v>1020</v>
      </c>
      <c r="F14" s="65" t="s">
        <v>1020</v>
      </c>
      <c r="G14" s="65" t="s">
        <v>1020</v>
      </c>
      <c r="I14" s="12" t="s">
        <v>1037</v>
      </c>
      <c r="J14" s="97" t="e">
        <v>#VALUE!</v>
      </c>
      <c r="AG14" s="2"/>
      <c r="AH14" s="2"/>
      <c r="AI14" s="2"/>
      <c r="AJ14" s="2"/>
      <c r="AK14" s="2"/>
    </row>
    <row r="15" spans="2:41">
      <c r="B15" s="63" t="s">
        <v>1038</v>
      </c>
      <c r="C15" s="66">
        <v>40724</v>
      </c>
      <c r="D15" s="66">
        <v>41090</v>
      </c>
      <c r="E15" s="66">
        <v>41455</v>
      </c>
      <c r="F15" s="66">
        <v>41820</v>
      </c>
      <c r="G15" s="66">
        <v>42185</v>
      </c>
      <c r="I15" s="12" t="s">
        <v>1039</v>
      </c>
      <c r="J15" s="106">
        <v>41166</v>
      </c>
      <c r="K15" s="109">
        <f>J15</f>
        <v>41166</v>
      </c>
      <c r="AG15" s="2"/>
      <c r="AH15" s="2"/>
      <c r="AI15" s="2"/>
      <c r="AJ15" s="2"/>
      <c r="AK15" s="59"/>
    </row>
    <row r="16" spans="2:41">
      <c r="B16" s="63" t="s">
        <v>1040</v>
      </c>
      <c r="C16" s="67"/>
      <c r="D16" s="67"/>
      <c r="E16" s="67"/>
      <c r="F16" s="67"/>
      <c r="G16" s="67"/>
      <c r="I16" s="12" t="s">
        <v>1041</v>
      </c>
      <c r="J16" s="105">
        <v>100</v>
      </c>
      <c r="AG16" s="2"/>
      <c r="AH16" s="2"/>
      <c r="AI16" s="2"/>
      <c r="AJ16" s="2"/>
      <c r="AK16" s="2"/>
    </row>
    <row r="17" spans="2:37">
      <c r="B17" s="13"/>
      <c r="C17" s="67"/>
      <c r="D17" s="67"/>
      <c r="E17" s="67"/>
      <c r="F17" s="67"/>
      <c r="G17" s="67"/>
      <c r="I17" s="12" t="s">
        <v>1042</v>
      </c>
      <c r="J17" s="105">
        <v>30</v>
      </c>
      <c r="AB17" s="14"/>
      <c r="AG17" s="2"/>
      <c r="AH17" s="2"/>
      <c r="AI17" s="2"/>
      <c r="AJ17" s="2"/>
      <c r="AK17" s="2"/>
    </row>
    <row r="18" spans="2:37" ht="13.5" thickBot="1">
      <c r="C18" s="68" t="str">
        <f>IF(C13="H","Historic","Estimate")</f>
        <v>Historic</v>
      </c>
      <c r="D18" s="68" t="str">
        <f>IF(D13="H","Historic","Estimate")</f>
        <v>Historic</v>
      </c>
      <c r="E18" s="68" t="str">
        <f>IF(E13="H","Historic","Estimate")</f>
        <v>Estimate</v>
      </c>
      <c r="F18" s="68" t="str">
        <f>IF(F13="H","Historic","Estimate")</f>
        <v>Estimate</v>
      </c>
      <c r="G18" s="68" t="str">
        <f>IF(G13="H","Historic","Estimate")</f>
        <v>Estimate</v>
      </c>
      <c r="I18" s="12" t="s">
        <v>1043</v>
      </c>
      <c r="J18" s="106">
        <v>40413</v>
      </c>
      <c r="K18" s="109">
        <f>J18</f>
        <v>40413</v>
      </c>
      <c r="AB18" s="69"/>
      <c r="AG18" s="2"/>
      <c r="AH18" s="2"/>
      <c r="AI18" s="2"/>
      <c r="AJ18" s="2"/>
      <c r="AK18" s="2"/>
    </row>
    <row r="19" spans="2:37" ht="13.5" thickBot="1">
      <c r="B19" s="13"/>
      <c r="C19" s="70" t="s">
        <v>1471</v>
      </c>
      <c r="D19" s="70" t="s">
        <v>1471</v>
      </c>
      <c r="E19" s="70" t="s">
        <v>1471</v>
      </c>
      <c r="F19" s="70" t="s">
        <v>1471</v>
      </c>
      <c r="G19" s="70" t="s">
        <v>1471</v>
      </c>
      <c r="I19" s="12" t="s">
        <v>1044</v>
      </c>
      <c r="J19" s="107"/>
      <c r="K19" s="15"/>
      <c r="AB19" s="14"/>
      <c r="AG19" s="2"/>
      <c r="AH19" s="2"/>
      <c r="AI19" s="2"/>
      <c r="AJ19" s="2"/>
      <c r="AK19" s="59"/>
    </row>
    <row r="20" spans="2:37" ht="13.5" thickBot="1">
      <c r="B20" s="51" t="s">
        <v>1045</v>
      </c>
      <c r="C20" s="71">
        <f>C15</f>
        <v>40724</v>
      </c>
      <c r="D20" s="71">
        <f>D15</f>
        <v>41090</v>
      </c>
      <c r="E20" s="71">
        <f>E15</f>
        <v>41455</v>
      </c>
      <c r="F20" s="71">
        <f>F15</f>
        <v>41820</v>
      </c>
      <c r="G20" s="71">
        <f>G15</f>
        <v>42185</v>
      </c>
      <c r="I20" s="72" t="s">
        <v>1046</v>
      </c>
      <c r="J20" s="104" t="s">
        <v>1020</v>
      </c>
      <c r="AG20" s="2"/>
      <c r="AH20" s="2"/>
      <c r="AI20" s="2"/>
      <c r="AJ20" s="2"/>
      <c r="AK20" s="2"/>
    </row>
    <row r="21" spans="2:37">
      <c r="C21" s="70"/>
      <c r="D21" s="70"/>
      <c r="E21" s="70"/>
      <c r="F21" s="70"/>
      <c r="G21" s="70"/>
      <c r="I21" s="12" t="s">
        <v>1047</v>
      </c>
      <c r="J21" s="104"/>
      <c r="AB21" s="62"/>
      <c r="AC21" s="62"/>
      <c r="AD21" s="62"/>
      <c r="AE21" s="62"/>
      <c r="AG21" s="2"/>
      <c r="AH21" s="2"/>
      <c r="AI21" s="2"/>
      <c r="AJ21" s="2"/>
      <c r="AK21" s="2"/>
    </row>
    <row r="22" spans="2:37">
      <c r="B22" s="73" t="s">
        <v>824</v>
      </c>
      <c r="C22" s="97" t="e">
        <f>C90-C42-C125+C79</f>
        <v>#VALUE!</v>
      </c>
      <c r="D22" s="97" t="e">
        <f>D90-D42-D125+D79</f>
        <v>#VALUE!</v>
      </c>
      <c r="E22" s="97" t="e">
        <f>E90-E42-E125+E79</f>
        <v>#VALUE!</v>
      </c>
      <c r="F22" s="97" t="e">
        <f>F90-F42-F125+F79</f>
        <v>#VALUE!</v>
      </c>
      <c r="G22" s="97" t="e">
        <f>G90-G42-G125+G79</f>
        <v>#VALUE!</v>
      </c>
      <c r="I22" s="12" t="s">
        <v>1048</v>
      </c>
      <c r="J22" s="112">
        <v>2.5000000000000001E-2</v>
      </c>
      <c r="AB22" s="2"/>
      <c r="AD22" s="16"/>
      <c r="AG22" s="2"/>
      <c r="AH22" s="2"/>
      <c r="AI22" s="2"/>
      <c r="AJ22" s="2"/>
      <c r="AK22" s="59"/>
    </row>
    <row r="23" spans="2:37">
      <c r="B23" s="73" t="s">
        <v>1472</v>
      </c>
      <c r="C23" s="97" t="e">
        <v>#VALUE!</v>
      </c>
      <c r="D23" s="97" t="e">
        <v>#VALUE!</v>
      </c>
      <c r="E23" s="97" t="e">
        <v>#VALUE!</v>
      </c>
      <c r="F23" s="97" t="e">
        <v>#VALUE!</v>
      </c>
      <c r="G23" s="97" t="e">
        <v>#VALUE!</v>
      </c>
      <c r="I23" s="4" t="s">
        <v>1027</v>
      </c>
      <c r="J23" s="104"/>
      <c r="AB23" s="2"/>
      <c r="AC23" s="16"/>
      <c r="AD23" s="16"/>
      <c r="AE23" s="17"/>
      <c r="AG23" s="3"/>
      <c r="AH23" s="3"/>
      <c r="AI23" s="2"/>
      <c r="AJ23" s="3"/>
      <c r="AK23" s="59"/>
    </row>
    <row r="24" spans="2:37" s="16" customFormat="1">
      <c r="B24" s="73" t="s">
        <v>825</v>
      </c>
      <c r="C24" s="98" t="e">
        <f>(C22+C140)/C35*100</f>
        <v>#VALUE!</v>
      </c>
      <c r="D24" s="98" t="e">
        <f>(D22+D140)/D35*100</f>
        <v>#VALUE!</v>
      </c>
      <c r="E24" s="98" t="e">
        <f>(E22+E140)/E35*100</f>
        <v>#VALUE!</v>
      </c>
      <c r="F24" s="98" t="e">
        <f>(F22+F140)/F35*100</f>
        <v>#VALUE!</v>
      </c>
      <c r="G24" s="98" t="e">
        <f>(G22+G140)/G35*100</f>
        <v>#VALUE!</v>
      </c>
      <c r="I24" s="12" t="s">
        <v>1049</v>
      </c>
      <c r="J24" s="106">
        <v>39772</v>
      </c>
      <c r="K24" s="109">
        <f>J24</f>
        <v>39772</v>
      </c>
      <c r="AA24" s="4"/>
      <c r="AB24" s="2"/>
      <c r="AE24" s="17"/>
      <c r="AG24" s="3"/>
      <c r="AH24" s="3"/>
      <c r="AI24" s="2"/>
      <c r="AJ24" s="3"/>
      <c r="AK24" s="59"/>
    </row>
    <row r="25" spans="2:37" s="16" customFormat="1" ht="13.5" thickBot="1">
      <c r="B25" s="73" t="s">
        <v>1473</v>
      </c>
      <c r="C25" s="98" t="e">
        <f>(C$23 + C$140)/(C$35) * 100</f>
        <v>#VALUE!</v>
      </c>
      <c r="D25" s="98" t="e">
        <f>(D$23 + D$140)/(D$35) * 100</f>
        <v>#VALUE!</v>
      </c>
      <c r="E25" s="98" t="e">
        <f>(E$23 + E$140)/(E$35) * 100</f>
        <v>#VALUE!</v>
      </c>
      <c r="F25" s="98" t="e">
        <f>(F$23 + F$140)/(F$35) * 100</f>
        <v>#VALUE!</v>
      </c>
      <c r="G25" s="98" t="e">
        <f>(G$23 + G$140)/(G$35) * 100</f>
        <v>#VALUE!</v>
      </c>
      <c r="I25" s="4"/>
      <c r="J25" s="3"/>
      <c r="AA25" s="4"/>
      <c r="AB25" s="2"/>
      <c r="AD25" s="4"/>
      <c r="AE25" s="17"/>
      <c r="AG25" s="3"/>
      <c r="AH25" s="3"/>
      <c r="AI25" s="2"/>
      <c r="AJ25" s="3"/>
      <c r="AK25" s="3"/>
    </row>
    <row r="26" spans="2:37" s="16" customFormat="1">
      <c r="B26" s="169" t="s">
        <v>826</v>
      </c>
      <c r="C26" s="170" t="e">
        <f t="shared" ref="C26:G27" si="0">($D$10*100)/C24</f>
        <v>#VALUE!</v>
      </c>
      <c r="D26" s="170" t="e">
        <f t="shared" si="0"/>
        <v>#VALUE!</v>
      </c>
      <c r="E26" s="170" t="e">
        <f t="shared" si="0"/>
        <v>#VALUE!</v>
      </c>
      <c r="F26" s="170" t="e">
        <f t="shared" si="0"/>
        <v>#VALUE!</v>
      </c>
      <c r="G26" s="170" t="e">
        <f t="shared" si="0"/>
        <v>#VALUE!</v>
      </c>
      <c r="I26" s="12" t="s">
        <v>1050</v>
      </c>
      <c r="J26" s="75"/>
      <c r="AA26" s="4"/>
      <c r="AB26" s="2"/>
      <c r="AE26" s="17"/>
      <c r="AG26" s="3"/>
      <c r="AH26" s="3"/>
      <c r="AI26" s="2"/>
      <c r="AJ26" s="3"/>
      <c r="AK26" s="3"/>
    </row>
    <row r="27" spans="2:37" s="16" customFormat="1">
      <c r="B27" s="73" t="s">
        <v>1474</v>
      </c>
      <c r="C27" s="74" t="e">
        <f t="shared" si="0"/>
        <v>#VALUE!</v>
      </c>
      <c r="D27" s="74" t="e">
        <f t="shared" si="0"/>
        <v>#VALUE!</v>
      </c>
      <c r="E27" s="74" t="e">
        <f t="shared" si="0"/>
        <v>#VALUE!</v>
      </c>
      <c r="F27" s="74" t="e">
        <f t="shared" si="0"/>
        <v>#VALUE!</v>
      </c>
      <c r="G27" s="74" t="e">
        <f t="shared" si="0"/>
        <v>#VALUE!</v>
      </c>
      <c r="I27" s="12" t="s">
        <v>1052</v>
      </c>
      <c r="J27" s="76"/>
      <c r="AA27" s="4"/>
      <c r="AB27" s="2"/>
      <c r="AE27" s="17"/>
      <c r="AG27" s="3"/>
      <c r="AH27" s="3"/>
      <c r="AI27" s="2"/>
      <c r="AJ27" s="3"/>
      <c r="AK27" s="3"/>
    </row>
    <row r="28" spans="2:37" s="16" customFormat="1">
      <c r="B28" s="73" t="s">
        <v>1051</v>
      </c>
      <c r="C28" s="97" t="e">
        <v>#VALUE!</v>
      </c>
      <c r="D28" s="97" t="e">
        <v>#VALUE!</v>
      </c>
      <c r="E28" s="97" t="e">
        <v>#VALUE!</v>
      </c>
      <c r="F28" s="97" t="e">
        <v>#VALUE!</v>
      </c>
      <c r="G28" s="97" t="e">
        <v>#VALUE!</v>
      </c>
      <c r="I28" s="12" t="s">
        <v>1054</v>
      </c>
      <c r="J28" s="76"/>
      <c r="AA28" s="4"/>
      <c r="AB28" s="2"/>
      <c r="AE28" s="17"/>
      <c r="AG28" s="3"/>
      <c r="AH28" s="3"/>
      <c r="AI28" s="2"/>
      <c r="AJ28" s="3"/>
      <c r="AK28" s="3"/>
    </row>
    <row r="29" spans="2:37" s="16" customFormat="1">
      <c r="B29" s="169" t="s">
        <v>1053</v>
      </c>
      <c r="C29" s="170" t="e">
        <f>C28/$D$10</f>
        <v>#VALUE!</v>
      </c>
      <c r="D29" s="170" t="e">
        <f>D28/$D$10</f>
        <v>#VALUE!</v>
      </c>
      <c r="E29" s="170" t="e">
        <f>E28/$D$10</f>
        <v>#VALUE!</v>
      </c>
      <c r="F29" s="170" t="e">
        <f>F28/$D$10</f>
        <v>#VALUE!</v>
      </c>
      <c r="G29" s="170" t="e">
        <f>G28/$D$10</f>
        <v>#VALUE!</v>
      </c>
      <c r="I29" s="12" t="s">
        <v>1056</v>
      </c>
      <c r="J29" s="76"/>
      <c r="AA29" s="4"/>
      <c r="AB29" s="2"/>
      <c r="AE29" s="17"/>
      <c r="AG29" s="3"/>
      <c r="AH29" s="3"/>
      <c r="AI29" s="2"/>
      <c r="AJ29" s="3"/>
      <c r="AK29" s="3"/>
    </row>
    <row r="30" spans="2:37" s="16" customFormat="1" ht="13.5" thickBot="1">
      <c r="B30" s="73" t="s">
        <v>1055</v>
      </c>
      <c r="C30" s="97" t="e">
        <v>#VALUE!</v>
      </c>
      <c r="D30" s="97" t="e">
        <v>#VALUE!</v>
      </c>
      <c r="E30" s="97" t="e">
        <v>#VALUE!</v>
      </c>
      <c r="F30" s="97" t="e">
        <v>#VALUE!</v>
      </c>
      <c r="G30" s="97" t="e">
        <v>#VALUE!</v>
      </c>
      <c r="I30" s="12" t="s">
        <v>1057</v>
      </c>
      <c r="J30" s="77"/>
      <c r="AA30" s="4"/>
      <c r="AB30" s="2"/>
      <c r="AE30" s="17"/>
      <c r="AG30" s="3"/>
      <c r="AH30" s="3"/>
      <c r="AI30" s="2"/>
      <c r="AJ30" s="3"/>
      <c r="AK30" s="3"/>
    </row>
    <row r="31" spans="2:37" s="16" customFormat="1" ht="13.5" thickBot="1">
      <c r="B31" s="73" t="s">
        <v>1475</v>
      </c>
      <c r="C31" s="97" t="e">
        <f>(C254-C249+C257)/C35*100</f>
        <v>#VALUE!</v>
      </c>
      <c r="D31" s="97" t="e">
        <f>(D254-D249+D257)/D35*100</f>
        <v>#VALUE!</v>
      </c>
      <c r="E31" s="97" t="e">
        <f>(E254-E249+E257)/E35*100</f>
        <v>#VALUE!</v>
      </c>
      <c r="F31" s="97" t="e">
        <f>(F254-F249+F257)/F35*100</f>
        <v>#VALUE!</v>
      </c>
      <c r="G31" s="97" t="e">
        <f>(G254-G249+G257)/G35*100</f>
        <v>#VALUE!</v>
      </c>
      <c r="I31" s="12"/>
      <c r="J31" s="3"/>
      <c r="AA31" s="4"/>
      <c r="AB31" s="2"/>
      <c r="AE31" s="17"/>
      <c r="AG31" s="3"/>
      <c r="AH31" s="3"/>
      <c r="AI31" s="2"/>
      <c r="AJ31" s="3"/>
      <c r="AK31" s="3"/>
    </row>
    <row r="32" spans="2:37" s="16" customFormat="1">
      <c r="B32" s="73" t="s">
        <v>1476</v>
      </c>
      <c r="C32" s="74" t="e">
        <f>($D$10*100)/C31</f>
        <v>#VALUE!</v>
      </c>
      <c r="D32" s="74" t="e">
        <f>($D$10*100)/D31</f>
        <v>#VALUE!</v>
      </c>
      <c r="E32" s="74" t="e">
        <f>($D$10*100)/E31</f>
        <v>#VALUE!</v>
      </c>
      <c r="F32" s="74" t="e">
        <f>($D$10*100)/F31</f>
        <v>#VALUE!</v>
      </c>
      <c r="G32" s="74" t="e">
        <f>($D$10*100)/G31</f>
        <v>#VALUE!</v>
      </c>
      <c r="I32" s="12" t="s">
        <v>1059</v>
      </c>
      <c r="J32" s="78"/>
      <c r="K32" s="18"/>
      <c r="L32" s="18"/>
      <c r="M32" s="19"/>
      <c r="AA32" s="4"/>
      <c r="AB32" s="2"/>
      <c r="AE32" s="17"/>
      <c r="AG32" s="3"/>
      <c r="AH32" s="3"/>
      <c r="AI32" s="2"/>
      <c r="AJ32" s="3"/>
      <c r="AK32" s="3"/>
    </row>
    <row r="33" spans="2:37" s="16" customFormat="1">
      <c r="B33" s="73" t="s">
        <v>1058</v>
      </c>
      <c r="C33" s="97" t="e">
        <v>#VALUE!</v>
      </c>
      <c r="D33" s="97" t="e">
        <v>#VALUE!</v>
      </c>
      <c r="E33" s="97" t="e">
        <v>#VALUE!</v>
      </c>
      <c r="F33" s="97" t="e">
        <v>#VALUE!</v>
      </c>
      <c r="G33" s="97" t="e">
        <v>#VALUE!</v>
      </c>
      <c r="I33" s="12" t="s">
        <v>1061</v>
      </c>
      <c r="J33" s="79"/>
      <c r="M33" s="20"/>
      <c r="AA33" s="4"/>
      <c r="AB33" s="2"/>
      <c r="AE33" s="17"/>
      <c r="AG33" s="3"/>
      <c r="AH33" s="3"/>
      <c r="AI33" s="2"/>
      <c r="AJ33" s="3"/>
      <c r="AK33" s="3"/>
    </row>
    <row r="34" spans="2:37" s="16" customFormat="1" ht="13.5" thickBot="1">
      <c r="B34" s="73" t="s">
        <v>1060</v>
      </c>
      <c r="C34" s="97" t="e">
        <v>#VALUE!</v>
      </c>
      <c r="D34" s="97" t="e">
        <v>#VALUE!</v>
      </c>
      <c r="E34" s="97" t="e">
        <v>#VALUE!</v>
      </c>
      <c r="F34" s="97" t="e">
        <v>#VALUE!</v>
      </c>
      <c r="G34" s="97" t="e">
        <v>#VALUE!</v>
      </c>
      <c r="I34" s="12" t="s">
        <v>1063</v>
      </c>
      <c r="J34" s="80"/>
      <c r="K34" s="21"/>
      <c r="L34" s="21"/>
      <c r="M34" s="22"/>
      <c r="AA34" s="4"/>
      <c r="AB34" s="2"/>
      <c r="AE34" s="17"/>
      <c r="AG34" s="3"/>
      <c r="AH34" s="3"/>
      <c r="AI34" s="2"/>
      <c r="AJ34" s="3"/>
      <c r="AK34" s="3"/>
    </row>
    <row r="35" spans="2:37" s="16" customFormat="1">
      <c r="B35" s="73" t="s">
        <v>1062</v>
      </c>
      <c r="C35" s="97" t="e">
        <v>#VALUE!</v>
      </c>
      <c r="D35" s="97" t="e">
        <v>#VALUE!</v>
      </c>
      <c r="E35" s="97" t="e">
        <v>#VALUE!</v>
      </c>
      <c r="F35" s="97" t="e">
        <v>#VALUE!</v>
      </c>
      <c r="G35" s="97" t="e">
        <v>#VALUE!</v>
      </c>
      <c r="I35" s="12"/>
      <c r="J35" s="3"/>
      <c r="AA35" s="4"/>
      <c r="AB35" s="2"/>
      <c r="AE35" s="17"/>
      <c r="AG35" s="3"/>
      <c r="AH35" s="3"/>
      <c r="AI35" s="2"/>
      <c r="AJ35" s="3"/>
      <c r="AK35" s="3"/>
    </row>
    <row r="36" spans="2:37" s="16" customFormat="1">
      <c r="B36" s="1" t="s">
        <v>1064</v>
      </c>
      <c r="C36" s="97" t="e">
        <v>#VALUE!</v>
      </c>
      <c r="D36" s="97" t="e">
        <v>#VALUE!</v>
      </c>
      <c r="E36" s="97" t="e">
        <v>#VALUE!</v>
      </c>
      <c r="F36" s="97" t="e">
        <v>#VALUE!</v>
      </c>
      <c r="G36" s="97" t="e">
        <v>#VALUE!</v>
      </c>
      <c r="I36" s="14" t="s">
        <v>1066</v>
      </c>
      <c r="J36" s="4"/>
      <c r="AA36" s="4"/>
      <c r="AB36" s="2"/>
      <c r="AE36" s="17"/>
      <c r="AG36" s="3"/>
      <c r="AH36" s="3"/>
      <c r="AI36" s="2"/>
      <c r="AJ36" s="3"/>
      <c r="AK36" s="3"/>
    </row>
    <row r="37" spans="2:37" s="16" customFormat="1">
      <c r="B37" s="73" t="s">
        <v>1065</v>
      </c>
      <c r="C37" s="97">
        <f>C53</f>
        <v>0</v>
      </c>
      <c r="D37" s="97">
        <f>D53</f>
        <v>0</v>
      </c>
      <c r="E37" s="97">
        <f>E53</f>
        <v>0</v>
      </c>
      <c r="F37" s="97">
        <f>F53</f>
        <v>252.77361319340332</v>
      </c>
      <c r="G37" s="97">
        <f>G53</f>
        <v>314.3</v>
      </c>
      <c r="I37" s="4"/>
      <c r="J37" s="4"/>
      <c r="AA37" s="4"/>
      <c r="AB37" s="2"/>
      <c r="AC37" s="4"/>
      <c r="AE37" s="6"/>
      <c r="AG37" s="3"/>
      <c r="AH37" s="3"/>
      <c r="AI37" s="2"/>
      <c r="AJ37" s="3"/>
      <c r="AK37" s="3"/>
    </row>
    <row r="38" spans="2:37">
      <c r="B38" s="73" t="s">
        <v>1067</v>
      </c>
      <c r="C38" s="97" t="e">
        <f>C75</f>
        <v>#VALUE!</v>
      </c>
      <c r="D38" s="97" t="e">
        <f>D75</f>
        <v>#VALUE!</v>
      </c>
      <c r="E38" s="97" t="e">
        <f>E75</f>
        <v>#VALUE!</v>
      </c>
      <c r="F38" s="97" t="e">
        <f>F75</f>
        <v>#VALUE!</v>
      </c>
      <c r="G38" s="97" t="e">
        <f>G75</f>
        <v>#VALUE!</v>
      </c>
      <c r="I38" s="2" t="s">
        <v>1069</v>
      </c>
      <c r="J38" s="105"/>
      <c r="AB38" s="2"/>
      <c r="AD38" s="16"/>
      <c r="AG38" s="2"/>
      <c r="AH38" s="2"/>
      <c r="AI38" s="2"/>
      <c r="AJ38" s="2"/>
      <c r="AK38" s="2"/>
    </row>
    <row r="39" spans="2:37">
      <c r="B39" s="73" t="s">
        <v>1068</v>
      </c>
      <c r="C39" s="97" t="e">
        <f>C81</f>
        <v>#VALUE!</v>
      </c>
      <c r="D39" s="97" t="e">
        <f>D81</f>
        <v>#VALUE!</v>
      </c>
      <c r="E39" s="97" t="e">
        <f>E81</f>
        <v>#VALUE!</v>
      </c>
      <c r="F39" s="97" t="e">
        <f>F81</f>
        <v>#VALUE!</v>
      </c>
      <c r="G39" s="97" t="e">
        <f>G81</f>
        <v>#VALUE!</v>
      </c>
      <c r="I39" s="2" t="s">
        <v>1071</v>
      </c>
      <c r="J39" s="105"/>
      <c r="AB39" s="2"/>
      <c r="AD39" s="16"/>
      <c r="AG39" s="2"/>
      <c r="AH39" s="2"/>
      <c r="AI39" s="2"/>
      <c r="AJ39" s="2"/>
      <c r="AK39" s="2"/>
    </row>
    <row r="40" spans="2:37">
      <c r="B40" s="73" t="s">
        <v>1070</v>
      </c>
      <c r="C40" s="97" t="e">
        <f>C86</f>
        <v>#VALUE!</v>
      </c>
      <c r="D40" s="97" t="e">
        <f>D86</f>
        <v>#VALUE!</v>
      </c>
      <c r="E40" s="97" t="e">
        <f>E86</f>
        <v>#VALUE!</v>
      </c>
      <c r="F40" s="97" t="e">
        <f>F86</f>
        <v>#VALUE!</v>
      </c>
      <c r="G40" s="97" t="e">
        <f>G86</f>
        <v>#VALUE!</v>
      </c>
      <c r="I40" s="2" t="s">
        <v>1073</v>
      </c>
      <c r="J40" s="104"/>
      <c r="AB40" s="2"/>
      <c r="AD40" s="16"/>
    </row>
    <row r="41" spans="2:37">
      <c r="B41" s="73" t="s">
        <v>1072</v>
      </c>
      <c r="C41" s="97" t="e">
        <f>C89</f>
        <v>#VALUE!</v>
      </c>
      <c r="D41" s="97" t="e">
        <f>D89</f>
        <v>#VALUE!</v>
      </c>
      <c r="E41" s="97" t="e">
        <f>E89</f>
        <v>#VALUE!</v>
      </c>
      <c r="F41" s="97" t="e">
        <f>F89</f>
        <v>#VALUE!</v>
      </c>
      <c r="G41" s="97" t="e">
        <f>G89</f>
        <v>#VALUE!</v>
      </c>
      <c r="I41" s="2" t="s">
        <v>1075</v>
      </c>
      <c r="J41" s="108" t="e">
        <v>#VALUE!</v>
      </c>
      <c r="AB41" s="2"/>
      <c r="AD41" s="16"/>
      <c r="AG41" s="2"/>
      <c r="AH41" s="2"/>
      <c r="AI41" s="2"/>
      <c r="AJ41" s="2"/>
      <c r="AK41" s="2"/>
    </row>
    <row r="42" spans="2:37">
      <c r="B42" s="73" t="s">
        <v>1074</v>
      </c>
      <c r="C42" s="97" t="e">
        <f>C124</f>
        <v>#VALUE!</v>
      </c>
      <c r="D42" s="97" t="e">
        <f>D124</f>
        <v>#VALUE!</v>
      </c>
      <c r="E42" s="97" t="e">
        <f>E124</f>
        <v>#VALUE!</v>
      </c>
      <c r="F42" s="97" t="e">
        <f>F124</f>
        <v>#VALUE!</v>
      </c>
      <c r="G42" s="97" t="e">
        <f>G124</f>
        <v>#VALUE!</v>
      </c>
      <c r="I42" s="2" t="s">
        <v>1077</v>
      </c>
      <c r="J42" s="108" t="e">
        <v>#VALUE!</v>
      </c>
      <c r="AB42" s="2"/>
      <c r="AD42" s="16"/>
      <c r="AG42" s="2"/>
      <c r="AH42" s="2"/>
      <c r="AI42" s="2"/>
      <c r="AJ42" s="2"/>
      <c r="AK42" s="2"/>
    </row>
    <row r="43" spans="2:37" ht="12" customHeight="1">
      <c r="B43" s="73" t="s">
        <v>1076</v>
      </c>
      <c r="C43" s="97" t="e">
        <f>SUM(C180,C183,C192)-C152</f>
        <v>#VALUE!</v>
      </c>
      <c r="D43" s="97" t="e">
        <f>SUM(D180,D183,D192)-D152</f>
        <v>#VALUE!</v>
      </c>
      <c r="E43" s="97" t="e">
        <f>SUM(E180,E183,E192)-E152</f>
        <v>#VALUE!</v>
      </c>
      <c r="F43" s="97" t="e">
        <f>SUM(F180,F183,F192)-F152</f>
        <v>#VALUE!</v>
      </c>
      <c r="G43" s="97" t="e">
        <f>SUM(G180,G183,G192)-G152</f>
        <v>#VALUE!</v>
      </c>
      <c r="I43" s="2" t="s">
        <v>1078</v>
      </c>
      <c r="J43" s="108" t="e">
        <v>#VALUE!</v>
      </c>
      <c r="AB43" s="2"/>
      <c r="AD43" s="16"/>
      <c r="AG43" s="2"/>
      <c r="AH43" s="2"/>
      <c r="AI43" s="2"/>
      <c r="AJ43" s="2"/>
      <c r="AK43" s="2"/>
    </row>
    <row r="44" spans="2:37">
      <c r="B44" s="111" t="s">
        <v>516</v>
      </c>
      <c r="C44" s="97" t="e">
        <f>$D$10*$F$10/C201</f>
        <v>#VALUE!</v>
      </c>
      <c r="D44" s="97" t="e">
        <f>$D$10*$F$10/D201</f>
        <v>#VALUE!</v>
      </c>
      <c r="E44" s="97" t="e">
        <f>$D$10*$F$10/E201</f>
        <v>#VALUE!</v>
      </c>
      <c r="F44" s="97" t="e">
        <f>$D$10*$F$10/F201</f>
        <v>#VALUE!</v>
      </c>
      <c r="G44" s="97" t="e">
        <f>$D$10*$F$10/G201</f>
        <v>#VALUE!</v>
      </c>
      <c r="I44" s="2" t="s">
        <v>1079</v>
      </c>
      <c r="J44" s="2"/>
      <c r="AB44" s="2"/>
      <c r="AD44" s="16"/>
      <c r="AG44" s="2"/>
      <c r="AH44" s="2"/>
      <c r="AI44" s="2"/>
      <c r="AJ44" s="2"/>
      <c r="AK44" s="2"/>
    </row>
    <row r="45" spans="2:37">
      <c r="B45" s="167" t="s">
        <v>469</v>
      </c>
      <c r="C45" s="168" t="e">
        <v>#VALUE!</v>
      </c>
      <c r="D45" s="168" t="e">
        <v>#VALUE!</v>
      </c>
      <c r="E45" s="168" t="e">
        <v>#VALUE!</v>
      </c>
      <c r="F45" s="168" t="e">
        <v>#VALUE!</v>
      </c>
      <c r="G45" s="168" t="e">
        <v>#VALUE!</v>
      </c>
      <c r="I45" s="2" t="s">
        <v>1080</v>
      </c>
      <c r="J45" s="2"/>
      <c r="AB45" s="2"/>
      <c r="AD45" s="16"/>
      <c r="AG45" s="2"/>
      <c r="AH45" s="2"/>
      <c r="AI45" s="2"/>
      <c r="AJ45" s="2"/>
      <c r="AK45" s="2"/>
    </row>
    <row r="46" spans="2:37">
      <c r="B46" s="82" t="s">
        <v>1054</v>
      </c>
      <c r="C46" s="97"/>
      <c r="D46" s="97"/>
      <c r="E46" s="97"/>
      <c r="F46" s="97"/>
      <c r="G46" s="97"/>
      <c r="I46" s="2" t="s">
        <v>1081</v>
      </c>
      <c r="J46" s="2"/>
      <c r="AB46" s="2"/>
      <c r="AD46" s="16"/>
      <c r="AG46" s="2"/>
      <c r="AH46" s="2"/>
      <c r="AI46" s="2"/>
      <c r="AJ46" s="2"/>
      <c r="AK46" s="2"/>
    </row>
    <row r="47" spans="2:37">
      <c r="B47" s="82" t="s">
        <v>1056</v>
      </c>
      <c r="C47" s="97"/>
      <c r="D47" s="97"/>
      <c r="E47" s="97"/>
      <c r="F47" s="97"/>
      <c r="G47" s="97"/>
      <c r="I47" s="2" t="s">
        <v>1082</v>
      </c>
      <c r="J47" s="2"/>
      <c r="AB47" s="2"/>
      <c r="AG47" s="2"/>
      <c r="AH47" s="2"/>
      <c r="AI47" s="2"/>
      <c r="AJ47" s="2"/>
      <c r="AK47" s="2"/>
    </row>
    <row r="48" spans="2:37">
      <c r="B48" s="82" t="s">
        <v>1057</v>
      </c>
      <c r="C48" s="97"/>
      <c r="D48" s="97"/>
      <c r="E48" s="97"/>
      <c r="F48" s="97"/>
      <c r="G48" s="97"/>
      <c r="I48" s="2" t="s">
        <v>1083</v>
      </c>
      <c r="J48" s="2"/>
      <c r="AB48" s="2"/>
      <c r="AG48" s="2"/>
      <c r="AH48" s="2"/>
      <c r="AI48" s="2"/>
      <c r="AJ48" s="2"/>
      <c r="AK48" s="2"/>
    </row>
    <row r="49" spans="2:37">
      <c r="B49" s="73"/>
      <c r="C49" s="96"/>
      <c r="D49" s="96"/>
      <c r="E49" s="96"/>
      <c r="F49" s="96"/>
      <c r="G49" s="96"/>
      <c r="I49" s="2" t="s">
        <v>1084</v>
      </c>
      <c r="J49" s="2"/>
      <c r="AG49" s="2"/>
      <c r="AH49" s="2"/>
      <c r="AI49" s="2"/>
      <c r="AJ49" s="2"/>
      <c r="AK49" s="2"/>
    </row>
    <row r="50" spans="2:37">
      <c r="B50" s="73"/>
      <c r="C50" s="96"/>
      <c r="D50" s="96"/>
      <c r="E50" s="96"/>
      <c r="F50" s="96"/>
      <c r="G50" s="96"/>
      <c r="I50" s="2" t="s">
        <v>1086</v>
      </c>
      <c r="J50" s="2"/>
      <c r="AG50" s="2"/>
      <c r="AH50" s="2"/>
      <c r="AI50" s="2"/>
      <c r="AJ50" s="2"/>
      <c r="AK50" s="2"/>
    </row>
    <row r="51" spans="2:37">
      <c r="B51" s="51" t="s">
        <v>1085</v>
      </c>
      <c r="C51" s="96"/>
      <c r="D51" s="96"/>
      <c r="E51" s="96"/>
      <c r="F51" s="96"/>
      <c r="G51" s="96"/>
      <c r="I51" s="2" t="s">
        <v>1088</v>
      </c>
      <c r="J51" s="2"/>
      <c r="AG51" s="2"/>
      <c r="AH51" s="2"/>
      <c r="AI51" s="2"/>
      <c r="AJ51" s="2"/>
      <c r="AK51" s="2"/>
    </row>
    <row r="52" spans="2:37">
      <c r="B52" s="83" t="s">
        <v>1087</v>
      </c>
      <c r="C52" s="96"/>
      <c r="D52" s="96"/>
      <c r="E52" s="96"/>
      <c r="F52" s="96"/>
      <c r="G52" s="96"/>
      <c r="I52" s="4" t="s">
        <v>1090</v>
      </c>
      <c r="J52" s="142">
        <v>70</v>
      </c>
      <c r="AB52" s="2"/>
      <c r="AD52" s="16"/>
      <c r="AG52" s="2"/>
      <c r="AH52" s="2"/>
      <c r="AI52" s="2"/>
      <c r="AJ52" s="2"/>
      <c r="AK52" s="2"/>
    </row>
    <row r="53" spans="2:37">
      <c r="B53" s="1" t="s">
        <v>1089</v>
      </c>
      <c r="C53" s="74">
        <v>0</v>
      </c>
      <c r="D53" s="74">
        <v>0</v>
      </c>
      <c r="E53" s="74">
        <v>0</v>
      </c>
      <c r="F53" s="74">
        <v>252.77361319340332</v>
      </c>
      <c r="G53" s="74">
        <v>314.3</v>
      </c>
      <c r="I53" s="1" t="s">
        <v>1092</v>
      </c>
      <c r="J53" s="2"/>
      <c r="AB53" s="2"/>
      <c r="AD53" s="16"/>
      <c r="AG53" s="2"/>
      <c r="AH53" s="2"/>
      <c r="AI53" s="2"/>
      <c r="AJ53" s="2"/>
      <c r="AK53" s="2"/>
    </row>
    <row r="54" spans="2:37">
      <c r="B54" s="1" t="s">
        <v>1091</v>
      </c>
      <c r="C54" s="81" t="e">
        <v>#VALUE!</v>
      </c>
      <c r="D54" s="81" t="e">
        <v>#VALUE!</v>
      </c>
      <c r="E54" s="81" t="e">
        <v>#VALUE!</v>
      </c>
      <c r="F54" s="81" t="e">
        <v>#VALUE!</v>
      </c>
      <c r="G54" s="81" t="e">
        <v>#VALUE!</v>
      </c>
      <c r="I54" s="1" t="s">
        <v>1094</v>
      </c>
      <c r="J54" s="2"/>
      <c r="AB54" s="2"/>
      <c r="AD54" s="16"/>
      <c r="AG54" s="2"/>
      <c r="AH54" s="2"/>
      <c r="AI54" s="2"/>
      <c r="AJ54" s="2"/>
      <c r="AK54" s="2"/>
    </row>
    <row r="55" spans="2:37">
      <c r="B55" s="1" t="s">
        <v>1093</v>
      </c>
      <c r="C55" s="100">
        <v>0</v>
      </c>
      <c r="D55" s="100">
        <v>0</v>
      </c>
      <c r="E55" s="100">
        <v>0</v>
      </c>
      <c r="F55" s="100">
        <v>0</v>
      </c>
      <c r="G55" s="100">
        <v>0</v>
      </c>
      <c r="I55" s="1" t="s">
        <v>1096</v>
      </c>
      <c r="J55" s="2"/>
      <c r="AB55" s="2"/>
      <c r="AD55" s="16"/>
      <c r="AG55" s="2"/>
      <c r="AH55" s="2"/>
      <c r="AI55" s="2"/>
      <c r="AJ55" s="2"/>
      <c r="AK55" s="2"/>
    </row>
    <row r="56" spans="2:37">
      <c r="B56" s="1" t="s">
        <v>1095</v>
      </c>
      <c r="C56" s="100">
        <v>0</v>
      </c>
      <c r="D56" s="100">
        <v>0</v>
      </c>
      <c r="E56" s="100">
        <v>0</v>
      </c>
      <c r="F56" s="100">
        <v>0</v>
      </c>
      <c r="G56" s="100">
        <v>0</v>
      </c>
      <c r="I56" s="1" t="s">
        <v>478</v>
      </c>
      <c r="J56" s="2">
        <v>9.3833333333333346</v>
      </c>
      <c r="AB56" s="84"/>
      <c r="AD56" s="16"/>
      <c r="AG56" s="2"/>
      <c r="AH56" s="2"/>
      <c r="AI56" s="2"/>
      <c r="AJ56" s="2"/>
      <c r="AK56" s="2"/>
    </row>
    <row r="57" spans="2:37">
      <c r="B57" s="1" t="s">
        <v>1097</v>
      </c>
      <c r="C57" s="100">
        <v>0</v>
      </c>
      <c r="D57" s="100">
        <v>0</v>
      </c>
      <c r="E57" s="100">
        <v>0</v>
      </c>
      <c r="F57" s="100">
        <v>0</v>
      </c>
      <c r="G57" s="100">
        <v>0</v>
      </c>
      <c r="I57" s="1" t="s">
        <v>793</v>
      </c>
      <c r="J57" s="163" t="e">
        <f>#REF!</f>
        <v>#REF!</v>
      </c>
      <c r="AD57" s="16"/>
      <c r="AG57" s="2"/>
      <c r="AH57" s="2"/>
      <c r="AI57" s="2"/>
      <c r="AJ57" s="2"/>
      <c r="AK57" s="2"/>
    </row>
    <row r="58" spans="2:37">
      <c r="B58" s="85" t="s">
        <v>1098</v>
      </c>
      <c r="C58" s="96" t="e">
        <f>SUM(C53:C57)</f>
        <v>#VALUE!</v>
      </c>
      <c r="D58" s="96" t="e">
        <f>SUM(D53:D57)</f>
        <v>#VALUE!</v>
      </c>
      <c r="E58" s="96" t="e">
        <f>SUM(E53:E57)</f>
        <v>#VALUE!</v>
      </c>
      <c r="F58" s="96" t="e">
        <f>SUM(F53:F57)</f>
        <v>#VALUE!</v>
      </c>
      <c r="G58" s="96" t="e">
        <f>SUM(G53:G57)</f>
        <v>#VALUE!</v>
      </c>
      <c r="I58" s="1"/>
      <c r="J58" s="2"/>
      <c r="AB58" s="86"/>
      <c r="AG58" s="2"/>
      <c r="AH58" s="2"/>
      <c r="AI58" s="2"/>
      <c r="AJ58" s="2"/>
      <c r="AK58" s="2"/>
    </row>
    <row r="59" spans="2:37">
      <c r="C59" s="96"/>
      <c r="D59" s="96"/>
      <c r="E59" s="96"/>
      <c r="F59" s="96"/>
      <c r="G59" s="96"/>
      <c r="I59" s="1"/>
      <c r="J59" s="2"/>
      <c r="AD59" s="16"/>
      <c r="AG59" s="2"/>
      <c r="AH59" s="2"/>
      <c r="AI59" s="2"/>
      <c r="AJ59" s="2"/>
      <c r="AK59" s="2"/>
    </row>
    <row r="60" spans="2:37">
      <c r="B60" s="144" t="s">
        <v>1477</v>
      </c>
      <c r="C60" s="96"/>
      <c r="D60" s="96"/>
      <c r="E60" s="96"/>
      <c r="F60" s="96"/>
      <c r="G60" s="96"/>
      <c r="I60" s="1"/>
      <c r="J60" s="2"/>
      <c r="AG60" s="2"/>
      <c r="AH60" s="2"/>
      <c r="AI60" s="2"/>
      <c r="AJ60" s="2"/>
      <c r="AK60" s="2"/>
    </row>
    <row r="61" spans="2:37">
      <c r="B61" s="134" t="s">
        <v>1478</v>
      </c>
      <c r="C61" s="96"/>
      <c r="D61" s="96"/>
      <c r="E61" s="96"/>
      <c r="F61" s="96"/>
      <c r="G61" s="96"/>
      <c r="I61" s="73"/>
      <c r="J61" s="2"/>
      <c r="AD61" s="16"/>
      <c r="AG61" s="2"/>
      <c r="AH61" s="2"/>
      <c r="AI61" s="2"/>
      <c r="AJ61" s="2"/>
      <c r="AK61" s="2"/>
    </row>
    <row r="62" spans="2:37">
      <c r="B62" s="145" t="s">
        <v>1479</v>
      </c>
      <c r="C62" s="96"/>
      <c r="D62" s="96"/>
      <c r="E62" s="96"/>
      <c r="F62" s="96"/>
      <c r="G62" s="96"/>
      <c r="I62" s="73"/>
      <c r="J62" s="2"/>
      <c r="AG62" s="2"/>
      <c r="AH62" s="2"/>
      <c r="AI62" s="2"/>
      <c r="AJ62" s="2"/>
      <c r="AK62" s="2"/>
    </row>
    <row r="63" spans="2:37">
      <c r="B63" s="145" t="s">
        <v>1480</v>
      </c>
      <c r="C63" s="96"/>
      <c r="D63" s="96"/>
      <c r="E63" s="96"/>
      <c r="F63" s="96"/>
      <c r="G63" s="96"/>
      <c r="I63" s="73"/>
      <c r="J63" s="2"/>
      <c r="AG63" s="2"/>
      <c r="AH63" s="2"/>
      <c r="AI63" s="2"/>
      <c r="AJ63" s="2"/>
      <c r="AK63" s="2"/>
    </row>
    <row r="64" spans="2:37">
      <c r="B64" s="145" t="s">
        <v>1481</v>
      </c>
      <c r="C64" s="96"/>
      <c r="D64" s="96"/>
      <c r="E64" s="96"/>
      <c r="F64" s="96"/>
      <c r="G64" s="96"/>
      <c r="I64" s="73"/>
      <c r="J64" s="2"/>
      <c r="AG64" s="2"/>
      <c r="AH64" s="2"/>
      <c r="AI64" s="2"/>
      <c r="AJ64" s="2"/>
      <c r="AK64" s="2"/>
    </row>
    <row r="65" spans="2:37">
      <c r="B65" s="145" t="s">
        <v>1482</v>
      </c>
      <c r="C65" s="96"/>
      <c r="D65" s="96"/>
      <c r="E65" s="96"/>
      <c r="F65" s="96"/>
      <c r="G65" s="96"/>
      <c r="I65" s="73"/>
      <c r="J65" s="2"/>
      <c r="AB65" s="86"/>
      <c r="AD65" s="16"/>
      <c r="AG65" s="2"/>
      <c r="AH65" s="2"/>
      <c r="AI65" s="2"/>
      <c r="AJ65" s="2"/>
      <c r="AK65" s="2"/>
    </row>
    <row r="66" spans="2:37">
      <c r="B66" s="145" t="s">
        <v>1483</v>
      </c>
      <c r="C66" s="96"/>
      <c r="D66" s="96"/>
      <c r="E66" s="96"/>
      <c r="F66" s="96"/>
      <c r="G66" s="96"/>
      <c r="I66" s="73"/>
      <c r="J66" s="2"/>
      <c r="AG66" s="2"/>
      <c r="AH66" s="2"/>
      <c r="AI66" s="2"/>
      <c r="AJ66" s="2"/>
      <c r="AK66" s="2"/>
    </row>
    <row r="67" spans="2:37">
      <c r="B67" s="145" t="s">
        <v>1484</v>
      </c>
      <c r="C67" s="96" t="e">
        <f>-MODEL!#REF!</f>
        <v>#REF!</v>
      </c>
      <c r="D67" s="96" t="e">
        <f>-MODEL!#REF!</f>
        <v>#REF!</v>
      </c>
      <c r="E67" s="96" t="e">
        <f>-MODEL!#REF!</f>
        <v>#REF!</v>
      </c>
      <c r="F67" s="96" t="e">
        <f>-MODEL!#REF!</f>
        <v>#REF!</v>
      </c>
      <c r="G67" s="96" t="e">
        <f>-MODEL!#REF!</f>
        <v>#REF!</v>
      </c>
      <c r="I67" s="73"/>
      <c r="J67" s="2"/>
      <c r="AB67" s="86"/>
      <c r="AG67" s="2"/>
      <c r="AH67" s="2"/>
      <c r="AI67" s="2"/>
      <c r="AJ67" s="2"/>
      <c r="AK67" s="2"/>
    </row>
    <row r="68" spans="2:37">
      <c r="B68" s="145" t="s">
        <v>1485</v>
      </c>
      <c r="C68" s="96" t="e">
        <f>C69-SUM(C61:C67)</f>
        <v>#VALUE!</v>
      </c>
      <c r="D68" s="96" t="e">
        <f>D69-SUM(D61:D67)</f>
        <v>#VALUE!</v>
      </c>
      <c r="E68" s="96" t="e">
        <f>E69-SUM(E61:E67)</f>
        <v>#VALUE!</v>
      </c>
      <c r="F68" s="96" t="e">
        <f>F69-SUM(F61:F67)</f>
        <v>#VALUE!</v>
      </c>
      <c r="G68" s="96" t="e">
        <f>G69-SUM(G61:G67)</f>
        <v>#VALUE!</v>
      </c>
      <c r="I68" s="73"/>
      <c r="J68" s="2"/>
      <c r="AB68" s="86"/>
      <c r="AD68" s="16"/>
      <c r="AG68" s="2"/>
      <c r="AH68" s="2"/>
      <c r="AI68" s="2"/>
      <c r="AJ68" s="2"/>
      <c r="AK68" s="2"/>
    </row>
    <row r="69" spans="2:37">
      <c r="B69" s="83" t="s">
        <v>1099</v>
      </c>
      <c r="C69" s="97" t="e">
        <f>C58-C75</f>
        <v>#VALUE!</v>
      </c>
      <c r="D69" s="97" t="e">
        <f>D58-D75</f>
        <v>#VALUE!</v>
      </c>
      <c r="E69" s="97" t="e">
        <f>E58-E75</f>
        <v>#VALUE!</v>
      </c>
      <c r="F69" s="97" t="e">
        <f>F58-F75</f>
        <v>#VALUE!</v>
      </c>
      <c r="G69" s="97" t="e">
        <f>G58-G75</f>
        <v>#VALUE!</v>
      </c>
      <c r="I69" s="73"/>
      <c r="J69" s="2"/>
      <c r="AD69" s="16"/>
      <c r="AG69" s="2"/>
      <c r="AH69" s="2"/>
      <c r="AI69" s="2"/>
      <c r="AJ69" s="2"/>
      <c r="AK69" s="2"/>
    </row>
    <row r="70" spans="2:37" ht="15" customHeight="1">
      <c r="C70" s="96"/>
      <c r="D70" s="96"/>
      <c r="E70" s="96"/>
      <c r="F70" s="96"/>
      <c r="G70" s="96"/>
      <c r="I70" s="73"/>
      <c r="J70" s="2"/>
      <c r="AD70" s="16"/>
      <c r="AG70" s="2"/>
      <c r="AH70" s="2"/>
      <c r="AI70" s="2"/>
      <c r="AJ70" s="2"/>
      <c r="AK70" s="2"/>
    </row>
    <row r="71" spans="2:37">
      <c r="B71" s="87" t="s">
        <v>1100</v>
      </c>
      <c r="C71" s="100">
        <v>0</v>
      </c>
      <c r="D71" s="100">
        <v>0</v>
      </c>
      <c r="E71" s="100">
        <v>0</v>
      </c>
      <c r="F71" s="100">
        <v>0</v>
      </c>
      <c r="G71" s="100">
        <v>0</v>
      </c>
      <c r="I71" s="73"/>
      <c r="J71" s="2"/>
      <c r="AD71" s="16"/>
      <c r="AG71" s="2"/>
      <c r="AH71" s="2"/>
      <c r="AI71" s="2"/>
      <c r="AJ71" s="2"/>
      <c r="AK71" s="2"/>
    </row>
    <row r="72" spans="2:37">
      <c r="C72" s="96"/>
      <c r="D72" s="96"/>
      <c r="E72" s="96"/>
      <c r="F72" s="96"/>
      <c r="G72" s="96"/>
      <c r="I72" s="73"/>
      <c r="J72" s="2"/>
      <c r="AB72" s="86"/>
      <c r="AG72" s="2"/>
      <c r="AH72" s="2"/>
      <c r="AI72" s="2"/>
      <c r="AJ72" s="2"/>
      <c r="AK72" s="2"/>
    </row>
    <row r="73" spans="2:37">
      <c r="B73" s="88" t="s">
        <v>1101</v>
      </c>
      <c r="C73" s="100">
        <v>0</v>
      </c>
      <c r="D73" s="100">
        <v>0</v>
      </c>
      <c r="E73" s="100">
        <v>0</v>
      </c>
      <c r="F73" s="100">
        <v>0</v>
      </c>
      <c r="G73" s="100">
        <v>0</v>
      </c>
      <c r="I73" s="73"/>
      <c r="J73" s="2"/>
      <c r="AD73" s="16"/>
      <c r="AG73" s="2"/>
      <c r="AH73" s="2"/>
      <c r="AI73" s="2"/>
      <c r="AJ73" s="2"/>
      <c r="AK73" s="2"/>
    </row>
    <row r="74" spans="2:37">
      <c r="C74" s="96"/>
      <c r="D74" s="96"/>
      <c r="E74" s="96"/>
      <c r="F74" s="96"/>
      <c r="G74" s="96"/>
      <c r="I74" s="73"/>
      <c r="J74" s="2"/>
      <c r="AB74" s="86"/>
      <c r="AG74" s="2"/>
      <c r="AH74" s="2"/>
      <c r="AI74" s="2"/>
      <c r="AJ74" s="2"/>
      <c r="AK74" s="2"/>
    </row>
    <row r="75" spans="2:37">
      <c r="B75" s="46" t="s">
        <v>1067</v>
      </c>
      <c r="C75" s="97" t="e">
        <f>C83+C81</f>
        <v>#VALUE!</v>
      </c>
      <c r="D75" s="97" t="e">
        <f>D83+D81</f>
        <v>#VALUE!</v>
      </c>
      <c r="E75" s="97" t="e">
        <f>E83+E81</f>
        <v>#VALUE!</v>
      </c>
      <c r="F75" s="97" t="e">
        <f>F83+F81</f>
        <v>#VALUE!</v>
      </c>
      <c r="G75" s="97" t="e">
        <f>G83+G81</f>
        <v>#VALUE!</v>
      </c>
      <c r="H75" s="4" t="s">
        <v>1308</v>
      </c>
      <c r="I75" s="73"/>
      <c r="J75" s="2"/>
      <c r="AD75" s="16"/>
      <c r="AG75" s="2"/>
      <c r="AH75" s="2"/>
      <c r="AI75" s="2"/>
      <c r="AJ75" s="2"/>
      <c r="AK75" s="2"/>
    </row>
    <row r="76" spans="2:37">
      <c r="B76" s="85"/>
      <c r="C76" s="96"/>
      <c r="D76" s="96"/>
      <c r="E76" s="96"/>
      <c r="F76" s="96"/>
      <c r="G76" s="96"/>
      <c r="I76" s="73"/>
      <c r="J76" s="2"/>
      <c r="AD76" s="16"/>
      <c r="AG76" s="2"/>
      <c r="AH76" s="2"/>
      <c r="AI76" s="2"/>
      <c r="AJ76" s="2"/>
      <c r="AK76" s="2"/>
    </row>
    <row r="77" spans="2:37">
      <c r="B77" s="46" t="s">
        <v>1102</v>
      </c>
      <c r="C77" s="96"/>
      <c r="D77" s="96"/>
      <c r="E77" s="96"/>
      <c r="F77" s="96"/>
      <c r="G77" s="96"/>
      <c r="I77" s="73"/>
      <c r="J77" s="2"/>
      <c r="AD77" s="16"/>
      <c r="AG77" s="2"/>
      <c r="AH77" s="2"/>
      <c r="AI77" s="2"/>
      <c r="AJ77" s="2"/>
      <c r="AK77" s="2"/>
    </row>
    <row r="78" spans="2:37">
      <c r="B78" s="89" t="s">
        <v>1103</v>
      </c>
      <c r="C78" s="97" t="e">
        <v>#VALUE!</v>
      </c>
      <c r="D78" s="97" t="e">
        <v>#VALUE!</v>
      </c>
      <c r="E78" s="97" t="e">
        <v>#VALUE!</v>
      </c>
      <c r="F78" s="97" t="e">
        <v>#VALUE!</v>
      </c>
      <c r="G78" s="97" t="e">
        <v>#VALUE!</v>
      </c>
      <c r="I78" s="73"/>
      <c r="J78" s="2"/>
      <c r="AD78" s="16"/>
      <c r="AG78" s="2"/>
      <c r="AH78" s="2"/>
      <c r="AI78" s="2"/>
      <c r="AJ78" s="2"/>
      <c r="AK78" s="2"/>
    </row>
    <row r="79" spans="2:37">
      <c r="B79" s="1" t="s">
        <v>1104</v>
      </c>
      <c r="C79" s="100">
        <f>0</f>
        <v>0</v>
      </c>
      <c r="D79" s="100">
        <f>0</f>
        <v>0</v>
      </c>
      <c r="E79" s="100">
        <f>0</f>
        <v>0</v>
      </c>
      <c r="F79" s="100">
        <f>0</f>
        <v>0</v>
      </c>
      <c r="G79" s="100">
        <f>0</f>
        <v>0</v>
      </c>
      <c r="I79" s="73"/>
      <c r="J79" s="2"/>
      <c r="AD79" s="16"/>
      <c r="AG79" s="2"/>
      <c r="AH79" s="2"/>
      <c r="AI79" s="2"/>
      <c r="AJ79" s="2"/>
      <c r="AK79" s="2"/>
    </row>
    <row r="80" spans="2:37">
      <c r="B80" s="89" t="s">
        <v>1105</v>
      </c>
      <c r="C80" s="97" t="e">
        <v>#VALUE!</v>
      </c>
      <c r="D80" s="97" t="e">
        <v>#VALUE!</v>
      </c>
      <c r="E80" s="97" t="e">
        <v>#VALUE!</v>
      </c>
      <c r="F80" s="97" t="e">
        <v>#VALUE!</v>
      </c>
      <c r="G80" s="97" t="e">
        <v>#VALUE!</v>
      </c>
      <c r="I80" s="73"/>
      <c r="J80" s="2"/>
      <c r="AB80" s="84"/>
      <c r="AD80" s="16"/>
      <c r="AG80" s="2"/>
      <c r="AH80" s="2"/>
      <c r="AI80" s="2"/>
      <c r="AJ80" s="2"/>
      <c r="AK80" s="2"/>
    </row>
    <row r="81" spans="2:37">
      <c r="B81" s="46" t="s">
        <v>1106</v>
      </c>
      <c r="C81" s="96" t="e">
        <f>SUM(C78:C80)</f>
        <v>#VALUE!</v>
      </c>
      <c r="D81" s="96" t="e">
        <f>SUM(D78:D80)</f>
        <v>#VALUE!</v>
      </c>
      <c r="E81" s="96" t="e">
        <f>SUM(E78:E80)</f>
        <v>#VALUE!</v>
      </c>
      <c r="F81" s="96" t="e">
        <f>SUM(F78:F80)</f>
        <v>#VALUE!</v>
      </c>
      <c r="G81" s="96" t="e">
        <f>SUM(G78:G80)</f>
        <v>#VALUE!</v>
      </c>
      <c r="I81" s="73"/>
      <c r="J81" s="2"/>
      <c r="AB81" s="84"/>
      <c r="AD81" s="16"/>
      <c r="AG81" s="2"/>
      <c r="AH81" s="2"/>
      <c r="AI81" s="2"/>
      <c r="AJ81" s="2"/>
      <c r="AK81" s="2"/>
    </row>
    <row r="82" spans="2:37">
      <c r="C82" s="96"/>
      <c r="D82" s="96"/>
      <c r="E82" s="96"/>
      <c r="F82" s="96"/>
      <c r="G82" s="96"/>
      <c r="I82" s="73"/>
      <c r="J82" s="2"/>
      <c r="AG82" s="2"/>
      <c r="AH82" s="2"/>
      <c r="AI82" s="2"/>
      <c r="AJ82" s="2"/>
      <c r="AK82" s="2"/>
    </row>
    <row r="83" spans="2:37">
      <c r="B83" s="1" t="s">
        <v>1107</v>
      </c>
      <c r="C83" s="97" t="e">
        <f>C88-C86</f>
        <v>#VALUE!</v>
      </c>
      <c r="D83" s="97" t="e">
        <f>D88-D86</f>
        <v>#VALUE!</v>
      </c>
      <c r="E83" s="97" t="e">
        <f>E88-E86</f>
        <v>#VALUE!</v>
      </c>
      <c r="F83" s="97" t="e">
        <f>F88-F86</f>
        <v>#VALUE!</v>
      </c>
      <c r="G83" s="97" t="e">
        <f>G88-G86</f>
        <v>#VALUE!</v>
      </c>
      <c r="H83" s="4" t="s">
        <v>1308</v>
      </c>
      <c r="I83" s="73"/>
      <c r="J83" s="2"/>
      <c r="AG83" s="2"/>
      <c r="AH83" s="2"/>
      <c r="AI83" s="2"/>
      <c r="AJ83" s="2"/>
      <c r="AK83" s="2"/>
    </row>
    <row r="84" spans="2:37">
      <c r="C84" s="97"/>
      <c r="D84" s="97"/>
      <c r="E84" s="97"/>
      <c r="F84" s="97"/>
      <c r="G84" s="97"/>
      <c r="I84" s="73"/>
      <c r="J84" s="2"/>
      <c r="AD84" s="16"/>
      <c r="AG84" s="2"/>
      <c r="AH84" s="2"/>
      <c r="AI84" s="2"/>
      <c r="AJ84" s="2"/>
      <c r="AK84" s="2"/>
    </row>
    <row r="85" spans="2:37">
      <c r="B85" s="1" t="s">
        <v>1108</v>
      </c>
      <c r="C85" s="97" t="e">
        <f>C54-C86</f>
        <v>#VALUE!</v>
      </c>
      <c r="D85" s="97" t="e">
        <f>D54-D86</f>
        <v>#VALUE!</v>
      </c>
      <c r="E85" s="97" t="e">
        <f>E54-E86</f>
        <v>#VALUE!</v>
      </c>
      <c r="F85" s="97" t="e">
        <f>F54-F86</f>
        <v>#VALUE!</v>
      </c>
      <c r="G85" s="97" t="e">
        <f>G54-G86</f>
        <v>#VALUE!</v>
      </c>
      <c r="I85" s="73"/>
      <c r="J85" s="2"/>
      <c r="AB85" s="86"/>
      <c r="AD85" s="16"/>
      <c r="AG85" s="2"/>
      <c r="AH85" s="2"/>
      <c r="AI85" s="2"/>
      <c r="AJ85" s="2"/>
      <c r="AK85" s="2"/>
    </row>
    <row r="86" spans="2:37">
      <c r="B86" s="46" t="s">
        <v>1109</v>
      </c>
      <c r="C86" s="97" t="e">
        <v>#VALUE!</v>
      </c>
      <c r="D86" s="97" t="e">
        <v>#VALUE!</v>
      </c>
      <c r="E86" s="97" t="e">
        <v>#VALUE!</v>
      </c>
      <c r="F86" s="97" t="e">
        <v>#VALUE!</v>
      </c>
      <c r="G86" s="97" t="e">
        <v>#VALUE!</v>
      </c>
      <c r="I86" s="73"/>
      <c r="J86" s="2"/>
      <c r="AD86" s="16"/>
      <c r="AG86" s="2"/>
      <c r="AH86" s="2"/>
      <c r="AI86" s="2"/>
      <c r="AJ86" s="2"/>
      <c r="AK86" s="2"/>
    </row>
    <row r="87" spans="2:37">
      <c r="B87" s="46"/>
      <c r="C87" s="97"/>
      <c r="D87" s="97"/>
      <c r="E87" s="97"/>
      <c r="F87" s="97"/>
      <c r="G87" s="97"/>
      <c r="I87" s="73"/>
      <c r="J87" s="2"/>
      <c r="AG87" s="2"/>
      <c r="AH87" s="2"/>
      <c r="AI87" s="2"/>
      <c r="AJ87" s="2"/>
      <c r="AK87" s="2"/>
    </row>
    <row r="88" spans="2:37">
      <c r="B88" s="1" t="s">
        <v>1110</v>
      </c>
      <c r="C88" s="97" t="e">
        <v>#VALUE!</v>
      </c>
      <c r="D88" s="97" t="e">
        <v>#VALUE!</v>
      </c>
      <c r="E88" s="97" t="e">
        <v>#VALUE!</v>
      </c>
      <c r="F88" s="97" t="e">
        <v>#VALUE!</v>
      </c>
      <c r="G88" s="97" t="e">
        <v>#VALUE!</v>
      </c>
      <c r="H88" s="4" t="s">
        <v>1308</v>
      </c>
      <c r="I88" s="73"/>
      <c r="J88" s="2"/>
      <c r="AD88" s="16"/>
      <c r="AG88" s="2"/>
      <c r="AH88" s="2"/>
      <c r="AI88" s="2"/>
      <c r="AJ88" s="2"/>
      <c r="AK88" s="2"/>
    </row>
    <row r="89" spans="2:37">
      <c r="B89" s="1" t="s">
        <v>1111</v>
      </c>
      <c r="C89" s="97" t="e">
        <v>#VALUE!</v>
      </c>
      <c r="D89" s="97" t="e">
        <v>#VALUE!</v>
      </c>
      <c r="E89" s="97" t="e">
        <v>#VALUE!</v>
      </c>
      <c r="F89" s="97" t="e">
        <v>#VALUE!</v>
      </c>
      <c r="G89" s="97" t="e">
        <v>#VALUE!</v>
      </c>
      <c r="I89" s="73"/>
      <c r="J89" s="2"/>
      <c r="AB89" s="86"/>
      <c r="AD89" s="16"/>
      <c r="AG89" s="2"/>
      <c r="AH89" s="2"/>
      <c r="AI89" s="2"/>
      <c r="AJ89" s="2"/>
      <c r="AK89" s="2"/>
    </row>
    <row r="90" spans="2:37">
      <c r="B90" s="1" t="s">
        <v>1112</v>
      </c>
      <c r="C90" s="97" t="e">
        <f>C88-C89</f>
        <v>#VALUE!</v>
      </c>
      <c r="D90" s="97" t="e">
        <f>D88-D89</f>
        <v>#VALUE!</v>
      </c>
      <c r="E90" s="97" t="e">
        <f>E88-E89</f>
        <v>#VALUE!</v>
      </c>
      <c r="F90" s="97" t="e">
        <f>F88-F89</f>
        <v>#VALUE!</v>
      </c>
      <c r="G90" s="97" t="e">
        <f>G88-G89</f>
        <v>#VALUE!</v>
      </c>
      <c r="I90" s="73"/>
      <c r="J90" s="2"/>
      <c r="AB90" s="86"/>
      <c r="AD90" s="16"/>
      <c r="AG90" s="2"/>
      <c r="AH90" s="2"/>
      <c r="AI90" s="2"/>
      <c r="AJ90" s="2"/>
      <c r="AK90" s="2"/>
    </row>
    <row r="91" spans="2:37">
      <c r="C91" s="97"/>
      <c r="D91" s="97"/>
      <c r="E91" s="97"/>
      <c r="F91" s="97"/>
      <c r="G91" s="97"/>
      <c r="I91" s="73"/>
      <c r="J91" s="2"/>
      <c r="AG91" s="2"/>
      <c r="AH91" s="2"/>
      <c r="AI91" s="2"/>
      <c r="AJ91" s="2"/>
      <c r="AK91" s="2"/>
    </row>
    <row r="92" spans="2:37">
      <c r="B92" s="82" t="s">
        <v>1113</v>
      </c>
      <c r="C92" s="74" t="e">
        <v>#VALUE!</v>
      </c>
      <c r="D92" s="74" t="e">
        <v>#VALUE!</v>
      </c>
      <c r="E92" s="74" t="e">
        <v>#VALUE!</v>
      </c>
      <c r="F92" s="74" t="e">
        <v>#VALUE!</v>
      </c>
      <c r="G92" s="74" t="e">
        <v>#VALUE!</v>
      </c>
      <c r="I92" s="73"/>
      <c r="J92" s="2"/>
      <c r="AD92" s="16"/>
      <c r="AG92" s="2"/>
      <c r="AH92" s="2"/>
      <c r="AI92" s="2"/>
      <c r="AJ92" s="2"/>
      <c r="AK92" s="2"/>
    </row>
    <row r="93" spans="2:37">
      <c r="B93" s="82"/>
      <c r="C93" s="97"/>
      <c r="D93" s="97"/>
      <c r="E93" s="97"/>
      <c r="F93" s="97"/>
      <c r="G93" s="97"/>
      <c r="I93" s="73"/>
      <c r="J93" s="2"/>
      <c r="AB93" s="84"/>
      <c r="AD93" s="16"/>
      <c r="AG93" s="2"/>
      <c r="AH93" s="2"/>
      <c r="AI93" s="2"/>
      <c r="AJ93" s="2"/>
      <c r="AK93" s="2"/>
    </row>
    <row r="94" spans="2:37">
      <c r="B94" s="1" t="s">
        <v>1114</v>
      </c>
      <c r="C94" s="99" t="e">
        <v>#VALUE!</v>
      </c>
      <c r="D94" s="99" t="e">
        <v>#VALUE!</v>
      </c>
      <c r="E94" s="99" t="e">
        <v>#VALUE!</v>
      </c>
      <c r="F94" s="99" t="e">
        <v>#VALUE!</v>
      </c>
      <c r="G94" s="99" t="e">
        <v>#VALUE!</v>
      </c>
      <c r="I94" s="73"/>
      <c r="J94" s="2"/>
      <c r="AD94" s="16"/>
      <c r="AG94" s="2"/>
      <c r="AH94" s="2"/>
      <c r="AI94" s="2"/>
      <c r="AJ94" s="2"/>
      <c r="AK94" s="2"/>
    </row>
    <row r="95" spans="2:37">
      <c r="B95" s="1" t="s">
        <v>1115</v>
      </c>
      <c r="C95" s="99" t="e">
        <f>C94-C96</f>
        <v>#VALUE!</v>
      </c>
      <c r="D95" s="99" t="e">
        <f>D94-D96</f>
        <v>#VALUE!</v>
      </c>
      <c r="E95" s="99" t="e">
        <f>E94-E96</f>
        <v>#VALUE!</v>
      </c>
      <c r="F95" s="99" t="e">
        <f>F94-F96</f>
        <v>#VALUE!</v>
      </c>
      <c r="G95" s="99" t="e">
        <f>G94-G96</f>
        <v>#VALUE!</v>
      </c>
      <c r="I95" s="73"/>
      <c r="J95" s="2"/>
      <c r="AB95" s="86"/>
      <c r="AG95" s="2"/>
      <c r="AH95" s="2"/>
      <c r="AI95" s="2"/>
      <c r="AJ95" s="2"/>
      <c r="AK95" s="2"/>
    </row>
    <row r="96" spans="2:37">
      <c r="B96" s="89" t="s">
        <v>1116</v>
      </c>
      <c r="C96" s="97" t="e">
        <v>#VALUE!</v>
      </c>
      <c r="D96" s="97" t="e">
        <v>#VALUE!</v>
      </c>
      <c r="E96" s="97" t="e">
        <v>#VALUE!</v>
      </c>
      <c r="F96" s="97" t="e">
        <v>#VALUE!</v>
      </c>
      <c r="G96" s="97" t="e">
        <v>#VALUE!</v>
      </c>
      <c r="I96" s="73"/>
      <c r="J96" s="2"/>
      <c r="AD96" s="16"/>
      <c r="AG96" s="2"/>
      <c r="AH96" s="2"/>
      <c r="AI96" s="2"/>
      <c r="AJ96" s="2"/>
      <c r="AK96" s="2"/>
    </row>
    <row r="97" spans="2:37">
      <c r="B97" s="85"/>
      <c r="C97" s="97"/>
      <c r="D97" s="97"/>
      <c r="E97" s="97"/>
      <c r="F97" s="97"/>
      <c r="G97" s="97"/>
      <c r="I97" s="73"/>
      <c r="J97" s="2"/>
      <c r="AG97" s="2"/>
      <c r="AH97" s="2"/>
      <c r="AI97" s="2"/>
      <c r="AJ97" s="2"/>
      <c r="AK97" s="2"/>
    </row>
    <row r="98" spans="2:37">
      <c r="B98" s="83" t="s">
        <v>1486</v>
      </c>
      <c r="C98" s="97"/>
      <c r="D98" s="97"/>
      <c r="E98" s="97"/>
      <c r="F98" s="97"/>
      <c r="G98" s="97"/>
      <c r="I98" s="73"/>
      <c r="J98" s="2"/>
      <c r="AD98" s="16"/>
      <c r="AG98" s="2"/>
      <c r="AH98" s="2"/>
      <c r="AI98" s="2"/>
      <c r="AJ98" s="2"/>
      <c r="AK98" s="2"/>
    </row>
    <row r="99" spans="2:37">
      <c r="B99" s="146" t="s">
        <v>1487</v>
      </c>
      <c r="C99" s="97"/>
      <c r="D99" s="97"/>
      <c r="E99" s="97"/>
      <c r="F99" s="97"/>
      <c r="G99" s="97"/>
      <c r="I99" s="73"/>
      <c r="J99" s="2"/>
      <c r="AD99" s="16"/>
      <c r="AG99" s="2"/>
      <c r="AH99" s="2"/>
      <c r="AI99" s="2"/>
      <c r="AJ99" s="2"/>
      <c r="AK99" s="2"/>
    </row>
    <row r="100" spans="2:37">
      <c r="B100" s="146" t="s">
        <v>1488</v>
      </c>
      <c r="C100" s="97"/>
      <c r="D100" s="97"/>
      <c r="E100" s="97"/>
      <c r="F100" s="97"/>
      <c r="G100" s="97"/>
      <c r="I100" s="2"/>
      <c r="J100" s="2"/>
      <c r="AB100" s="86"/>
      <c r="AG100" s="2"/>
      <c r="AH100" s="2"/>
      <c r="AI100" s="2"/>
      <c r="AJ100" s="2"/>
      <c r="AK100" s="2"/>
    </row>
    <row r="101" spans="2:37">
      <c r="B101" s="146" t="s">
        <v>1489</v>
      </c>
      <c r="C101" s="97"/>
      <c r="D101" s="97"/>
      <c r="E101" s="97"/>
      <c r="F101" s="97"/>
      <c r="G101" s="97"/>
      <c r="I101" s="2"/>
      <c r="J101" s="2"/>
      <c r="AB101" s="86"/>
      <c r="AD101" s="16"/>
      <c r="AG101" s="2"/>
      <c r="AH101" s="2"/>
      <c r="AI101" s="2"/>
      <c r="AJ101" s="2"/>
      <c r="AK101" s="2"/>
    </row>
    <row r="102" spans="2:37">
      <c r="B102" s="146" t="s">
        <v>1490</v>
      </c>
      <c r="C102" s="97"/>
      <c r="D102" s="97"/>
      <c r="E102" s="97"/>
      <c r="F102" s="97"/>
      <c r="G102" s="97"/>
      <c r="I102" s="2"/>
      <c r="J102" s="2"/>
      <c r="AB102" s="86"/>
      <c r="AG102" s="2"/>
      <c r="AH102" s="2"/>
      <c r="AI102" s="2"/>
      <c r="AJ102" s="2"/>
      <c r="AK102" s="2"/>
    </row>
    <row r="103" spans="2:37">
      <c r="B103" s="146" t="s">
        <v>1491</v>
      </c>
      <c r="C103" s="97"/>
      <c r="D103" s="97"/>
      <c r="E103" s="97"/>
      <c r="F103" s="97"/>
      <c r="G103" s="97"/>
      <c r="I103" s="2"/>
      <c r="J103" s="2"/>
      <c r="AD103" s="16"/>
      <c r="AG103" s="2"/>
      <c r="AH103" s="2"/>
      <c r="AI103" s="2"/>
      <c r="AJ103" s="2"/>
      <c r="AK103" s="2"/>
    </row>
    <row r="104" spans="2:37">
      <c r="B104" s="83" t="s">
        <v>1492</v>
      </c>
      <c r="C104" s="156">
        <f>0</f>
        <v>0</v>
      </c>
      <c r="D104" s="156">
        <f>0</f>
        <v>0</v>
      </c>
      <c r="E104" s="156">
        <f>0</f>
        <v>0</v>
      </c>
      <c r="F104" s="156">
        <f>0</f>
        <v>0</v>
      </c>
      <c r="G104" s="156">
        <f>0</f>
        <v>0</v>
      </c>
      <c r="I104" s="2"/>
      <c r="J104" s="2"/>
      <c r="AD104" s="16"/>
      <c r="AG104" s="2"/>
      <c r="AH104" s="2"/>
      <c r="AI104" s="2"/>
      <c r="AJ104" s="2"/>
      <c r="AK104" s="2"/>
    </row>
    <row r="105" spans="2:37">
      <c r="B105" s="146"/>
      <c r="C105" s="97"/>
      <c r="D105" s="97"/>
      <c r="E105" s="97"/>
      <c r="F105" s="97"/>
      <c r="G105" s="97"/>
      <c r="I105" s="2"/>
      <c r="J105" s="2"/>
      <c r="AD105" s="16"/>
      <c r="AG105" s="2"/>
      <c r="AH105" s="2"/>
      <c r="AI105" s="2"/>
      <c r="AJ105" s="2"/>
      <c r="AK105" s="2"/>
    </row>
    <row r="106" spans="2:37">
      <c r="B106" s="83" t="s">
        <v>1493</v>
      </c>
      <c r="C106" s="97"/>
      <c r="D106" s="97"/>
      <c r="E106" s="97"/>
      <c r="F106" s="97"/>
      <c r="G106" s="97"/>
      <c r="I106" s="2"/>
      <c r="J106" s="2"/>
      <c r="AG106" s="2"/>
      <c r="AH106" s="2"/>
      <c r="AI106" s="2"/>
      <c r="AJ106" s="2"/>
      <c r="AK106" s="2"/>
    </row>
    <row r="107" spans="2:37">
      <c r="B107" s="146" t="s">
        <v>1494</v>
      </c>
      <c r="C107" s="97"/>
      <c r="D107" s="97"/>
      <c r="E107" s="97"/>
      <c r="F107" s="97"/>
      <c r="G107" s="97"/>
      <c r="I107" s="2"/>
      <c r="J107" s="2"/>
      <c r="AD107" s="16"/>
      <c r="AG107" s="2"/>
      <c r="AH107" s="2"/>
      <c r="AI107" s="2"/>
      <c r="AJ107" s="2"/>
      <c r="AK107" s="2"/>
    </row>
    <row r="108" spans="2:37">
      <c r="B108" s="146" t="s">
        <v>0</v>
      </c>
      <c r="C108" s="97"/>
      <c r="D108" s="97"/>
      <c r="E108" s="97"/>
      <c r="F108" s="97"/>
      <c r="G108" s="97"/>
      <c r="I108" s="2"/>
      <c r="J108" s="2"/>
      <c r="AB108" s="86"/>
      <c r="AC108" s="16"/>
      <c r="AD108" s="16"/>
      <c r="AG108" s="2"/>
      <c r="AH108" s="2"/>
      <c r="AI108" s="2"/>
      <c r="AJ108" s="2"/>
      <c r="AK108" s="2"/>
    </row>
    <row r="109" spans="2:37">
      <c r="B109" s="146" t="s">
        <v>1</v>
      </c>
      <c r="C109" s="97"/>
      <c r="D109" s="97"/>
      <c r="E109" s="97"/>
      <c r="F109" s="97"/>
      <c r="G109" s="97"/>
      <c r="I109" s="2"/>
      <c r="J109" s="2"/>
      <c r="AB109" s="86"/>
      <c r="AD109" s="16"/>
      <c r="AG109" s="2"/>
      <c r="AH109" s="2"/>
      <c r="AI109" s="2"/>
      <c r="AJ109" s="2"/>
      <c r="AK109" s="2"/>
    </row>
    <row r="110" spans="2:37">
      <c r="B110" s="146" t="s">
        <v>2</v>
      </c>
      <c r="C110" s="97"/>
      <c r="D110" s="97"/>
      <c r="E110" s="97"/>
      <c r="F110" s="97"/>
      <c r="G110" s="97"/>
      <c r="I110" s="2"/>
      <c r="J110" s="2"/>
      <c r="AB110" s="86"/>
      <c r="AD110" s="16"/>
      <c r="AG110" s="2"/>
      <c r="AH110" s="2"/>
      <c r="AI110" s="2"/>
      <c r="AJ110" s="2"/>
      <c r="AK110" s="2"/>
    </row>
    <row r="111" spans="2:37">
      <c r="B111" s="146" t="s">
        <v>3</v>
      </c>
      <c r="C111" s="97"/>
      <c r="D111" s="97"/>
      <c r="E111" s="97"/>
      <c r="F111" s="97"/>
      <c r="G111" s="97"/>
      <c r="I111" s="2"/>
      <c r="J111" s="2"/>
      <c r="AG111" s="2"/>
      <c r="AH111" s="2"/>
      <c r="AI111" s="2"/>
      <c r="AJ111" s="2"/>
      <c r="AK111" s="2"/>
    </row>
    <row r="112" spans="2:37">
      <c r="B112" s="83" t="s">
        <v>4</v>
      </c>
      <c r="C112" s="156">
        <f>0</f>
        <v>0</v>
      </c>
      <c r="D112" s="156">
        <f>0</f>
        <v>0</v>
      </c>
      <c r="E112" s="156">
        <f>0</f>
        <v>0</v>
      </c>
      <c r="F112" s="156">
        <f>0</f>
        <v>0</v>
      </c>
      <c r="G112" s="156">
        <f>0</f>
        <v>0</v>
      </c>
      <c r="I112" s="2"/>
      <c r="J112" s="2"/>
      <c r="AD112" s="16"/>
      <c r="AG112" s="2"/>
      <c r="AH112" s="2"/>
      <c r="AI112" s="2"/>
      <c r="AJ112" s="2"/>
      <c r="AK112" s="2"/>
    </row>
    <row r="113" spans="2:37">
      <c r="B113" s="85"/>
      <c r="C113" s="97"/>
      <c r="D113" s="97"/>
      <c r="E113" s="97"/>
      <c r="F113" s="97"/>
      <c r="G113" s="97"/>
      <c r="I113" s="2"/>
      <c r="J113" s="2"/>
      <c r="AG113" s="2"/>
      <c r="AH113" s="2"/>
      <c r="AI113" s="2"/>
      <c r="AJ113" s="2"/>
      <c r="AK113" s="2"/>
    </row>
    <row r="114" spans="2:37">
      <c r="B114" s="1" t="s">
        <v>1117</v>
      </c>
      <c r="C114" s="97" t="e">
        <f t="shared" ref="C114:G115" si="1">C88+C94</f>
        <v>#VALUE!</v>
      </c>
      <c r="D114" s="97" t="e">
        <f t="shared" si="1"/>
        <v>#VALUE!</v>
      </c>
      <c r="E114" s="97" t="e">
        <f t="shared" si="1"/>
        <v>#VALUE!</v>
      </c>
      <c r="F114" s="97" t="e">
        <f t="shared" si="1"/>
        <v>#VALUE!</v>
      </c>
      <c r="G114" s="97" t="e">
        <f t="shared" si="1"/>
        <v>#VALUE!</v>
      </c>
      <c r="I114" s="2"/>
      <c r="J114" s="2"/>
      <c r="AB114" s="86"/>
      <c r="AD114" s="16"/>
      <c r="AG114" s="2"/>
      <c r="AH114" s="2"/>
      <c r="AI114" s="2"/>
      <c r="AJ114" s="2"/>
      <c r="AK114" s="2"/>
    </row>
    <row r="115" spans="2:37">
      <c r="B115" s="1" t="s">
        <v>1118</v>
      </c>
      <c r="C115" s="97" t="e">
        <f t="shared" si="1"/>
        <v>#VALUE!</v>
      </c>
      <c r="D115" s="97" t="e">
        <f t="shared" si="1"/>
        <v>#VALUE!</v>
      </c>
      <c r="E115" s="97" t="e">
        <f t="shared" si="1"/>
        <v>#VALUE!</v>
      </c>
      <c r="F115" s="97" t="e">
        <f t="shared" si="1"/>
        <v>#VALUE!</v>
      </c>
      <c r="G115" s="97" t="e">
        <f t="shared" si="1"/>
        <v>#VALUE!</v>
      </c>
      <c r="I115" s="2"/>
      <c r="J115" s="2"/>
      <c r="AB115" s="86"/>
      <c r="AG115" s="2"/>
      <c r="AH115" s="2"/>
      <c r="AI115" s="2"/>
      <c r="AJ115" s="2"/>
      <c r="AK115" s="2"/>
    </row>
    <row r="116" spans="2:37">
      <c r="B116" s="1" t="s">
        <v>1119</v>
      </c>
      <c r="C116" s="97" t="e">
        <f>C114-C115</f>
        <v>#VALUE!</v>
      </c>
      <c r="D116" s="97" t="e">
        <f>D114-D115</f>
        <v>#VALUE!</v>
      </c>
      <c r="E116" s="97" t="e">
        <f>E114-E115</f>
        <v>#VALUE!</v>
      </c>
      <c r="F116" s="97" t="e">
        <f>F114-F115</f>
        <v>#VALUE!</v>
      </c>
      <c r="G116" s="97" t="e">
        <f>G114-G115</f>
        <v>#VALUE!</v>
      </c>
      <c r="I116" s="2"/>
      <c r="J116" s="2"/>
      <c r="AB116" s="86"/>
      <c r="AG116" s="2"/>
      <c r="AH116" s="2"/>
      <c r="AI116" s="2"/>
      <c r="AJ116" s="2"/>
      <c r="AK116" s="2"/>
    </row>
    <row r="117" spans="2:37">
      <c r="C117" s="97" t="s">
        <v>1027</v>
      </c>
      <c r="D117" s="97" t="s">
        <v>1027</v>
      </c>
      <c r="E117" s="97" t="s">
        <v>1027</v>
      </c>
      <c r="F117" s="97" t="s">
        <v>1027</v>
      </c>
      <c r="G117" s="97" t="s">
        <v>1027</v>
      </c>
      <c r="I117" s="2"/>
      <c r="J117" s="2"/>
      <c r="AB117" s="86"/>
      <c r="AG117" s="2"/>
      <c r="AH117" s="2"/>
      <c r="AI117" s="2"/>
      <c r="AJ117" s="2"/>
      <c r="AK117" s="2"/>
    </row>
    <row r="118" spans="2:37">
      <c r="B118" s="1" t="s">
        <v>1120</v>
      </c>
      <c r="C118" s="99">
        <v>0</v>
      </c>
      <c r="D118" s="99">
        <v>0</v>
      </c>
      <c r="E118" s="99">
        <v>0</v>
      </c>
      <c r="F118" s="99">
        <v>0</v>
      </c>
      <c r="G118" s="99">
        <v>0</v>
      </c>
      <c r="I118" s="2"/>
      <c r="J118" s="2"/>
      <c r="AG118" s="2"/>
      <c r="AH118" s="2"/>
      <c r="AI118" s="2"/>
      <c r="AJ118" s="2"/>
      <c r="AK118" s="2"/>
    </row>
    <row r="119" spans="2:37">
      <c r="B119" s="1" t="s">
        <v>1121</v>
      </c>
      <c r="C119" s="99">
        <v>0</v>
      </c>
      <c r="D119" s="99">
        <v>0</v>
      </c>
      <c r="E119" s="99">
        <v>0</v>
      </c>
      <c r="F119" s="99">
        <v>0</v>
      </c>
      <c r="G119" s="99">
        <v>0</v>
      </c>
      <c r="I119" s="2"/>
      <c r="J119" s="2"/>
      <c r="AG119" s="2"/>
      <c r="AH119" s="2"/>
      <c r="AI119" s="2"/>
      <c r="AJ119" s="2"/>
      <c r="AK119" s="2"/>
    </row>
    <row r="120" spans="2:37">
      <c r="B120" s="89" t="s">
        <v>1122</v>
      </c>
      <c r="C120" s="97">
        <f>C118-C119</f>
        <v>0</v>
      </c>
      <c r="D120" s="97">
        <f>D118-D119</f>
        <v>0</v>
      </c>
      <c r="E120" s="97">
        <f>E118-E119</f>
        <v>0</v>
      </c>
      <c r="F120" s="97">
        <f>F118-F119</f>
        <v>0</v>
      </c>
      <c r="G120" s="97">
        <f>G118-G119</f>
        <v>0</v>
      </c>
      <c r="I120" s="2"/>
      <c r="J120" s="2"/>
      <c r="AB120" s="86"/>
      <c r="AD120" s="16"/>
      <c r="AG120" s="2"/>
      <c r="AH120" s="2"/>
      <c r="AI120" s="2"/>
      <c r="AJ120" s="2"/>
      <c r="AK120" s="2"/>
    </row>
    <row r="121" spans="2:37">
      <c r="B121" s="85"/>
      <c r="C121" s="97"/>
      <c r="D121" s="97"/>
      <c r="E121" s="97"/>
      <c r="F121" s="97"/>
      <c r="G121" s="97"/>
      <c r="I121" s="2"/>
      <c r="J121" s="2"/>
      <c r="AB121" s="86"/>
      <c r="AD121" s="16"/>
      <c r="AG121" s="2"/>
      <c r="AH121" s="2"/>
      <c r="AI121" s="2"/>
      <c r="AJ121" s="2"/>
      <c r="AK121" s="2"/>
    </row>
    <row r="122" spans="2:37">
      <c r="B122" s="85" t="s">
        <v>1123</v>
      </c>
      <c r="C122" s="97" t="e">
        <f>C116+C120</f>
        <v>#VALUE!</v>
      </c>
      <c r="D122" s="97" t="e">
        <f>D116+D120</f>
        <v>#VALUE!</v>
      </c>
      <c r="E122" s="97" t="e">
        <f>E116+E120</f>
        <v>#VALUE!</v>
      </c>
      <c r="F122" s="97" t="e">
        <f>F116+F120</f>
        <v>#VALUE!</v>
      </c>
      <c r="G122" s="97" t="e">
        <f>G116+G120</f>
        <v>#VALUE!</v>
      </c>
      <c r="I122" s="2"/>
      <c r="J122" s="2"/>
      <c r="AB122" s="86"/>
      <c r="AD122" s="16"/>
      <c r="AG122" s="2"/>
      <c r="AH122" s="2"/>
      <c r="AI122" s="2"/>
      <c r="AJ122" s="2"/>
      <c r="AK122" s="2"/>
    </row>
    <row r="123" spans="2:37">
      <c r="C123" s="97" t="s">
        <v>1027</v>
      </c>
      <c r="D123" s="97" t="s">
        <v>1027</v>
      </c>
      <c r="E123" s="97" t="s">
        <v>1027</v>
      </c>
      <c r="F123" s="97" t="s">
        <v>1027</v>
      </c>
      <c r="G123" s="97" t="s">
        <v>1027</v>
      </c>
      <c r="I123" s="2"/>
      <c r="J123" s="2"/>
      <c r="AD123" s="16"/>
      <c r="AG123" s="2"/>
      <c r="AH123" s="2"/>
      <c r="AI123" s="2"/>
      <c r="AJ123" s="2"/>
      <c r="AK123" s="2"/>
    </row>
    <row r="124" spans="2:37">
      <c r="B124" s="1" t="s">
        <v>1124</v>
      </c>
      <c r="C124" s="97" t="e">
        <v>#VALUE!</v>
      </c>
      <c r="D124" s="97" t="e">
        <v>#VALUE!</v>
      </c>
      <c r="E124" s="97" t="e">
        <v>#VALUE!</v>
      </c>
      <c r="F124" s="97" t="e">
        <v>#VALUE!</v>
      </c>
      <c r="G124" s="97" t="e">
        <v>#VALUE!</v>
      </c>
      <c r="I124" s="2"/>
      <c r="J124" s="2"/>
      <c r="AD124" s="16"/>
      <c r="AG124" s="2"/>
      <c r="AH124" s="2"/>
      <c r="AI124" s="2"/>
      <c r="AJ124" s="2"/>
      <c r="AK124" s="2"/>
    </row>
    <row r="125" spans="2:37">
      <c r="B125" s="1" t="s">
        <v>1125</v>
      </c>
      <c r="C125" s="99">
        <f>0</f>
        <v>0</v>
      </c>
      <c r="D125" s="99">
        <f>0</f>
        <v>0</v>
      </c>
      <c r="E125" s="99">
        <f>0</f>
        <v>0</v>
      </c>
      <c r="F125" s="99">
        <f>0</f>
        <v>0</v>
      </c>
      <c r="G125" s="99">
        <f>0</f>
        <v>0</v>
      </c>
      <c r="I125" s="2"/>
      <c r="J125" s="2"/>
      <c r="AD125" s="16"/>
      <c r="AG125" s="2"/>
      <c r="AH125" s="2"/>
      <c r="AI125" s="2"/>
      <c r="AJ125" s="2"/>
      <c r="AK125" s="2"/>
    </row>
    <row r="126" spans="2:37">
      <c r="C126" s="97" t="s">
        <v>1027</v>
      </c>
      <c r="D126" s="97" t="s">
        <v>1027</v>
      </c>
      <c r="E126" s="97" t="s">
        <v>1027</v>
      </c>
      <c r="F126" s="97" t="s">
        <v>1027</v>
      </c>
      <c r="G126" s="97" t="s">
        <v>1027</v>
      </c>
      <c r="I126" s="2"/>
      <c r="J126" s="2"/>
      <c r="AD126" s="16"/>
      <c r="AG126" s="2"/>
      <c r="AH126" s="2"/>
      <c r="AI126" s="2"/>
      <c r="AJ126" s="2"/>
      <c r="AK126" s="2"/>
    </row>
    <row r="127" spans="2:37">
      <c r="B127" s="1" t="s">
        <v>1126</v>
      </c>
      <c r="C127" s="97" t="e">
        <f>C122-SUM(C124:C125)</f>
        <v>#VALUE!</v>
      </c>
      <c r="D127" s="97" t="e">
        <f>D122-SUM(D124:D125)</f>
        <v>#VALUE!</v>
      </c>
      <c r="E127" s="97" t="e">
        <f>E122-SUM(E124:E125)</f>
        <v>#VALUE!</v>
      </c>
      <c r="F127" s="97" t="e">
        <f>F122-SUM(F124:F125)</f>
        <v>#VALUE!</v>
      </c>
      <c r="G127" s="97" t="e">
        <f>G122-SUM(G124:G125)</f>
        <v>#VALUE!</v>
      </c>
      <c r="I127" s="2"/>
      <c r="J127" s="2"/>
      <c r="AB127" s="86"/>
      <c r="AG127" s="2"/>
      <c r="AH127" s="2"/>
      <c r="AI127" s="2"/>
      <c r="AJ127" s="2"/>
      <c r="AK127" s="2"/>
    </row>
    <row r="128" spans="2:37">
      <c r="C128" s="97"/>
      <c r="D128" s="97"/>
      <c r="E128" s="97"/>
      <c r="F128" s="97"/>
      <c r="G128" s="97"/>
      <c r="I128" s="2"/>
      <c r="J128" s="2"/>
      <c r="AG128" s="2"/>
      <c r="AH128" s="2"/>
      <c r="AI128" s="2"/>
      <c r="AJ128" s="2"/>
      <c r="AK128" s="2"/>
    </row>
    <row r="129" spans="2:37">
      <c r="B129" s="90" t="s">
        <v>1127</v>
      </c>
      <c r="C129" s="97" t="e">
        <f>MODEL!#REF!</f>
        <v>#REF!</v>
      </c>
      <c r="D129" s="97" t="e">
        <f>MODEL!#REF!</f>
        <v>#REF!</v>
      </c>
      <c r="E129" s="97" t="e">
        <f>MODEL!#REF!</f>
        <v>#REF!</v>
      </c>
      <c r="F129" s="97" t="e">
        <f>MODEL!#REF!</f>
        <v>#REF!</v>
      </c>
      <c r="G129" s="97" t="e">
        <f>MODEL!#REF!</f>
        <v>#REF!</v>
      </c>
      <c r="I129" s="2"/>
      <c r="J129" s="2"/>
      <c r="AB129" s="86"/>
      <c r="AD129" s="16"/>
      <c r="AG129" s="2"/>
      <c r="AH129" s="2"/>
      <c r="AI129" s="2"/>
      <c r="AJ129" s="2"/>
      <c r="AK129" s="2"/>
    </row>
    <row r="130" spans="2:37">
      <c r="B130" s="90" t="s">
        <v>1128</v>
      </c>
      <c r="C130" s="99">
        <f>0</f>
        <v>0</v>
      </c>
      <c r="D130" s="99">
        <f>0</f>
        <v>0</v>
      </c>
      <c r="E130" s="99">
        <f>0</f>
        <v>0</v>
      </c>
      <c r="F130" s="99">
        <f>0</f>
        <v>0</v>
      </c>
      <c r="G130" s="99">
        <f>0</f>
        <v>0</v>
      </c>
      <c r="I130" s="2"/>
      <c r="J130" s="2"/>
      <c r="AD130" s="16"/>
      <c r="AG130" s="2"/>
      <c r="AH130" s="2"/>
      <c r="AI130" s="2"/>
      <c r="AJ130" s="2"/>
      <c r="AK130" s="2"/>
    </row>
    <row r="131" spans="2:37">
      <c r="B131" s="89" t="s">
        <v>1129</v>
      </c>
      <c r="C131" s="97" t="e">
        <f>C127+C129+C130</f>
        <v>#VALUE!</v>
      </c>
      <c r="D131" s="97" t="e">
        <f>D127+D129+D130</f>
        <v>#VALUE!</v>
      </c>
      <c r="E131" s="97" t="e">
        <f>E127+E129+E130</f>
        <v>#VALUE!</v>
      </c>
      <c r="F131" s="97" t="e">
        <f>F127+F129+F130</f>
        <v>#VALUE!</v>
      </c>
      <c r="G131" s="97" t="e">
        <f>G127+G129+G130</f>
        <v>#VALUE!</v>
      </c>
      <c r="I131" s="2"/>
      <c r="J131" s="2"/>
      <c r="AD131" s="16"/>
      <c r="AG131" s="2"/>
      <c r="AH131" s="2"/>
      <c r="AI131" s="2"/>
      <c r="AJ131" s="2"/>
      <c r="AK131" s="2"/>
    </row>
    <row r="132" spans="2:37">
      <c r="C132" s="97"/>
      <c r="D132" s="97"/>
      <c r="E132" s="97"/>
      <c r="F132" s="97"/>
      <c r="G132" s="97"/>
      <c r="I132" s="2"/>
      <c r="J132" s="2"/>
      <c r="AD132" s="16"/>
      <c r="AG132" s="2"/>
      <c r="AH132" s="2"/>
      <c r="AI132" s="2"/>
      <c r="AJ132" s="2"/>
      <c r="AK132" s="2"/>
    </row>
    <row r="133" spans="2:37">
      <c r="B133" s="1" t="s">
        <v>1130</v>
      </c>
      <c r="C133" s="97" t="e">
        <v>#VALUE!</v>
      </c>
      <c r="D133" s="97" t="e">
        <v>#VALUE!</v>
      </c>
      <c r="E133" s="97" t="e">
        <v>#VALUE!</v>
      </c>
      <c r="F133" s="97" t="e">
        <v>#VALUE!</v>
      </c>
      <c r="G133" s="97" t="e">
        <v>#VALUE!</v>
      </c>
      <c r="I133" s="2"/>
      <c r="J133" s="2"/>
      <c r="AD133" s="16"/>
      <c r="AG133" s="2"/>
      <c r="AH133" s="2"/>
      <c r="AI133" s="2"/>
      <c r="AJ133" s="2"/>
      <c r="AK133" s="2"/>
    </row>
    <row r="134" spans="2:37">
      <c r="B134" s="89" t="s">
        <v>1131</v>
      </c>
      <c r="C134" s="99">
        <f>30</f>
        <v>30</v>
      </c>
      <c r="D134" s="99">
        <f>30</f>
        <v>30</v>
      </c>
      <c r="E134" s="99">
        <f>30</f>
        <v>30</v>
      </c>
      <c r="F134" s="99">
        <f>30</f>
        <v>30</v>
      </c>
      <c r="G134" s="99">
        <f>30</f>
        <v>30</v>
      </c>
      <c r="I134" s="2"/>
      <c r="J134" s="2"/>
      <c r="AD134" s="16"/>
      <c r="AG134" s="2"/>
      <c r="AH134" s="2"/>
      <c r="AI134" s="2"/>
      <c r="AJ134" s="2"/>
      <c r="AK134" s="2"/>
    </row>
    <row r="135" spans="2:37">
      <c r="B135" s="91" t="s">
        <v>1132</v>
      </c>
      <c r="C135" s="97" t="s">
        <v>1027</v>
      </c>
      <c r="D135" s="97" t="s">
        <v>1027</v>
      </c>
      <c r="E135" s="97" t="s">
        <v>1027</v>
      </c>
      <c r="F135" s="97" t="s">
        <v>1027</v>
      </c>
      <c r="G135" s="97" t="s">
        <v>1027</v>
      </c>
      <c r="I135" s="2"/>
      <c r="J135" s="2"/>
      <c r="AD135" s="16"/>
      <c r="AG135" s="2"/>
      <c r="AH135" s="2"/>
      <c r="AI135" s="2"/>
      <c r="AJ135" s="2"/>
      <c r="AK135" s="2"/>
    </row>
    <row r="136" spans="2:37">
      <c r="B136" s="92" t="s">
        <v>1133</v>
      </c>
      <c r="C136" s="97" t="s">
        <v>1027</v>
      </c>
      <c r="D136" s="97" t="s">
        <v>1027</v>
      </c>
      <c r="E136" s="97" t="s">
        <v>1027</v>
      </c>
      <c r="F136" s="97" t="s">
        <v>1027</v>
      </c>
      <c r="G136" s="97" t="s">
        <v>1027</v>
      </c>
      <c r="I136" s="2"/>
      <c r="J136" s="2"/>
      <c r="AD136" s="16"/>
      <c r="AG136" s="2"/>
      <c r="AH136" s="2"/>
      <c r="AI136" s="2"/>
      <c r="AJ136" s="2"/>
      <c r="AK136" s="2"/>
    </row>
    <row r="137" spans="2:37">
      <c r="C137" s="97"/>
      <c r="D137" s="97"/>
      <c r="E137" s="97"/>
      <c r="F137" s="97"/>
      <c r="G137" s="97"/>
      <c r="I137" s="2"/>
      <c r="J137" s="2"/>
      <c r="AD137" s="16"/>
      <c r="AG137" s="2"/>
      <c r="AH137" s="2"/>
      <c r="AI137" s="2"/>
      <c r="AJ137" s="2"/>
      <c r="AK137" s="2"/>
    </row>
    <row r="138" spans="2:37">
      <c r="B138" s="1" t="s">
        <v>1134</v>
      </c>
      <c r="C138" s="97" t="e">
        <f>C131-C133-SUM(C135:C136)</f>
        <v>#VALUE!</v>
      </c>
      <c r="D138" s="97" t="e">
        <f>D131-D133-SUM(D135:D136)</f>
        <v>#VALUE!</v>
      </c>
      <c r="E138" s="97" t="e">
        <f>E131-E133-SUM(E135:E136)</f>
        <v>#VALUE!</v>
      </c>
      <c r="F138" s="97" t="e">
        <f>F131-F133-SUM(F135:F136)</f>
        <v>#VALUE!</v>
      </c>
      <c r="G138" s="97" t="e">
        <f>G131-G133-SUM(G135:G136)</f>
        <v>#VALUE!</v>
      </c>
      <c r="I138" s="2"/>
      <c r="J138" s="2"/>
      <c r="AD138" s="16"/>
      <c r="AG138" s="2"/>
      <c r="AH138" s="2"/>
      <c r="AI138" s="2"/>
      <c r="AJ138" s="2"/>
      <c r="AK138" s="2"/>
    </row>
    <row r="139" spans="2:37">
      <c r="C139" s="97"/>
      <c r="D139" s="97"/>
      <c r="E139" s="97"/>
      <c r="F139" s="97"/>
      <c r="G139" s="97"/>
      <c r="I139" s="2"/>
      <c r="J139" s="2"/>
      <c r="AB139" s="84"/>
      <c r="AG139" s="2"/>
      <c r="AH139" s="2"/>
      <c r="AI139" s="2"/>
      <c r="AJ139" s="2"/>
      <c r="AK139" s="2"/>
    </row>
    <row r="140" spans="2:37">
      <c r="B140" s="89" t="s">
        <v>1135</v>
      </c>
      <c r="C140" s="99">
        <f>0</f>
        <v>0</v>
      </c>
      <c r="D140" s="99">
        <f>0</f>
        <v>0</v>
      </c>
      <c r="E140" s="99">
        <f>0</f>
        <v>0</v>
      </c>
      <c r="F140" s="99">
        <f>0</f>
        <v>0</v>
      </c>
      <c r="G140" s="99">
        <f>0</f>
        <v>0</v>
      </c>
      <c r="I140" s="2"/>
      <c r="J140" s="2"/>
      <c r="AD140" s="16"/>
      <c r="AG140" s="2"/>
      <c r="AH140" s="2"/>
      <c r="AI140" s="2"/>
      <c r="AJ140" s="2"/>
      <c r="AK140" s="2"/>
    </row>
    <row r="141" spans="2:37">
      <c r="B141" s="89"/>
      <c r="C141" s="97"/>
      <c r="D141" s="97"/>
      <c r="E141" s="97"/>
      <c r="F141" s="97"/>
      <c r="G141" s="97"/>
      <c r="I141" s="2"/>
      <c r="J141" s="2"/>
      <c r="AB141" s="86"/>
      <c r="AG141" s="2"/>
      <c r="AH141" s="2"/>
      <c r="AI141" s="2"/>
    </row>
    <row r="142" spans="2:37">
      <c r="B142" s="83" t="s">
        <v>5</v>
      </c>
      <c r="C142" s="96"/>
      <c r="D142" s="96"/>
      <c r="E142" s="96"/>
      <c r="F142" s="96"/>
      <c r="G142" s="96"/>
      <c r="I142" s="2"/>
      <c r="J142" s="2"/>
      <c r="AG142" s="2"/>
      <c r="AH142" s="2"/>
      <c r="AI142" s="2"/>
    </row>
    <row r="143" spans="2:37">
      <c r="B143" s="89" t="s">
        <v>6</v>
      </c>
      <c r="C143" s="99">
        <f>0</f>
        <v>0</v>
      </c>
      <c r="D143" s="99">
        <f>0</f>
        <v>0</v>
      </c>
      <c r="E143" s="99">
        <f>0</f>
        <v>0</v>
      </c>
      <c r="F143" s="99">
        <f>0</f>
        <v>0</v>
      </c>
      <c r="G143" s="99">
        <f>0</f>
        <v>0</v>
      </c>
      <c r="I143" s="2"/>
      <c r="J143" s="2"/>
      <c r="AD143" s="16"/>
      <c r="AG143" s="2"/>
      <c r="AH143" s="2"/>
      <c r="AI143" s="2"/>
    </row>
    <row r="144" spans="2:37">
      <c r="B144" s="89" t="s">
        <v>7</v>
      </c>
      <c r="C144" s="99">
        <f>0</f>
        <v>0</v>
      </c>
      <c r="D144" s="99">
        <f>0</f>
        <v>0</v>
      </c>
      <c r="E144" s="99">
        <f>0</f>
        <v>0</v>
      </c>
      <c r="F144" s="99">
        <f>0</f>
        <v>0</v>
      </c>
      <c r="G144" s="99">
        <f>0</f>
        <v>0</v>
      </c>
      <c r="I144" s="2"/>
      <c r="J144" s="2"/>
      <c r="AD144" s="16"/>
      <c r="AG144" s="2"/>
      <c r="AH144" s="2"/>
      <c r="AI144" s="2"/>
    </row>
    <row r="145" spans="2:35">
      <c r="B145" s="89" t="s">
        <v>8</v>
      </c>
      <c r="C145" s="99">
        <f>0</f>
        <v>0</v>
      </c>
      <c r="D145" s="99">
        <f>0</f>
        <v>0</v>
      </c>
      <c r="E145" s="99">
        <f>0</f>
        <v>0</v>
      </c>
      <c r="F145" s="99">
        <f>0</f>
        <v>0</v>
      </c>
      <c r="G145" s="99">
        <f>0</f>
        <v>0</v>
      </c>
      <c r="I145" s="2"/>
      <c r="J145" s="2"/>
      <c r="AD145" s="16"/>
      <c r="AG145" s="2"/>
      <c r="AH145" s="2"/>
      <c r="AI145" s="2"/>
    </row>
    <row r="146" spans="2:35">
      <c r="B146" s="89" t="s">
        <v>9</v>
      </c>
      <c r="C146" s="96" t="e">
        <f>C147-SUM(C143:C145)</f>
        <v>#VALUE!</v>
      </c>
      <c r="D146" s="96" t="e">
        <f>D147-SUM(D143:D145)</f>
        <v>#VALUE!</v>
      </c>
      <c r="E146" s="96" t="e">
        <f>E147-SUM(E143:E145)</f>
        <v>#VALUE!</v>
      </c>
      <c r="F146" s="96" t="e">
        <f>F147-SUM(F143:F145)</f>
        <v>#VALUE!</v>
      </c>
      <c r="G146" s="96" t="e">
        <f>G147-SUM(G143:G145)</f>
        <v>#VALUE!</v>
      </c>
      <c r="I146" s="2"/>
      <c r="J146" s="2"/>
      <c r="AD146" s="16"/>
      <c r="AG146" s="2"/>
      <c r="AH146" s="2"/>
      <c r="AI146" s="2"/>
    </row>
    <row r="147" spans="2:35" ht="12.6" customHeight="1">
      <c r="B147" s="83" t="s">
        <v>10</v>
      </c>
      <c r="C147" s="97" t="e">
        <v>#VALUE!</v>
      </c>
      <c r="D147" s="97" t="e">
        <v>#VALUE!</v>
      </c>
      <c r="E147" s="97" t="e">
        <v>#VALUE!</v>
      </c>
      <c r="F147" s="97" t="e">
        <v>#VALUE!</v>
      </c>
      <c r="G147" s="97" t="e">
        <v>#VALUE!</v>
      </c>
      <c r="I147" s="2"/>
      <c r="J147" s="2"/>
      <c r="AD147" s="16"/>
      <c r="AG147" s="2"/>
      <c r="AH147" s="2"/>
      <c r="AI147" s="2"/>
    </row>
    <row r="148" spans="2:35">
      <c r="B148" s="89"/>
      <c r="C148" s="96"/>
      <c r="D148" s="96"/>
      <c r="E148" s="96"/>
      <c r="F148" s="96"/>
      <c r="G148" s="96"/>
      <c r="I148" s="2"/>
      <c r="J148" s="2"/>
      <c r="AB148" s="86"/>
      <c r="AD148" s="16"/>
      <c r="AG148" s="2"/>
      <c r="AH148" s="2"/>
      <c r="AI148" s="2"/>
    </row>
    <row r="149" spans="2:35">
      <c r="B149" s="83" t="s">
        <v>1136</v>
      </c>
      <c r="C149" s="96"/>
      <c r="D149" s="96"/>
      <c r="E149" s="96"/>
      <c r="F149" s="96"/>
      <c r="G149" s="96"/>
      <c r="I149" s="2"/>
      <c r="J149" s="2"/>
      <c r="AD149" s="16"/>
      <c r="AG149" s="2"/>
      <c r="AH149" s="2"/>
      <c r="AI149" s="2"/>
    </row>
    <row r="150" spans="2:35">
      <c r="C150" s="96"/>
      <c r="D150" s="96"/>
      <c r="E150" s="96"/>
      <c r="F150" s="96"/>
      <c r="G150" s="96"/>
      <c r="I150" s="2"/>
      <c r="J150" s="2"/>
      <c r="AB150" s="86"/>
      <c r="AG150" s="2"/>
      <c r="AH150" s="2"/>
      <c r="AI150" s="2"/>
    </row>
    <row r="151" spans="2:35">
      <c r="B151" s="46" t="s">
        <v>1137</v>
      </c>
      <c r="C151" s="96"/>
      <c r="D151" s="96"/>
      <c r="E151" s="96"/>
      <c r="F151" s="96"/>
      <c r="G151" s="96"/>
      <c r="I151" s="2"/>
      <c r="J151" s="2"/>
      <c r="AG151" s="2"/>
      <c r="AH151" s="2"/>
      <c r="AI151" s="2"/>
    </row>
    <row r="152" spans="2:35">
      <c r="B152" s="1" t="s">
        <v>1138</v>
      </c>
      <c r="C152" s="97" t="e">
        <v>#VALUE!</v>
      </c>
      <c r="D152" s="97" t="e">
        <v>#VALUE!</v>
      </c>
      <c r="E152" s="97" t="e">
        <v>#VALUE!</v>
      </c>
      <c r="F152" s="97" t="e">
        <v>#VALUE!</v>
      </c>
      <c r="G152" s="97" t="e">
        <v>#VALUE!</v>
      </c>
      <c r="I152" s="2"/>
      <c r="J152" s="2"/>
      <c r="AD152" s="16"/>
      <c r="AG152" s="2"/>
      <c r="AH152" s="2"/>
      <c r="AI152" s="2"/>
    </row>
    <row r="153" spans="2:35">
      <c r="B153" s="89" t="s">
        <v>1139</v>
      </c>
      <c r="C153" s="97" t="e">
        <v>#VALUE!</v>
      </c>
      <c r="D153" s="97" t="e">
        <v>#VALUE!</v>
      </c>
      <c r="E153" s="97" t="e">
        <v>#VALUE!</v>
      </c>
      <c r="F153" s="97" t="e">
        <v>#VALUE!</v>
      </c>
      <c r="G153" s="97" t="e">
        <v>#VALUE!</v>
      </c>
      <c r="I153" s="2"/>
      <c r="J153" s="2"/>
      <c r="AD153" s="16"/>
      <c r="AG153" s="2"/>
      <c r="AH153" s="2"/>
      <c r="AI153" s="2"/>
    </row>
    <row r="154" spans="2:35">
      <c r="B154" s="82" t="s">
        <v>1140</v>
      </c>
      <c r="C154" s="99">
        <v>0</v>
      </c>
      <c r="D154" s="99">
        <v>0</v>
      </c>
      <c r="E154" s="99">
        <v>0</v>
      </c>
      <c r="F154" s="99">
        <v>0</v>
      </c>
      <c r="G154" s="99">
        <v>0</v>
      </c>
      <c r="I154" s="2"/>
      <c r="J154" s="2"/>
      <c r="AD154" s="16"/>
      <c r="AG154" s="2"/>
      <c r="AH154" s="2"/>
      <c r="AI154" s="2"/>
    </row>
    <row r="155" spans="2:35">
      <c r="B155" s="1" t="s">
        <v>1141</v>
      </c>
      <c r="C155" s="99">
        <v>0</v>
      </c>
      <c r="D155" s="99">
        <v>0</v>
      </c>
      <c r="E155" s="99">
        <v>0</v>
      </c>
      <c r="F155" s="99">
        <v>0</v>
      </c>
      <c r="G155" s="99">
        <v>0</v>
      </c>
      <c r="I155" s="2"/>
      <c r="J155" s="2"/>
      <c r="AD155" s="16"/>
      <c r="AG155" s="2"/>
      <c r="AH155" s="2"/>
      <c r="AI155" s="2"/>
    </row>
    <row r="156" spans="2:35">
      <c r="B156" s="1" t="s">
        <v>1142</v>
      </c>
      <c r="C156" s="97" t="e">
        <v>#VALUE!</v>
      </c>
      <c r="D156" s="97" t="e">
        <v>#VALUE!</v>
      </c>
      <c r="E156" s="97" t="e">
        <v>#VALUE!</v>
      </c>
      <c r="F156" s="97" t="e">
        <v>#VALUE!</v>
      </c>
      <c r="G156" s="97" t="e">
        <v>#VALUE!</v>
      </c>
      <c r="I156" s="2"/>
      <c r="J156" s="2"/>
      <c r="AB156" s="86"/>
      <c r="AD156" s="16"/>
      <c r="AG156" s="2"/>
      <c r="AH156" s="2"/>
      <c r="AI156" s="2"/>
    </row>
    <row r="157" spans="2:35">
      <c r="B157" s="1" t="s">
        <v>11</v>
      </c>
      <c r="C157" s="97"/>
      <c r="D157" s="97"/>
      <c r="E157" s="97"/>
      <c r="F157" s="97"/>
      <c r="G157" s="97"/>
      <c r="I157" s="2"/>
      <c r="J157" s="2"/>
      <c r="AD157" s="16"/>
      <c r="AG157" s="2"/>
      <c r="AH157" s="2"/>
      <c r="AI157" s="2"/>
    </row>
    <row r="158" spans="2:35">
      <c r="B158" s="82" t="s">
        <v>1143</v>
      </c>
      <c r="C158" s="97" t="e">
        <v>#VALUE!</v>
      </c>
      <c r="D158" s="97" t="e">
        <v>#VALUE!</v>
      </c>
      <c r="E158" s="97" t="e">
        <v>#VALUE!</v>
      </c>
      <c r="F158" s="97" t="e">
        <v>#VALUE!</v>
      </c>
      <c r="G158" s="97" t="e">
        <v>#VALUE!</v>
      </c>
      <c r="I158" s="2"/>
      <c r="J158" s="2"/>
      <c r="AB158" s="86"/>
      <c r="AG158" s="2"/>
      <c r="AH158" s="2"/>
      <c r="AI158" s="2"/>
    </row>
    <row r="159" spans="2:35">
      <c r="B159" s="46" t="s">
        <v>1144</v>
      </c>
      <c r="C159" s="96" t="e">
        <f>SUM(C152:C158)</f>
        <v>#VALUE!</v>
      </c>
      <c r="D159" s="96" t="e">
        <f>SUM(D152:D158)</f>
        <v>#VALUE!</v>
      </c>
      <c r="E159" s="96" t="e">
        <f>SUM(E152:E158)</f>
        <v>#VALUE!</v>
      </c>
      <c r="F159" s="96" t="e">
        <f>SUM(F152:F158)</f>
        <v>#VALUE!</v>
      </c>
      <c r="G159" s="96" t="e">
        <f>SUM(G152:G158)</f>
        <v>#VALUE!</v>
      </c>
      <c r="I159" s="2"/>
      <c r="J159" s="2"/>
      <c r="AD159" s="16"/>
      <c r="AG159" s="2"/>
      <c r="AH159" s="2"/>
      <c r="AI159" s="2"/>
    </row>
    <row r="160" spans="2:35">
      <c r="C160" s="96"/>
      <c r="D160" s="96"/>
      <c r="E160" s="96"/>
      <c r="F160" s="96"/>
      <c r="G160" s="96"/>
      <c r="I160" s="2"/>
      <c r="J160" s="2"/>
      <c r="AG160" s="2"/>
      <c r="AH160" s="2"/>
      <c r="AI160" s="2"/>
    </row>
    <row r="161" spans="2:35">
      <c r="B161" s="46" t="s">
        <v>1145</v>
      </c>
      <c r="C161" s="96"/>
      <c r="D161" s="96"/>
      <c r="E161" s="96"/>
      <c r="F161" s="96"/>
      <c r="G161" s="96"/>
      <c r="I161" s="2"/>
      <c r="J161" s="2"/>
      <c r="AD161" s="16"/>
      <c r="AG161" s="2"/>
      <c r="AH161" s="2"/>
      <c r="AI161" s="2"/>
    </row>
    <row r="162" spans="2:35">
      <c r="B162" s="1" t="s">
        <v>1146</v>
      </c>
      <c r="C162" s="99">
        <v>0</v>
      </c>
      <c r="D162" s="99">
        <v>0</v>
      </c>
      <c r="E162" s="99">
        <v>0</v>
      </c>
      <c r="F162" s="99">
        <v>0</v>
      </c>
      <c r="G162" s="99">
        <v>0</v>
      </c>
      <c r="I162" s="2"/>
      <c r="J162" s="2"/>
      <c r="AG162" s="2"/>
      <c r="AH162" s="2"/>
      <c r="AI162" s="2"/>
    </row>
    <row r="163" spans="2:35">
      <c r="B163" s="82" t="s">
        <v>1140</v>
      </c>
      <c r="C163" s="99">
        <v>0</v>
      </c>
      <c r="D163" s="99">
        <v>0</v>
      </c>
      <c r="E163" s="99">
        <v>0</v>
      </c>
      <c r="F163" s="99">
        <v>0</v>
      </c>
      <c r="G163" s="99">
        <v>0</v>
      </c>
      <c r="I163" s="2"/>
      <c r="J163" s="2"/>
      <c r="AB163" s="86"/>
      <c r="AD163" s="16"/>
      <c r="AG163" s="2"/>
      <c r="AH163" s="2"/>
      <c r="AI163" s="2"/>
    </row>
    <row r="164" spans="2:35">
      <c r="B164" s="89" t="s">
        <v>1141</v>
      </c>
      <c r="C164" s="97" t="e">
        <v>#VALUE!</v>
      </c>
      <c r="D164" s="97" t="e">
        <v>#VALUE!</v>
      </c>
      <c r="E164" s="97" t="e">
        <v>#VALUE!</v>
      </c>
      <c r="F164" s="97" t="e">
        <v>#VALUE!</v>
      </c>
      <c r="G164" s="97" t="e">
        <v>#VALUE!</v>
      </c>
      <c r="I164" s="2"/>
      <c r="J164" s="2"/>
      <c r="AG164" s="2"/>
      <c r="AH164" s="2"/>
      <c r="AI164" s="2"/>
    </row>
    <row r="165" spans="2:35">
      <c r="B165" s="82" t="s">
        <v>1142</v>
      </c>
      <c r="C165" s="99">
        <f>0</f>
        <v>0</v>
      </c>
      <c r="D165" s="99">
        <f>0</f>
        <v>0</v>
      </c>
      <c r="E165" s="99">
        <f>0</f>
        <v>0</v>
      </c>
      <c r="F165" s="99">
        <f>0</f>
        <v>0</v>
      </c>
      <c r="G165" s="99">
        <f>0</f>
        <v>0</v>
      </c>
      <c r="I165" s="2"/>
      <c r="J165" s="2"/>
      <c r="AB165" s="84"/>
      <c r="AG165" s="2"/>
      <c r="AH165" s="2"/>
      <c r="AI165" s="2"/>
    </row>
    <row r="166" spans="2:35">
      <c r="B166" s="89" t="s">
        <v>1147</v>
      </c>
      <c r="C166" s="97">
        <f>0</f>
        <v>0</v>
      </c>
      <c r="D166" s="97">
        <f>0</f>
        <v>0</v>
      </c>
      <c r="E166" s="97">
        <f>0</f>
        <v>0</v>
      </c>
      <c r="F166" s="97">
        <f>0</f>
        <v>0</v>
      </c>
      <c r="G166" s="97">
        <f>0</f>
        <v>0</v>
      </c>
      <c r="I166" s="2"/>
      <c r="J166" s="2"/>
      <c r="AB166" s="84"/>
      <c r="AG166" s="2"/>
      <c r="AH166" s="2"/>
      <c r="AI166" s="2"/>
    </row>
    <row r="167" spans="2:35">
      <c r="B167" s="1" t="s">
        <v>1148</v>
      </c>
      <c r="C167" s="97" t="e">
        <v>#VALUE!</v>
      </c>
      <c r="D167" s="97" t="e">
        <v>#VALUE!</v>
      </c>
      <c r="E167" s="97" t="e">
        <v>#VALUE!</v>
      </c>
      <c r="F167" s="97" t="e">
        <v>#VALUE!</v>
      </c>
      <c r="G167" s="97" t="e">
        <v>#VALUE!</v>
      </c>
      <c r="I167" s="2"/>
      <c r="J167" s="2"/>
      <c r="AB167" s="86"/>
      <c r="AD167" s="16"/>
      <c r="AG167" s="2"/>
      <c r="AH167" s="2"/>
      <c r="AI167" s="2"/>
    </row>
    <row r="168" spans="2:35">
      <c r="B168" s="1" t="s">
        <v>12</v>
      </c>
      <c r="C168" s="99">
        <f>0</f>
        <v>0</v>
      </c>
      <c r="D168" s="99">
        <f>0</f>
        <v>0</v>
      </c>
      <c r="E168" s="99">
        <f>0</f>
        <v>0</v>
      </c>
      <c r="F168" s="99">
        <f>0</f>
        <v>0</v>
      </c>
      <c r="G168" s="99">
        <f>0</f>
        <v>0</v>
      </c>
      <c r="I168" s="2"/>
      <c r="J168" s="2"/>
      <c r="AD168" s="16"/>
      <c r="AG168" s="2"/>
      <c r="AH168" s="2"/>
      <c r="AI168" s="2"/>
    </row>
    <row r="169" spans="2:35">
      <c r="B169" s="1" t="s">
        <v>1149</v>
      </c>
      <c r="C169" s="97" t="e">
        <v>#VALUE!</v>
      </c>
      <c r="D169" s="97" t="e">
        <v>#VALUE!</v>
      </c>
      <c r="E169" s="97" t="e">
        <v>#VALUE!</v>
      </c>
      <c r="F169" s="97" t="e">
        <v>#VALUE!</v>
      </c>
      <c r="G169" s="97" t="e">
        <v>#VALUE!</v>
      </c>
      <c r="I169" s="2"/>
      <c r="J169" s="2"/>
      <c r="AD169" s="16"/>
      <c r="AG169" s="2"/>
      <c r="AH169" s="2"/>
      <c r="AI169" s="2"/>
    </row>
    <row r="170" spans="2:35">
      <c r="B170" s="1" t="s">
        <v>13</v>
      </c>
      <c r="C170" s="97" t="e">
        <v>#VALUE!</v>
      </c>
      <c r="D170" s="97" t="e">
        <v>#VALUE!</v>
      </c>
      <c r="E170" s="97" t="e">
        <v>#VALUE!</v>
      </c>
      <c r="F170" s="97" t="e">
        <v>#VALUE!</v>
      </c>
      <c r="G170" s="97" t="e">
        <v>#VALUE!</v>
      </c>
      <c r="AD170" s="16"/>
      <c r="AG170" s="2"/>
      <c r="AH170" s="2"/>
      <c r="AI170" s="2"/>
    </row>
    <row r="171" spans="2:35">
      <c r="B171" s="1" t="s">
        <v>14</v>
      </c>
      <c r="C171" s="99">
        <f>0</f>
        <v>0</v>
      </c>
      <c r="D171" s="99">
        <f>0</f>
        <v>0</v>
      </c>
      <c r="E171" s="99">
        <f>0</f>
        <v>0</v>
      </c>
      <c r="F171" s="99">
        <f>0</f>
        <v>0</v>
      </c>
      <c r="G171" s="99">
        <f>0</f>
        <v>0</v>
      </c>
      <c r="AD171" s="16"/>
      <c r="AG171" s="2"/>
      <c r="AH171" s="2"/>
      <c r="AI171" s="2"/>
    </row>
    <row r="172" spans="2:35">
      <c r="B172" s="1" t="s">
        <v>15</v>
      </c>
      <c r="C172" s="99">
        <f>0</f>
        <v>0</v>
      </c>
      <c r="D172" s="99">
        <f>0</f>
        <v>0</v>
      </c>
      <c r="E172" s="99">
        <f>0</f>
        <v>0</v>
      </c>
      <c r="F172" s="99">
        <f>0</f>
        <v>0</v>
      </c>
      <c r="G172" s="99">
        <f>0</f>
        <v>0</v>
      </c>
      <c r="AD172" s="16"/>
      <c r="AG172" s="2"/>
      <c r="AH172" s="2"/>
      <c r="AI172" s="2"/>
    </row>
    <row r="173" spans="2:35">
      <c r="B173" s="1" t="s">
        <v>11</v>
      </c>
      <c r="C173" s="99">
        <f>0</f>
        <v>0</v>
      </c>
      <c r="D173" s="99">
        <f>0</f>
        <v>0</v>
      </c>
      <c r="E173" s="99">
        <f>0</f>
        <v>0</v>
      </c>
      <c r="F173" s="99">
        <f>0</f>
        <v>0</v>
      </c>
      <c r="G173" s="99">
        <f>0</f>
        <v>0</v>
      </c>
      <c r="AD173" s="16"/>
      <c r="AG173" s="2"/>
      <c r="AH173" s="2"/>
      <c r="AI173" s="2"/>
    </row>
    <row r="174" spans="2:35">
      <c r="B174" s="82" t="s">
        <v>1143</v>
      </c>
      <c r="C174" s="97" t="e">
        <v>#VALUE!</v>
      </c>
      <c r="D174" s="97" t="e">
        <v>#VALUE!</v>
      </c>
      <c r="E174" s="97" t="e">
        <v>#VALUE!</v>
      </c>
      <c r="F174" s="97" t="e">
        <v>#VALUE!</v>
      </c>
      <c r="G174" s="97" t="e">
        <v>#VALUE!</v>
      </c>
      <c r="AD174" s="16"/>
      <c r="AG174" s="2"/>
      <c r="AH174" s="2"/>
      <c r="AI174" s="2"/>
    </row>
    <row r="175" spans="2:35">
      <c r="B175" s="46" t="s">
        <v>1150</v>
      </c>
      <c r="C175" s="96" t="e">
        <f>SUM(C162:C174)</f>
        <v>#VALUE!</v>
      </c>
      <c r="D175" s="96" t="e">
        <f>SUM(D162:D174)</f>
        <v>#VALUE!</v>
      </c>
      <c r="E175" s="96" t="e">
        <f>SUM(E162:E174)</f>
        <v>#VALUE!</v>
      </c>
      <c r="F175" s="96" t="e">
        <f>SUM(F162:F174)</f>
        <v>#VALUE!</v>
      </c>
      <c r="G175" s="96" t="e">
        <f>SUM(G162:G174)</f>
        <v>#VALUE!</v>
      </c>
      <c r="AD175" s="16"/>
      <c r="AG175" s="2"/>
      <c r="AH175" s="2"/>
      <c r="AI175" s="2"/>
    </row>
    <row r="176" spans="2:35">
      <c r="C176" s="96"/>
      <c r="D176" s="96"/>
      <c r="E176" s="96"/>
      <c r="F176" s="96"/>
      <c r="G176" s="96"/>
      <c r="AD176" s="16"/>
      <c r="AG176" s="2"/>
      <c r="AH176" s="2"/>
      <c r="AI176" s="2"/>
    </row>
    <row r="177" spans="2:35">
      <c r="B177" s="46" t="s">
        <v>1151</v>
      </c>
      <c r="C177" s="96" t="e">
        <f>C159+C175</f>
        <v>#VALUE!</v>
      </c>
      <c r="D177" s="96" t="e">
        <f>D159+D175</f>
        <v>#VALUE!</v>
      </c>
      <c r="E177" s="96" t="e">
        <f>E159+E175</f>
        <v>#VALUE!</v>
      </c>
      <c r="F177" s="96" t="e">
        <f>F159+F175</f>
        <v>#VALUE!</v>
      </c>
      <c r="G177" s="96" t="e">
        <f>G159+G175</f>
        <v>#VALUE!</v>
      </c>
      <c r="AD177" s="16"/>
      <c r="AG177" s="2"/>
      <c r="AH177" s="2"/>
      <c r="AI177" s="2"/>
    </row>
    <row r="178" spans="2:35">
      <c r="C178" s="96"/>
      <c r="D178" s="96"/>
      <c r="E178" s="96"/>
      <c r="F178" s="96"/>
      <c r="G178" s="96"/>
      <c r="AD178" s="16"/>
      <c r="AG178" s="2"/>
      <c r="AH178" s="2"/>
      <c r="AI178" s="2"/>
    </row>
    <row r="179" spans="2:35">
      <c r="B179" s="85"/>
      <c r="C179" s="96" t="s">
        <v>1027</v>
      </c>
      <c r="D179" s="96" t="s">
        <v>1027</v>
      </c>
      <c r="E179" s="96" t="s">
        <v>1027</v>
      </c>
      <c r="F179" s="96" t="s">
        <v>1027</v>
      </c>
      <c r="G179" s="96" t="s">
        <v>1027</v>
      </c>
      <c r="AD179" s="16"/>
      <c r="AG179" s="2"/>
      <c r="AH179" s="2"/>
      <c r="AI179" s="2"/>
    </row>
    <row r="180" spans="2:35">
      <c r="B180" s="1" t="s">
        <v>1152</v>
      </c>
      <c r="C180" s="97" t="e">
        <v>#VALUE!</v>
      </c>
      <c r="D180" s="97" t="e">
        <v>#VALUE!</v>
      </c>
      <c r="E180" s="97" t="e">
        <v>#VALUE!</v>
      </c>
      <c r="F180" s="97" t="e">
        <v>#VALUE!</v>
      </c>
      <c r="G180" s="97" t="e">
        <v>#VALUE!</v>
      </c>
      <c r="AD180" s="16"/>
      <c r="AG180" s="2"/>
      <c r="AH180" s="2"/>
      <c r="AI180" s="2"/>
    </row>
    <row r="181" spans="2:35">
      <c r="B181" s="1" t="s">
        <v>1153</v>
      </c>
      <c r="C181" s="97" t="e">
        <v>#VALUE!</v>
      </c>
      <c r="D181" s="97" t="e">
        <v>#VALUE!</v>
      </c>
      <c r="E181" s="97" t="e">
        <v>#VALUE!</v>
      </c>
      <c r="F181" s="97" t="e">
        <v>#VALUE!</v>
      </c>
      <c r="G181" s="97" t="e">
        <v>#VALUE!</v>
      </c>
      <c r="AD181" s="16"/>
      <c r="AG181" s="2"/>
      <c r="AH181" s="2"/>
      <c r="AI181" s="2"/>
    </row>
    <row r="182" spans="2:35">
      <c r="B182" s="92" t="s">
        <v>1154</v>
      </c>
      <c r="C182" s="97" t="e">
        <v>#VALUE!</v>
      </c>
      <c r="D182" s="97" t="e">
        <v>#VALUE!</v>
      </c>
      <c r="E182" s="97" t="e">
        <v>#VALUE!</v>
      </c>
      <c r="F182" s="97" t="e">
        <v>#VALUE!</v>
      </c>
      <c r="G182" s="97" t="e">
        <v>#VALUE!</v>
      </c>
      <c r="AD182" s="16"/>
      <c r="AG182" s="2"/>
      <c r="AH182" s="2"/>
      <c r="AI182" s="2"/>
    </row>
    <row r="183" spans="2:35">
      <c r="B183" s="1" t="s">
        <v>1155</v>
      </c>
      <c r="C183" s="97" t="e">
        <v>#VALUE!</v>
      </c>
      <c r="D183" s="97" t="e">
        <v>#VALUE!</v>
      </c>
      <c r="E183" s="97" t="e">
        <v>#VALUE!</v>
      </c>
      <c r="F183" s="97" t="e">
        <v>#VALUE!</v>
      </c>
      <c r="G183" s="97" t="e">
        <v>#VALUE!</v>
      </c>
      <c r="AG183" s="2"/>
      <c r="AH183" s="2"/>
      <c r="AI183" s="2"/>
    </row>
    <row r="184" spans="2:35">
      <c r="B184" s="92" t="s">
        <v>1156</v>
      </c>
      <c r="C184" s="97" t="e">
        <v>#VALUE!</v>
      </c>
      <c r="D184" s="97" t="e">
        <v>#VALUE!</v>
      </c>
      <c r="E184" s="97" t="e">
        <v>#VALUE!</v>
      </c>
      <c r="F184" s="97" t="e">
        <v>#VALUE!</v>
      </c>
      <c r="G184" s="97" t="e">
        <v>#VALUE!</v>
      </c>
      <c r="AG184" s="2"/>
      <c r="AH184" s="2"/>
      <c r="AI184" s="2"/>
    </row>
    <row r="185" spans="2:35">
      <c r="B185" s="92" t="s">
        <v>11</v>
      </c>
      <c r="C185" s="99">
        <f>0</f>
        <v>0</v>
      </c>
      <c r="D185" s="99">
        <f>0</f>
        <v>0</v>
      </c>
      <c r="E185" s="99">
        <f>0</f>
        <v>0</v>
      </c>
      <c r="F185" s="99">
        <f>0</f>
        <v>0</v>
      </c>
      <c r="G185" s="99">
        <f>0</f>
        <v>0</v>
      </c>
      <c r="AD185" s="16"/>
      <c r="AG185" s="2"/>
      <c r="AH185" s="2"/>
      <c r="AI185" s="2"/>
    </row>
    <row r="186" spans="2:35">
      <c r="B186" s="92" t="s">
        <v>1143</v>
      </c>
      <c r="C186" s="97" t="e">
        <v>#VALUE!</v>
      </c>
      <c r="D186" s="97" t="e">
        <v>#VALUE!</v>
      </c>
      <c r="E186" s="97" t="e">
        <v>#VALUE!</v>
      </c>
      <c r="F186" s="97" t="e">
        <v>#VALUE!</v>
      </c>
      <c r="G186" s="97" t="e">
        <v>#VALUE!</v>
      </c>
      <c r="AD186" s="16"/>
      <c r="AG186" s="2"/>
      <c r="AH186" s="2"/>
      <c r="AI186" s="2"/>
    </row>
    <row r="187" spans="2:35">
      <c r="B187" s="46" t="s">
        <v>1157</v>
      </c>
      <c r="C187" s="96" t="e">
        <f>SUM(C180:C186)</f>
        <v>#VALUE!</v>
      </c>
      <c r="D187" s="96" t="e">
        <f>SUM(D180:D186)</f>
        <v>#VALUE!</v>
      </c>
      <c r="E187" s="96" t="e">
        <f>SUM(E180:E186)</f>
        <v>#VALUE!</v>
      </c>
      <c r="F187" s="96" t="e">
        <f>SUM(F180:F186)</f>
        <v>#VALUE!</v>
      </c>
      <c r="G187" s="96" t="e">
        <f>SUM(G180:G186)</f>
        <v>#VALUE!</v>
      </c>
      <c r="AD187" s="16"/>
      <c r="AG187" s="2"/>
      <c r="AH187" s="2"/>
      <c r="AI187" s="2"/>
    </row>
    <row r="188" spans="2:35">
      <c r="C188" s="96"/>
      <c r="D188" s="96"/>
      <c r="E188" s="96"/>
      <c r="F188" s="96"/>
      <c r="G188" s="96"/>
      <c r="AD188" s="16"/>
      <c r="AG188" s="2"/>
      <c r="AH188" s="2"/>
      <c r="AI188" s="2"/>
    </row>
    <row r="189" spans="2:35">
      <c r="B189" s="85" t="s">
        <v>1162</v>
      </c>
      <c r="C189" s="96"/>
      <c r="D189" s="96"/>
      <c r="E189" s="96"/>
      <c r="F189" s="96"/>
      <c r="G189" s="96"/>
      <c r="AD189" s="16"/>
      <c r="AG189" s="2"/>
      <c r="AH189" s="2"/>
      <c r="AI189" s="2"/>
    </row>
    <row r="190" spans="2:35">
      <c r="B190" s="1" t="s">
        <v>1153</v>
      </c>
      <c r="C190" s="99">
        <v>0</v>
      </c>
      <c r="D190" s="99">
        <v>0</v>
      </c>
      <c r="E190" s="99">
        <v>0</v>
      </c>
      <c r="F190" s="99">
        <v>0</v>
      </c>
      <c r="G190" s="99">
        <v>0</v>
      </c>
      <c r="AD190" s="16"/>
      <c r="AG190" s="2"/>
      <c r="AH190" s="2"/>
      <c r="AI190" s="2"/>
    </row>
    <row r="191" spans="2:35">
      <c r="B191" s="92" t="s">
        <v>1154</v>
      </c>
      <c r="C191" s="99">
        <v>0</v>
      </c>
      <c r="D191" s="99">
        <v>0</v>
      </c>
      <c r="E191" s="99">
        <v>0</v>
      </c>
      <c r="F191" s="99">
        <v>0</v>
      </c>
      <c r="G191" s="99">
        <v>0</v>
      </c>
      <c r="AD191" s="16"/>
      <c r="AG191" s="2"/>
      <c r="AH191" s="2"/>
      <c r="AI191" s="2"/>
    </row>
    <row r="192" spans="2:35">
      <c r="B192" s="1" t="s">
        <v>1155</v>
      </c>
      <c r="C192" s="97" t="e">
        <v>#VALUE!</v>
      </c>
      <c r="D192" s="97" t="e">
        <v>#VALUE!</v>
      </c>
      <c r="E192" s="97" t="e">
        <v>#VALUE!</v>
      </c>
      <c r="F192" s="97" t="e">
        <v>#VALUE!</v>
      </c>
      <c r="G192" s="97" t="e">
        <v>#VALUE!</v>
      </c>
      <c r="AD192" s="16"/>
      <c r="AG192" s="2"/>
      <c r="AH192" s="2"/>
      <c r="AI192" s="2"/>
    </row>
    <row r="193" spans="2:35">
      <c r="B193" s="92" t="s">
        <v>1156</v>
      </c>
      <c r="C193" s="97" t="e">
        <v>#VALUE!</v>
      </c>
      <c r="D193" s="97" t="e">
        <v>#VALUE!</v>
      </c>
      <c r="E193" s="97" t="e">
        <v>#VALUE!</v>
      </c>
      <c r="F193" s="97" t="e">
        <v>#VALUE!</v>
      </c>
      <c r="G193" s="97" t="e">
        <v>#VALUE!</v>
      </c>
      <c r="AD193" s="16"/>
      <c r="AG193" s="2"/>
      <c r="AH193" s="2"/>
      <c r="AI193" s="2"/>
    </row>
    <row r="194" spans="2:35">
      <c r="B194" s="92" t="s">
        <v>16</v>
      </c>
      <c r="C194" s="97"/>
      <c r="D194" s="97"/>
      <c r="E194" s="97"/>
      <c r="F194" s="97"/>
      <c r="G194" s="97"/>
      <c r="AG194" s="2"/>
      <c r="AH194" s="2"/>
      <c r="AI194" s="2"/>
    </row>
    <row r="195" spans="2:35">
      <c r="B195" s="92" t="s">
        <v>11</v>
      </c>
      <c r="C195" s="97"/>
      <c r="D195" s="97"/>
      <c r="E195" s="97"/>
      <c r="F195" s="97"/>
      <c r="G195" s="97"/>
      <c r="AG195" s="2"/>
      <c r="AH195" s="2"/>
      <c r="AI195" s="2"/>
    </row>
    <row r="196" spans="2:35">
      <c r="B196" s="91" t="s">
        <v>1143</v>
      </c>
      <c r="C196" s="97" t="e">
        <v>#VALUE!</v>
      </c>
      <c r="D196" s="97" t="e">
        <v>#VALUE!</v>
      </c>
      <c r="E196" s="97" t="e">
        <v>#VALUE!</v>
      </c>
      <c r="F196" s="97" t="e">
        <v>#VALUE!</v>
      </c>
      <c r="G196" s="97" t="e">
        <v>#VALUE!</v>
      </c>
      <c r="AG196" s="2"/>
      <c r="AH196" s="2"/>
      <c r="AI196" s="2"/>
    </row>
    <row r="197" spans="2:35">
      <c r="B197" s="83" t="s">
        <v>1163</v>
      </c>
      <c r="C197" s="96" t="e">
        <f>SUM(C190:C196)</f>
        <v>#VALUE!</v>
      </c>
      <c r="D197" s="96" t="e">
        <f>SUM(D190:D196)</f>
        <v>#VALUE!</v>
      </c>
      <c r="E197" s="96" t="e">
        <f>SUM(E190:E196)</f>
        <v>#VALUE!</v>
      </c>
      <c r="F197" s="96" t="e">
        <f>SUM(F190:F196)</f>
        <v>#VALUE!</v>
      </c>
      <c r="G197" s="96" t="e">
        <f>SUM(G190:G196)</f>
        <v>#VALUE!</v>
      </c>
      <c r="AG197" s="2"/>
      <c r="AH197" s="2"/>
      <c r="AI197" s="2"/>
    </row>
    <row r="198" spans="2:35">
      <c r="B198" s="85"/>
      <c r="C198" s="96"/>
      <c r="D198" s="96"/>
      <c r="E198" s="96"/>
      <c r="F198" s="96"/>
      <c r="G198" s="96"/>
      <c r="AG198" s="2"/>
      <c r="AH198" s="2"/>
      <c r="AI198" s="2"/>
    </row>
    <row r="199" spans="2:35">
      <c r="B199" s="46" t="s">
        <v>1164</v>
      </c>
      <c r="C199" s="96" t="e">
        <f>C197+C187</f>
        <v>#VALUE!</v>
      </c>
      <c r="D199" s="96" t="e">
        <f>D197+D187</f>
        <v>#VALUE!</v>
      </c>
      <c r="E199" s="96" t="e">
        <f>E197+E187</f>
        <v>#VALUE!</v>
      </c>
      <c r="F199" s="96" t="e">
        <f>F197+F187</f>
        <v>#VALUE!</v>
      </c>
      <c r="G199" s="96" t="e">
        <f>G197+G187</f>
        <v>#VALUE!</v>
      </c>
      <c r="AG199" s="2"/>
      <c r="AH199" s="2"/>
      <c r="AI199" s="2"/>
    </row>
    <row r="200" spans="2:35">
      <c r="C200" s="96"/>
      <c r="D200" s="96"/>
      <c r="E200" s="96"/>
      <c r="F200" s="96"/>
      <c r="G200" s="96"/>
      <c r="AG200" s="2"/>
      <c r="AH200" s="2"/>
      <c r="AI200" s="2"/>
    </row>
    <row r="201" spans="2:35">
      <c r="B201" s="46" t="s">
        <v>1165</v>
      </c>
      <c r="C201" s="96" t="e">
        <f>C177-C199</f>
        <v>#VALUE!</v>
      </c>
      <c r="D201" s="96" t="e">
        <f>D177-D199</f>
        <v>#VALUE!</v>
      </c>
      <c r="E201" s="96" t="e">
        <f>E177-E199</f>
        <v>#VALUE!</v>
      </c>
      <c r="F201" s="96" t="e">
        <f>F177-F199</f>
        <v>#VALUE!</v>
      </c>
      <c r="G201" s="96" t="e">
        <f>G177-G199</f>
        <v>#VALUE!</v>
      </c>
      <c r="AG201" s="2"/>
      <c r="AH201" s="2"/>
      <c r="AI201" s="2"/>
    </row>
    <row r="202" spans="2:35">
      <c r="C202" s="96"/>
      <c r="D202" s="96"/>
      <c r="E202" s="96"/>
      <c r="F202" s="96"/>
      <c r="G202" s="96"/>
      <c r="AG202" s="2"/>
      <c r="AH202" s="2"/>
      <c r="AI202" s="2"/>
    </row>
    <row r="203" spans="2:35">
      <c r="B203" s="46" t="s">
        <v>1166</v>
      </c>
      <c r="C203" s="96" t="e">
        <f>C201-SUM(C169:C173)</f>
        <v>#VALUE!</v>
      </c>
      <c r="D203" s="96" t="e">
        <f>D201-SUM(D169:D173)</f>
        <v>#VALUE!</v>
      </c>
      <c r="E203" s="96" t="e">
        <f>E201-SUM(E169:E173)</f>
        <v>#VALUE!</v>
      </c>
      <c r="F203" s="96" t="e">
        <f>F201-SUM(F169:F173)</f>
        <v>#VALUE!</v>
      </c>
      <c r="G203" s="96" t="e">
        <f>G201-SUM(G169:G173)</f>
        <v>#VALUE!</v>
      </c>
      <c r="AG203" s="2"/>
      <c r="AH203" s="2"/>
      <c r="AI203" s="2"/>
    </row>
    <row r="204" spans="2:35">
      <c r="C204" s="96"/>
      <c r="D204" s="96"/>
      <c r="E204" s="96"/>
      <c r="F204" s="96"/>
      <c r="G204" s="96"/>
      <c r="AG204" s="2"/>
      <c r="AH204" s="2"/>
      <c r="AI204" s="2"/>
    </row>
    <row r="205" spans="2:35">
      <c r="B205" s="46" t="s">
        <v>1167</v>
      </c>
      <c r="C205" s="96"/>
      <c r="D205" s="96"/>
      <c r="E205" s="96"/>
      <c r="F205" s="96"/>
      <c r="G205" s="96"/>
      <c r="AG205" s="2"/>
      <c r="AH205" s="2"/>
      <c r="AI205" s="2"/>
    </row>
    <row r="206" spans="2:35">
      <c r="B206" s="1" t="s">
        <v>1168</v>
      </c>
      <c r="C206" s="97" t="e">
        <v>#VALUE!</v>
      </c>
      <c r="D206" s="97" t="e">
        <v>#VALUE!</v>
      </c>
      <c r="E206" s="97" t="e">
        <v>#VALUE!</v>
      </c>
      <c r="F206" s="97" t="e">
        <v>#VALUE!</v>
      </c>
      <c r="G206" s="97" t="e">
        <v>#VALUE!</v>
      </c>
      <c r="AG206" s="2"/>
      <c r="AH206" s="2"/>
      <c r="AI206" s="2"/>
    </row>
    <row r="207" spans="2:35">
      <c r="B207" s="1" t="s">
        <v>1169</v>
      </c>
      <c r="C207" s="100">
        <f>0</f>
        <v>0</v>
      </c>
      <c r="D207" s="100">
        <f>0</f>
        <v>0</v>
      </c>
      <c r="E207" s="100">
        <f>0</f>
        <v>0</v>
      </c>
      <c r="F207" s="100">
        <f>0</f>
        <v>0</v>
      </c>
      <c r="G207" s="100">
        <f>0</f>
        <v>0</v>
      </c>
      <c r="AD207" s="16"/>
      <c r="AG207" s="2"/>
      <c r="AH207" s="2"/>
      <c r="AI207" s="2"/>
    </row>
    <row r="208" spans="2:35">
      <c r="B208" s="1" t="s">
        <v>1170</v>
      </c>
      <c r="C208" s="97" t="e">
        <v>#VALUE!</v>
      </c>
      <c r="D208" s="97" t="e">
        <v>#VALUE!</v>
      </c>
      <c r="E208" s="97" t="e">
        <v>#VALUE!</v>
      </c>
      <c r="F208" s="97" t="e">
        <v>#VALUE!</v>
      </c>
      <c r="G208" s="97" t="e">
        <v>#VALUE!</v>
      </c>
      <c r="AD208" s="16"/>
      <c r="AG208" s="2"/>
      <c r="AH208" s="2"/>
      <c r="AI208" s="2"/>
    </row>
    <row r="209" spans="2:35">
      <c r="B209" s="1" t="s">
        <v>1171</v>
      </c>
      <c r="C209" s="97" t="e">
        <v>#VALUE!</v>
      </c>
      <c r="D209" s="97" t="e">
        <v>#VALUE!</v>
      </c>
      <c r="E209" s="97" t="e">
        <v>#VALUE!</v>
      </c>
      <c r="F209" s="97" t="e">
        <v>#VALUE!</v>
      </c>
      <c r="G209" s="97" t="e">
        <v>#VALUE!</v>
      </c>
      <c r="AD209" s="16"/>
      <c r="AG209" s="2"/>
      <c r="AH209" s="2"/>
      <c r="AI209" s="2"/>
    </row>
    <row r="210" spans="2:35">
      <c r="B210" s="1" t="s">
        <v>1172</v>
      </c>
      <c r="C210" s="100">
        <f>0</f>
        <v>0</v>
      </c>
      <c r="D210" s="100">
        <f>0</f>
        <v>0</v>
      </c>
      <c r="E210" s="100">
        <f>0</f>
        <v>0</v>
      </c>
      <c r="F210" s="100">
        <f>0</f>
        <v>0</v>
      </c>
      <c r="G210" s="100">
        <f>0</f>
        <v>0</v>
      </c>
      <c r="AD210" s="16"/>
      <c r="AG210" s="2"/>
      <c r="AH210" s="2"/>
      <c r="AI210" s="2"/>
    </row>
    <row r="211" spans="2:35">
      <c r="B211" s="1" t="s">
        <v>1173</v>
      </c>
      <c r="C211" s="97" t="e">
        <v>#VALUE!</v>
      </c>
      <c r="D211" s="97" t="e">
        <v>#VALUE!</v>
      </c>
      <c r="E211" s="97" t="e">
        <v>#VALUE!</v>
      </c>
      <c r="F211" s="97" t="e">
        <v>#VALUE!</v>
      </c>
      <c r="G211" s="97" t="e">
        <v>#VALUE!</v>
      </c>
      <c r="AD211" s="16"/>
      <c r="AG211" s="2"/>
      <c r="AH211" s="2"/>
      <c r="AI211" s="2"/>
    </row>
    <row r="212" spans="2:35">
      <c r="B212" s="46" t="s">
        <v>1174</v>
      </c>
      <c r="C212" s="97" t="e">
        <f>C206+C207+C208+C209+C210+C211</f>
        <v>#VALUE!</v>
      </c>
      <c r="D212" s="97" t="e">
        <f>D206+D207+D208+D209+D210+D211</f>
        <v>#VALUE!</v>
      </c>
      <c r="E212" s="97" t="e">
        <f>E206+E207+E208+E209+E210+E211</f>
        <v>#VALUE!</v>
      </c>
      <c r="F212" s="97" t="e">
        <f>F206+F207+F208+F209+F210+F211</f>
        <v>#VALUE!</v>
      </c>
      <c r="G212" s="97" t="e">
        <f>G206+G207+G208+G209+G210+G211</f>
        <v>#VALUE!</v>
      </c>
      <c r="AD212" s="16"/>
      <c r="AG212" s="2"/>
      <c r="AH212" s="2"/>
      <c r="AI212" s="2"/>
    </row>
    <row r="213" spans="2:35">
      <c r="B213" s="46"/>
      <c r="C213" s="97"/>
      <c r="D213" s="97"/>
      <c r="E213" s="97"/>
      <c r="F213" s="97"/>
      <c r="G213" s="97"/>
      <c r="AB213" s="86"/>
      <c r="AD213" s="16"/>
      <c r="AG213" s="2"/>
      <c r="AH213" s="2"/>
      <c r="AI213" s="2"/>
    </row>
    <row r="214" spans="2:35">
      <c r="B214" s="46" t="s">
        <v>1175</v>
      </c>
      <c r="C214" s="133"/>
      <c r="D214" s="133"/>
      <c r="E214" s="133"/>
      <c r="F214" s="133"/>
      <c r="G214" s="133"/>
      <c r="AD214" s="16"/>
    </row>
    <row r="215" spans="2:35">
      <c r="B215" s="46"/>
      <c r="C215" s="96" t="e">
        <f>IF(ABS(C201-C212)&lt;0.001,"","Error")</f>
        <v>#VALUE!</v>
      </c>
      <c r="D215" s="96" t="e">
        <f>IF(ABS(D201-D212)&lt;0.001,"","Error")</f>
        <v>#VALUE!</v>
      </c>
      <c r="E215" s="96" t="e">
        <f>IF(ABS(E201-E212)&lt;0.001,"","Error")</f>
        <v>#VALUE!</v>
      </c>
      <c r="F215" s="96" t="e">
        <f>IF(ABS(F201-F212)&lt;0.001,"","Error")</f>
        <v>#VALUE!</v>
      </c>
      <c r="G215" s="96" t="e">
        <f>IF(ABS(G201-G212)&lt;0.001,"","Error")</f>
        <v>#VALUE!</v>
      </c>
      <c r="AB215" s="86"/>
    </row>
    <row r="216" spans="2:35">
      <c r="B216" s="46" t="s">
        <v>1176</v>
      </c>
      <c r="C216" s="96"/>
      <c r="D216" s="96"/>
      <c r="E216" s="96"/>
      <c r="F216" s="96"/>
      <c r="G216" s="96"/>
    </row>
    <row r="217" spans="2:35">
      <c r="B217" s="82" t="s">
        <v>1177</v>
      </c>
      <c r="C217" s="96" t="e">
        <f>C35</f>
        <v>#VALUE!</v>
      </c>
      <c r="D217" s="96" t="e">
        <f>D35</f>
        <v>#VALUE!</v>
      </c>
      <c r="E217" s="96" t="e">
        <f>E35</f>
        <v>#VALUE!</v>
      </c>
      <c r="F217" s="96" t="e">
        <f>F35</f>
        <v>#VALUE!</v>
      </c>
      <c r="G217" s="96" t="e">
        <f>G35</f>
        <v>#VALUE!</v>
      </c>
      <c r="AD217" s="16"/>
    </row>
    <row r="218" spans="2:35">
      <c r="B218" s="82" t="s">
        <v>1178</v>
      </c>
      <c r="C218" s="100">
        <v>0</v>
      </c>
      <c r="D218" s="100">
        <v>0</v>
      </c>
      <c r="E218" s="100">
        <v>0</v>
      </c>
      <c r="F218" s="100">
        <v>0</v>
      </c>
      <c r="G218" s="100">
        <v>0</v>
      </c>
      <c r="AD218" s="16"/>
    </row>
    <row r="219" spans="2:35">
      <c r="B219" s="82" t="s">
        <v>1179</v>
      </c>
      <c r="C219" s="100">
        <v>0</v>
      </c>
      <c r="D219" s="100">
        <v>0</v>
      </c>
      <c r="E219" s="100">
        <v>0</v>
      </c>
      <c r="F219" s="100">
        <v>0</v>
      </c>
      <c r="G219" s="100">
        <v>0</v>
      </c>
      <c r="AD219" s="16"/>
    </row>
    <row r="220" spans="2:35">
      <c r="B220" s="82" t="s">
        <v>1180</v>
      </c>
      <c r="C220" s="100">
        <v>0</v>
      </c>
      <c r="D220" s="100">
        <v>0</v>
      </c>
      <c r="E220" s="100">
        <v>0</v>
      </c>
      <c r="F220" s="100">
        <v>0</v>
      </c>
      <c r="G220" s="100">
        <v>0</v>
      </c>
      <c r="AD220" s="16"/>
    </row>
    <row r="221" spans="2:35">
      <c r="B221" s="82" t="s">
        <v>1181</v>
      </c>
      <c r="C221" s="100">
        <v>0</v>
      </c>
      <c r="D221" s="100">
        <v>0</v>
      </c>
      <c r="E221" s="100">
        <v>0</v>
      </c>
      <c r="F221" s="100">
        <v>0</v>
      </c>
      <c r="G221" s="100">
        <v>0</v>
      </c>
      <c r="AD221" s="16"/>
    </row>
    <row r="222" spans="2:35">
      <c r="B222" s="82" t="s">
        <v>1143</v>
      </c>
      <c r="C222" s="100">
        <v>0</v>
      </c>
      <c r="D222" s="100">
        <v>0</v>
      </c>
      <c r="E222" s="100">
        <v>0</v>
      </c>
      <c r="F222" s="100">
        <v>0</v>
      </c>
      <c r="G222" s="100">
        <v>0</v>
      </c>
      <c r="AD222" s="16"/>
    </row>
    <row r="223" spans="2:35">
      <c r="B223" s="46" t="s">
        <v>1182</v>
      </c>
      <c r="C223" s="96" t="e">
        <f>SUM(C217:C222)</f>
        <v>#VALUE!</v>
      </c>
      <c r="D223" s="96" t="e">
        <f>SUM(D217:D222)</f>
        <v>#VALUE!</v>
      </c>
      <c r="E223" s="96" t="e">
        <f>SUM(E217:E222)</f>
        <v>#VALUE!</v>
      </c>
      <c r="F223" s="96" t="e">
        <f>SUM(F217:F222)</f>
        <v>#VALUE!</v>
      </c>
      <c r="G223" s="96" t="e">
        <f>SUM(G217:G222)</f>
        <v>#VALUE!</v>
      </c>
      <c r="AD223" s="16"/>
    </row>
    <row r="224" spans="2:35">
      <c r="AD224" s="16"/>
    </row>
    <row r="225" spans="2:30">
      <c r="B225" s="46" t="s">
        <v>1183</v>
      </c>
    </row>
    <row r="226" spans="2:30">
      <c r="B226" s="82" t="s">
        <v>1184</v>
      </c>
      <c r="C226" s="100"/>
      <c r="D226" s="100"/>
      <c r="E226" s="100"/>
      <c r="F226" s="100"/>
      <c r="G226" s="100"/>
    </row>
    <row r="227" spans="2:30">
      <c r="B227" s="82" t="s">
        <v>1185</v>
      </c>
      <c r="C227" s="100"/>
      <c r="D227" s="100"/>
      <c r="E227" s="100"/>
      <c r="F227" s="100"/>
      <c r="G227" s="100"/>
      <c r="AD227" s="16"/>
    </row>
    <row r="228" spans="2:30">
      <c r="B228" s="82" t="s">
        <v>1186</v>
      </c>
      <c r="C228" s="100">
        <v>0</v>
      </c>
      <c r="D228" s="100">
        <v>0</v>
      </c>
      <c r="E228" s="100">
        <v>0</v>
      </c>
      <c r="F228" s="100">
        <v>0</v>
      </c>
      <c r="G228" s="100">
        <v>0</v>
      </c>
      <c r="AD228" s="16"/>
    </row>
    <row r="229" spans="2:30">
      <c r="B229" s="82" t="s">
        <v>1187</v>
      </c>
      <c r="C229" s="100">
        <v>0</v>
      </c>
      <c r="D229" s="100">
        <v>0</v>
      </c>
      <c r="E229" s="100">
        <v>0</v>
      </c>
      <c r="F229" s="100">
        <v>0</v>
      </c>
      <c r="G229" s="100">
        <v>0</v>
      </c>
      <c r="AD229" s="16"/>
    </row>
    <row r="230" spans="2:30">
      <c r="B230" s="82" t="s">
        <v>1188</v>
      </c>
      <c r="C230" s="100">
        <v>0</v>
      </c>
      <c r="D230" s="100">
        <v>0</v>
      </c>
      <c r="E230" s="100">
        <v>0</v>
      </c>
      <c r="F230" s="100">
        <v>0</v>
      </c>
      <c r="G230" s="100">
        <v>0</v>
      </c>
      <c r="AD230" s="16"/>
    </row>
    <row r="231" spans="2:30">
      <c r="B231" s="82" t="s">
        <v>526</v>
      </c>
      <c r="C231" s="96" t="e">
        <f>C22</f>
        <v>#VALUE!</v>
      </c>
      <c r="D231" s="96" t="e">
        <f>D22</f>
        <v>#VALUE!</v>
      </c>
      <c r="E231" s="96" t="e">
        <f>E22</f>
        <v>#VALUE!</v>
      </c>
      <c r="F231" s="96" t="e">
        <f>F22</f>
        <v>#VALUE!</v>
      </c>
      <c r="G231" s="96" t="e">
        <f>G22</f>
        <v>#VALUE!</v>
      </c>
      <c r="AD231" s="16"/>
    </row>
    <row r="232" spans="2:30">
      <c r="B232" s="82" t="s">
        <v>1189</v>
      </c>
      <c r="C232" s="100">
        <v>0</v>
      </c>
      <c r="D232" s="100">
        <v>0</v>
      </c>
      <c r="E232" s="100">
        <v>0</v>
      </c>
      <c r="F232" s="100">
        <v>0</v>
      </c>
      <c r="G232" s="100">
        <v>0</v>
      </c>
      <c r="AD232" s="16"/>
    </row>
    <row r="233" spans="2:30">
      <c r="B233" s="82" t="s">
        <v>1190</v>
      </c>
      <c r="C233" s="100">
        <v>0</v>
      </c>
      <c r="D233" s="100">
        <v>0</v>
      </c>
      <c r="E233" s="100">
        <v>0</v>
      </c>
      <c r="F233" s="100">
        <v>0</v>
      </c>
      <c r="G233" s="100">
        <v>0</v>
      </c>
    </row>
    <row r="234" spans="2:30">
      <c r="B234" s="82" t="s">
        <v>1191</v>
      </c>
      <c r="C234" s="100">
        <v>0</v>
      </c>
      <c r="D234" s="100">
        <v>0</v>
      </c>
      <c r="E234" s="100">
        <v>0</v>
      </c>
      <c r="F234" s="100">
        <v>0</v>
      </c>
      <c r="G234" s="100">
        <v>0</v>
      </c>
      <c r="AD234" s="16"/>
    </row>
    <row r="235" spans="2:30">
      <c r="B235" s="82" t="s">
        <v>1192</v>
      </c>
      <c r="C235" s="100">
        <v>0</v>
      </c>
      <c r="D235" s="100">
        <v>0</v>
      </c>
      <c r="E235" s="100">
        <v>0</v>
      </c>
      <c r="F235" s="100">
        <v>0</v>
      </c>
      <c r="G235" s="100">
        <v>0</v>
      </c>
    </row>
    <row r="236" spans="2:30">
      <c r="B236" s="82" t="s">
        <v>1193</v>
      </c>
      <c r="C236" s="100">
        <v>0</v>
      </c>
      <c r="D236" s="100">
        <v>0</v>
      </c>
      <c r="E236" s="100">
        <v>0</v>
      </c>
      <c r="F236" s="100">
        <v>0</v>
      </c>
      <c r="G236" s="100">
        <v>0</v>
      </c>
    </row>
    <row r="237" spans="2:30">
      <c r="B237" s="82" t="s">
        <v>1194</v>
      </c>
      <c r="C237" s="100">
        <v>0</v>
      </c>
      <c r="D237" s="100">
        <v>0</v>
      </c>
      <c r="E237" s="100">
        <v>0</v>
      </c>
      <c r="F237" s="100">
        <v>0</v>
      </c>
      <c r="G237" s="100">
        <v>0</v>
      </c>
    </row>
    <row r="239" spans="2:30">
      <c r="B239" s="51" t="s">
        <v>1195</v>
      </c>
    </row>
    <row r="240" spans="2:30">
      <c r="B240" s="82" t="s">
        <v>1196</v>
      </c>
    </row>
    <row r="241" spans="2:30">
      <c r="B241" s="82" t="s">
        <v>1197</v>
      </c>
      <c r="AB241" s="86"/>
      <c r="AD241" s="16"/>
    </row>
    <row r="242" spans="2:30">
      <c r="B242" s="82" t="s">
        <v>1198</v>
      </c>
      <c r="AB242" s="86"/>
      <c r="AD242" s="16"/>
    </row>
    <row r="243" spans="2:30">
      <c r="B243" s="82" t="s">
        <v>1199</v>
      </c>
      <c r="AB243" s="86"/>
      <c r="AD243" s="16"/>
    </row>
    <row r="244" spans="2:30">
      <c r="AB244" s="86"/>
      <c r="AD244" s="16"/>
    </row>
    <row r="245" spans="2:30">
      <c r="B245" s="51" t="s">
        <v>1200</v>
      </c>
      <c r="AB245" s="86"/>
      <c r="AD245" s="16"/>
    </row>
    <row r="246" spans="2:30">
      <c r="B246" s="46" t="s">
        <v>1201</v>
      </c>
      <c r="AB246" s="86"/>
      <c r="AD246" s="16"/>
    </row>
    <row r="247" spans="2:30">
      <c r="B247" s="92" t="s">
        <v>1202</v>
      </c>
      <c r="C247" s="96" t="e">
        <f>C58-C56+C71</f>
        <v>#VALUE!</v>
      </c>
      <c r="D247" s="96" t="e">
        <f>D58-D56+D71</f>
        <v>#VALUE!</v>
      </c>
      <c r="E247" s="96" t="e">
        <f>E58-E56+E71</f>
        <v>#VALUE!</v>
      </c>
      <c r="F247" s="96" t="e">
        <f>F58-F56+F71</f>
        <v>#VALUE!</v>
      </c>
      <c r="G247" s="96" t="e">
        <f>G58-G56+G71</f>
        <v>#VALUE!</v>
      </c>
      <c r="AB247" s="86"/>
      <c r="AD247" s="16"/>
    </row>
    <row r="248" spans="2:30">
      <c r="B248" s="91" t="s">
        <v>1203</v>
      </c>
      <c r="C248" s="96" t="e">
        <f>-C69</f>
        <v>#VALUE!</v>
      </c>
      <c r="D248" s="96" t="e">
        <f>-D69</f>
        <v>#VALUE!</v>
      </c>
      <c r="E248" s="96" t="e">
        <f>-E69</f>
        <v>#VALUE!</v>
      </c>
      <c r="F248" s="96" t="e">
        <f>-F69</f>
        <v>#VALUE!</v>
      </c>
      <c r="G248" s="96" t="e">
        <f>-G69</f>
        <v>#VALUE!</v>
      </c>
      <c r="AB248" s="86"/>
      <c r="AD248" s="16"/>
    </row>
    <row r="249" spans="2:30">
      <c r="B249" s="92" t="s">
        <v>1204</v>
      </c>
      <c r="C249" s="100">
        <f>0</f>
        <v>0</v>
      </c>
      <c r="D249" s="100">
        <f>0</f>
        <v>0</v>
      </c>
      <c r="E249" s="100">
        <f>0</f>
        <v>0</v>
      </c>
      <c r="F249" s="100">
        <f>0</f>
        <v>0</v>
      </c>
      <c r="G249" s="100">
        <f>0</f>
        <v>0</v>
      </c>
      <c r="AB249" s="86"/>
      <c r="AD249" s="16"/>
    </row>
    <row r="250" spans="2:30">
      <c r="B250" s="92" t="s">
        <v>1205</v>
      </c>
      <c r="C250" s="100">
        <f>0</f>
        <v>0</v>
      </c>
      <c r="D250" s="100">
        <f>0</f>
        <v>0</v>
      </c>
      <c r="E250" s="100">
        <f>0</f>
        <v>0</v>
      </c>
      <c r="F250" s="100">
        <f>0</f>
        <v>0</v>
      </c>
      <c r="G250" s="100">
        <f>0</f>
        <v>0</v>
      </c>
      <c r="AB250" s="86"/>
      <c r="AD250" s="16"/>
    </row>
    <row r="251" spans="2:30">
      <c r="B251" s="92" t="s">
        <v>1206</v>
      </c>
      <c r="C251" s="96" t="e">
        <f>C86</f>
        <v>#VALUE!</v>
      </c>
      <c r="D251" s="96" t="e">
        <f>D86</f>
        <v>#VALUE!</v>
      </c>
      <c r="E251" s="96" t="e">
        <f>E86</f>
        <v>#VALUE!</v>
      </c>
      <c r="F251" s="96" t="e">
        <f>F86</f>
        <v>#VALUE!</v>
      </c>
      <c r="G251" s="96" t="e">
        <f>G86</f>
        <v>#VALUE!</v>
      </c>
      <c r="AB251" s="86"/>
      <c r="AD251" s="16"/>
    </row>
    <row r="252" spans="2:30">
      <c r="B252" s="93" t="s">
        <v>1207</v>
      </c>
      <c r="C252" s="97" t="e">
        <v>#VALUE!</v>
      </c>
      <c r="D252" s="97" t="e">
        <v>#VALUE!</v>
      </c>
      <c r="E252" s="97" t="e">
        <v>#VALUE!</v>
      </c>
      <c r="F252" s="97" t="e">
        <v>#VALUE!</v>
      </c>
      <c r="G252" s="97" t="e">
        <v>#VALUE!</v>
      </c>
      <c r="AB252" s="86"/>
      <c r="AD252" s="16"/>
    </row>
    <row r="253" spans="2:30">
      <c r="B253" s="92" t="s">
        <v>1143</v>
      </c>
      <c r="C253" s="97" t="e">
        <v>#VALUE!</v>
      </c>
      <c r="D253" s="97" t="e">
        <v>#VALUE!</v>
      </c>
      <c r="E253" s="97" t="e">
        <v>#VALUE!</v>
      </c>
      <c r="F253" s="97" t="e">
        <v>#VALUE!</v>
      </c>
      <c r="G253" s="97" t="e">
        <v>#VALUE!</v>
      </c>
      <c r="AB253" s="86"/>
      <c r="AD253" s="16"/>
    </row>
    <row r="254" spans="2:30">
      <c r="B254" s="46" t="s">
        <v>1208</v>
      </c>
      <c r="C254" s="96" t="e">
        <f>SUM(C247:C253)</f>
        <v>#VALUE!</v>
      </c>
      <c r="D254" s="96" t="e">
        <f>SUM(D247:D253)</f>
        <v>#VALUE!</v>
      </c>
      <c r="E254" s="96" t="e">
        <f>SUM(E247:E253)</f>
        <v>#VALUE!</v>
      </c>
      <c r="F254" s="96" t="e">
        <f>SUM(F247:F253)</f>
        <v>#VALUE!</v>
      </c>
      <c r="G254" s="96" t="e">
        <f>SUM(G247:G253)</f>
        <v>#VALUE!</v>
      </c>
      <c r="AB254" s="86"/>
      <c r="AD254" s="16"/>
    </row>
    <row r="255" spans="2:30">
      <c r="C255" s="96"/>
      <c r="D255" s="96"/>
      <c r="E255" s="96"/>
      <c r="F255" s="96"/>
      <c r="G255" s="96"/>
      <c r="AB255" s="86"/>
      <c r="AD255" s="16"/>
    </row>
    <row r="256" spans="2:30">
      <c r="B256" s="46" t="s">
        <v>1209</v>
      </c>
      <c r="C256" s="96"/>
      <c r="D256" s="96"/>
      <c r="E256" s="96"/>
      <c r="F256" s="96"/>
      <c r="G256" s="96"/>
      <c r="AB256" s="86"/>
      <c r="AD256" s="16"/>
    </row>
    <row r="257" spans="2:30">
      <c r="B257" s="1" t="s">
        <v>1210</v>
      </c>
      <c r="C257" s="97" t="e">
        <v>#VALUE!</v>
      </c>
      <c r="D257" s="97" t="e">
        <v>#VALUE!</v>
      </c>
      <c r="E257" s="97" t="e">
        <v>#VALUE!</v>
      </c>
      <c r="F257" s="97" t="e">
        <v>#VALUE!</v>
      </c>
      <c r="G257" s="97" t="e">
        <v>#VALUE!</v>
      </c>
      <c r="AB257" s="86"/>
      <c r="AD257" s="16"/>
    </row>
    <row r="258" spans="2:30">
      <c r="B258" s="1" t="s">
        <v>1211</v>
      </c>
      <c r="C258" s="97" t="e">
        <v>#VALUE!</v>
      </c>
      <c r="D258" s="97" t="e">
        <v>#VALUE!</v>
      </c>
      <c r="E258" s="97" t="e">
        <v>#VALUE!</v>
      </c>
      <c r="F258" s="97" t="e">
        <v>#VALUE!</v>
      </c>
      <c r="G258" s="97" t="e">
        <v>#VALUE!</v>
      </c>
      <c r="AB258" s="86"/>
      <c r="AD258" s="16"/>
    </row>
    <row r="259" spans="2:30">
      <c r="B259" s="1" t="s">
        <v>1212</v>
      </c>
      <c r="C259" s="97" t="e">
        <v>#VALUE!</v>
      </c>
      <c r="D259" s="97" t="e">
        <v>#VALUE!</v>
      </c>
      <c r="E259" s="97" t="e">
        <v>#VALUE!</v>
      </c>
      <c r="F259" s="97" t="e">
        <v>#VALUE!</v>
      </c>
      <c r="G259" s="97" t="e">
        <v>#VALUE!</v>
      </c>
      <c r="AB259" s="86"/>
      <c r="AD259" s="16"/>
    </row>
    <row r="260" spans="2:30">
      <c r="B260" s="1" t="s">
        <v>17</v>
      </c>
      <c r="C260" s="99">
        <f>0</f>
        <v>0</v>
      </c>
      <c r="D260" s="99">
        <f>0</f>
        <v>0</v>
      </c>
      <c r="E260" s="99">
        <f>0</f>
        <v>0</v>
      </c>
      <c r="F260" s="99">
        <f>0</f>
        <v>0</v>
      </c>
      <c r="G260" s="99">
        <f>0</f>
        <v>0</v>
      </c>
      <c r="AB260" s="86"/>
      <c r="AD260" s="16"/>
    </row>
    <row r="261" spans="2:30">
      <c r="B261" s="1" t="s">
        <v>18</v>
      </c>
      <c r="C261" s="99">
        <f>0</f>
        <v>0</v>
      </c>
      <c r="D261" s="99">
        <f>0</f>
        <v>0</v>
      </c>
      <c r="E261" s="99">
        <f>0</f>
        <v>0</v>
      </c>
      <c r="F261" s="99">
        <f>0</f>
        <v>0</v>
      </c>
      <c r="G261" s="99">
        <f>0</f>
        <v>0</v>
      </c>
      <c r="AB261" s="86"/>
    </row>
    <row r="262" spans="2:30">
      <c r="B262" s="1" t="s">
        <v>19</v>
      </c>
      <c r="C262" s="99">
        <f>0</f>
        <v>0</v>
      </c>
      <c r="D262" s="99">
        <f>0</f>
        <v>0</v>
      </c>
      <c r="E262" s="99">
        <f>0</f>
        <v>0</v>
      </c>
      <c r="F262" s="99">
        <f>0</f>
        <v>0</v>
      </c>
      <c r="G262" s="99">
        <f>0</f>
        <v>0</v>
      </c>
      <c r="AB262" s="86"/>
    </row>
    <row r="263" spans="2:30">
      <c r="B263" s="1" t="s">
        <v>1213</v>
      </c>
      <c r="C263" s="97" t="e">
        <v>#VALUE!</v>
      </c>
      <c r="D263" s="97" t="e">
        <v>#VALUE!</v>
      </c>
      <c r="E263" s="97" t="e">
        <v>#VALUE!</v>
      </c>
      <c r="F263" s="97" t="e">
        <v>#VALUE!</v>
      </c>
      <c r="G263" s="97" t="e">
        <v>#VALUE!</v>
      </c>
      <c r="AB263" s="86"/>
      <c r="AD263" s="16"/>
    </row>
    <row r="264" spans="2:30">
      <c r="B264" s="90" t="s">
        <v>1214</v>
      </c>
      <c r="C264" s="100">
        <f>0</f>
        <v>0</v>
      </c>
      <c r="D264" s="100">
        <f>0</f>
        <v>0</v>
      </c>
      <c r="E264" s="100">
        <f>0</f>
        <v>0</v>
      </c>
      <c r="F264" s="100">
        <f>0</f>
        <v>0</v>
      </c>
      <c r="G264" s="100">
        <f>0</f>
        <v>0</v>
      </c>
      <c r="AB264" s="86"/>
      <c r="AD264" s="16"/>
    </row>
    <row r="265" spans="2:30">
      <c r="B265" s="90" t="s">
        <v>1215</v>
      </c>
      <c r="C265" s="100">
        <f>0</f>
        <v>0</v>
      </c>
      <c r="D265" s="100">
        <f>0</f>
        <v>0</v>
      </c>
      <c r="E265" s="100">
        <f>0</f>
        <v>0</v>
      </c>
      <c r="F265" s="100">
        <f>0</f>
        <v>0</v>
      </c>
      <c r="G265" s="100">
        <f>0</f>
        <v>0</v>
      </c>
      <c r="AB265" s="86"/>
      <c r="AD265" s="16"/>
    </row>
    <row r="266" spans="2:30">
      <c r="B266" s="90" t="s">
        <v>1143</v>
      </c>
      <c r="C266" s="97" t="e">
        <v>#VALUE!</v>
      </c>
      <c r="D266" s="97" t="e">
        <v>#VALUE!</v>
      </c>
      <c r="E266" s="97" t="e">
        <v>#VALUE!</v>
      </c>
      <c r="F266" s="97" t="e">
        <v>#VALUE!</v>
      </c>
      <c r="G266" s="97" t="e">
        <v>#VALUE!</v>
      </c>
      <c r="AB266" s="86"/>
      <c r="AD266" s="16"/>
    </row>
    <row r="267" spans="2:30">
      <c r="B267" s="85" t="s">
        <v>1216</v>
      </c>
      <c r="C267" s="96" t="e">
        <f>SUM(C257:C266)</f>
        <v>#VALUE!</v>
      </c>
      <c r="D267" s="96" t="e">
        <f>SUM(D257:D266)</f>
        <v>#VALUE!</v>
      </c>
      <c r="E267" s="96" t="e">
        <f>SUM(E257:E266)</f>
        <v>#VALUE!</v>
      </c>
      <c r="F267" s="96" t="e">
        <f>SUM(F257:F266)</f>
        <v>#VALUE!</v>
      </c>
      <c r="G267" s="96" t="e">
        <f>SUM(G257:G266)</f>
        <v>#VALUE!</v>
      </c>
      <c r="AB267" s="86"/>
      <c r="AD267" s="16"/>
    </row>
    <row r="268" spans="2:30">
      <c r="B268" s="85"/>
      <c r="C268" s="96"/>
      <c r="D268" s="96"/>
      <c r="E268" s="96"/>
      <c r="F268" s="96"/>
      <c r="G268" s="96"/>
      <c r="AB268" s="86"/>
      <c r="AD268" s="16"/>
    </row>
    <row r="269" spans="2:30">
      <c r="B269" s="85" t="s">
        <v>1217</v>
      </c>
      <c r="C269" s="96"/>
      <c r="D269" s="96"/>
      <c r="E269" s="96"/>
      <c r="F269" s="96"/>
      <c r="G269" s="96"/>
      <c r="AB269" s="86"/>
      <c r="AD269" s="16"/>
    </row>
    <row r="270" spans="2:30">
      <c r="B270" s="89" t="s">
        <v>1218</v>
      </c>
      <c r="C270" s="97" t="e">
        <v>#VALUE!</v>
      </c>
      <c r="D270" s="97" t="e">
        <v>#VALUE!</v>
      </c>
      <c r="E270" s="97" t="e">
        <v>#VALUE!</v>
      </c>
      <c r="F270" s="97" t="e">
        <v>#VALUE!</v>
      </c>
      <c r="G270" s="97" t="e">
        <v>#VALUE!</v>
      </c>
      <c r="AB270" s="86"/>
      <c r="AD270" s="16"/>
    </row>
    <row r="271" spans="2:30">
      <c r="B271" s="90" t="s">
        <v>1219</v>
      </c>
      <c r="C271" s="97" t="e">
        <v>#VALUE!</v>
      </c>
      <c r="D271" s="97" t="e">
        <v>#VALUE!</v>
      </c>
      <c r="E271" s="97" t="e">
        <v>#VALUE!</v>
      </c>
      <c r="F271" s="97" t="e">
        <v>#VALUE!</v>
      </c>
      <c r="G271" s="97" t="e">
        <v>#VALUE!</v>
      </c>
      <c r="AB271" s="86"/>
      <c r="AD271" s="16"/>
    </row>
    <row r="272" spans="2:30">
      <c r="B272" s="90" t="s">
        <v>1220</v>
      </c>
      <c r="C272" s="99">
        <f>0</f>
        <v>0</v>
      </c>
      <c r="D272" s="99">
        <f>0</f>
        <v>0</v>
      </c>
      <c r="E272" s="99">
        <f>0</f>
        <v>0</v>
      </c>
      <c r="F272" s="99">
        <f>0</f>
        <v>0</v>
      </c>
      <c r="G272" s="99">
        <f>0</f>
        <v>0</v>
      </c>
      <c r="AB272" s="86"/>
      <c r="AD272" s="16"/>
    </row>
    <row r="273" spans="1:30">
      <c r="B273" s="94" t="s">
        <v>1221</v>
      </c>
      <c r="C273" s="97" t="e">
        <v>#VALUE!</v>
      </c>
      <c r="D273" s="97" t="e">
        <v>#VALUE!</v>
      </c>
      <c r="E273" s="97" t="e">
        <v>#VALUE!</v>
      </c>
      <c r="F273" s="97" t="e">
        <v>#VALUE!</v>
      </c>
      <c r="G273" s="97" t="e">
        <v>#VALUE!</v>
      </c>
      <c r="AB273" s="86"/>
      <c r="AD273" s="16"/>
    </row>
    <row r="274" spans="1:30">
      <c r="B274" s="90" t="s">
        <v>1143</v>
      </c>
      <c r="C274" s="97" t="e">
        <v>#VALUE!</v>
      </c>
      <c r="D274" s="97" t="e">
        <v>#VALUE!</v>
      </c>
      <c r="E274" s="97" t="e">
        <v>#VALUE!</v>
      </c>
      <c r="F274" s="97" t="e">
        <v>#VALUE!</v>
      </c>
      <c r="G274" s="97" t="e">
        <v>#VALUE!</v>
      </c>
      <c r="AB274" s="86"/>
      <c r="AD274" s="16"/>
    </row>
    <row r="275" spans="1:30">
      <c r="B275" s="85" t="s">
        <v>1222</v>
      </c>
      <c r="C275" s="96" t="e">
        <f>SUM(C270:C274)</f>
        <v>#VALUE!</v>
      </c>
      <c r="D275" s="96" t="e">
        <f>SUM(D270:D274)</f>
        <v>#VALUE!</v>
      </c>
      <c r="E275" s="96" t="e">
        <f>SUM(E270:E274)</f>
        <v>#VALUE!</v>
      </c>
      <c r="F275" s="96" t="e">
        <f>SUM(F270:F274)</f>
        <v>#VALUE!</v>
      </c>
      <c r="G275" s="96" t="e">
        <f>SUM(G270:G274)</f>
        <v>#VALUE!</v>
      </c>
      <c r="AB275" s="86"/>
      <c r="AD275" s="16"/>
    </row>
    <row r="276" spans="1:30">
      <c r="B276" s="85"/>
      <c r="C276" s="96"/>
      <c r="D276" s="96"/>
      <c r="E276" s="96"/>
      <c r="F276" s="96"/>
      <c r="G276" s="96"/>
      <c r="AB276" s="86"/>
      <c r="AD276" s="16"/>
    </row>
    <row r="277" spans="1:30" ht="12" customHeight="1">
      <c r="B277" s="85" t="s">
        <v>1223</v>
      </c>
      <c r="C277" s="96" t="e">
        <f>C254+C267+C275</f>
        <v>#VALUE!</v>
      </c>
      <c r="D277" s="96" t="e">
        <f>D254+D267+D275</f>
        <v>#VALUE!</v>
      </c>
      <c r="E277" s="96" t="e">
        <f>E254+E267+E275</f>
        <v>#VALUE!</v>
      </c>
      <c r="F277" s="96" t="e">
        <f>F254+F267+F275</f>
        <v>#VALUE!</v>
      </c>
      <c r="G277" s="96" t="e">
        <f>G254+G267+G275</f>
        <v>#VALUE!</v>
      </c>
      <c r="AB277" s="86"/>
      <c r="AD277" s="16"/>
    </row>
    <row r="278" spans="1:30" ht="12.75" customHeight="1">
      <c r="B278" s="85"/>
      <c r="C278" s="96"/>
      <c r="D278" s="96"/>
      <c r="E278" s="96"/>
      <c r="F278" s="96"/>
      <c r="G278" s="96"/>
      <c r="AB278" s="86"/>
      <c r="AD278" s="16"/>
    </row>
    <row r="279" spans="1:30">
      <c r="B279" s="85" t="s">
        <v>1224</v>
      </c>
      <c r="C279" s="96" t="e">
        <f>C253</f>
        <v>#VALUE!</v>
      </c>
      <c r="D279" s="96" t="e">
        <f>D253</f>
        <v>#VALUE!</v>
      </c>
      <c r="E279" s="96" t="e">
        <f>E253</f>
        <v>#VALUE!</v>
      </c>
      <c r="F279" s="96" t="e">
        <f>F253</f>
        <v>#VALUE!</v>
      </c>
      <c r="G279" s="96" t="e">
        <f>G253</f>
        <v>#VALUE!</v>
      </c>
      <c r="AB279" s="86"/>
      <c r="AD279" s="16"/>
    </row>
    <row r="280" spans="1:30">
      <c r="B280" s="85"/>
      <c r="C280" s="81"/>
      <c r="D280" s="81"/>
      <c r="E280" s="81"/>
      <c r="F280" s="81"/>
      <c r="G280" s="81"/>
      <c r="AB280" s="86"/>
      <c r="AD280" s="16"/>
    </row>
    <row r="281" spans="1:30">
      <c r="B281" s="83" t="s">
        <v>1225</v>
      </c>
      <c r="C281" s="81"/>
      <c r="D281" s="81"/>
      <c r="E281" s="81"/>
      <c r="F281" s="81"/>
      <c r="G281" s="81"/>
      <c r="AB281" s="86"/>
      <c r="AD281" s="16"/>
    </row>
    <row r="282" spans="1:30">
      <c r="B282" s="85"/>
      <c r="C282" s="81"/>
      <c r="D282" s="81"/>
      <c r="E282" s="81"/>
      <c r="F282" s="81"/>
      <c r="G282" s="81"/>
      <c r="AB282" s="86"/>
      <c r="AD282" s="16"/>
    </row>
    <row r="283" spans="1:30">
      <c r="A283" s="23" t="s">
        <v>1226</v>
      </c>
      <c r="B283" s="85" t="s">
        <v>1227</v>
      </c>
      <c r="C283" s="81"/>
      <c r="D283" s="81"/>
      <c r="E283" s="81"/>
      <c r="F283" s="81"/>
      <c r="G283" s="81"/>
      <c r="AB283" s="86"/>
    </row>
    <row r="284" spans="1:30">
      <c r="A284" s="50" t="s">
        <v>1158</v>
      </c>
      <c r="B284" s="141" t="s">
        <v>1229</v>
      </c>
      <c r="C284" s="81" t="e">
        <v>#NAME?</v>
      </c>
      <c r="D284" s="81" t="e">
        <v>#NAME?</v>
      </c>
      <c r="E284" s="81" t="e">
        <v>#NAME?</v>
      </c>
      <c r="F284" s="81" t="e">
        <v>#NAME?</v>
      </c>
      <c r="G284" s="81" t="e">
        <v>#NAME?</v>
      </c>
      <c r="AB284" s="86"/>
    </row>
    <row r="285" spans="1:30">
      <c r="A285" s="50" t="s">
        <v>1159</v>
      </c>
      <c r="B285" s="4" t="s">
        <v>102</v>
      </c>
      <c r="C285" s="81" t="e">
        <v>#NAME?</v>
      </c>
      <c r="D285" s="81" t="e">
        <v>#NAME?</v>
      </c>
      <c r="E285" s="81" t="e">
        <v>#NAME?</v>
      </c>
      <c r="F285" s="81" t="e">
        <v>#NAME?</v>
      </c>
      <c r="G285" s="81" t="e">
        <v>#NAME?</v>
      </c>
      <c r="AB285" s="86"/>
      <c r="AD285" s="16"/>
    </row>
    <row r="286" spans="1:30">
      <c r="A286" s="50" t="s">
        <v>517</v>
      </c>
      <c r="B286" s="4" t="s">
        <v>103</v>
      </c>
      <c r="C286" s="81" t="e">
        <v>#NAME?</v>
      </c>
      <c r="D286" s="81" t="e">
        <v>#NAME?</v>
      </c>
      <c r="E286" s="81" t="e">
        <v>#NAME?</v>
      </c>
      <c r="F286" s="81" t="e">
        <v>#NAME?</v>
      </c>
      <c r="G286" s="81" t="e">
        <v>#NAME?</v>
      </c>
      <c r="AB286" s="86"/>
      <c r="AD286" s="16"/>
    </row>
    <row r="287" spans="1:30">
      <c r="A287" s="50" t="s">
        <v>504</v>
      </c>
      <c r="B287" s="4" t="s">
        <v>505</v>
      </c>
      <c r="C287" s="142">
        <f>0</f>
        <v>0</v>
      </c>
      <c r="D287" s="142">
        <f>0</f>
        <v>0</v>
      </c>
      <c r="E287" s="142">
        <f>0</f>
        <v>0</v>
      </c>
      <c r="F287" s="142">
        <f>0</f>
        <v>0</v>
      </c>
      <c r="G287" s="142">
        <f>0</f>
        <v>0</v>
      </c>
      <c r="AB287" s="86"/>
      <c r="AD287" s="16"/>
    </row>
    <row r="288" spans="1:30">
      <c r="A288" s="50" t="s">
        <v>506</v>
      </c>
      <c r="B288" s="4" t="s">
        <v>507</v>
      </c>
      <c r="C288" s="142">
        <f>0</f>
        <v>0</v>
      </c>
      <c r="D288" s="142">
        <f>0</f>
        <v>0</v>
      </c>
      <c r="E288" s="142">
        <f>0</f>
        <v>0</v>
      </c>
      <c r="F288" s="142">
        <f>0</f>
        <v>0</v>
      </c>
      <c r="G288" s="142">
        <f>0</f>
        <v>0</v>
      </c>
      <c r="AB288" s="86"/>
      <c r="AD288" s="16"/>
    </row>
    <row r="289" spans="1:30">
      <c r="A289" s="50" t="s">
        <v>1160</v>
      </c>
      <c r="B289" s="4" t="s">
        <v>104</v>
      </c>
      <c r="C289" s="81" t="e">
        <v>#NAME?</v>
      </c>
      <c r="D289" s="81" t="e">
        <v>#NAME?</v>
      </c>
      <c r="E289" s="81" t="e">
        <v>#NAME?</v>
      </c>
      <c r="F289" s="81" t="e">
        <v>#NAME?</v>
      </c>
      <c r="G289" s="81" t="e">
        <v>#NAME?</v>
      </c>
      <c r="AB289" s="86"/>
      <c r="AD289" s="16"/>
    </row>
    <row r="290" spans="1:30">
      <c r="A290" s="50" t="s">
        <v>508</v>
      </c>
      <c r="B290" s="141" t="s">
        <v>509</v>
      </c>
      <c r="C290" s="142">
        <f>0</f>
        <v>0</v>
      </c>
      <c r="D290" s="142">
        <f>0</f>
        <v>0</v>
      </c>
      <c r="E290" s="142">
        <f>0</f>
        <v>0</v>
      </c>
      <c r="F290" s="142">
        <f>0</f>
        <v>0</v>
      </c>
      <c r="G290" s="142">
        <f>0</f>
        <v>0</v>
      </c>
      <c r="AB290" s="86"/>
      <c r="AD290" s="16"/>
    </row>
    <row r="291" spans="1:30">
      <c r="A291" s="50" t="s">
        <v>510</v>
      </c>
      <c r="B291" s="4" t="s">
        <v>511</v>
      </c>
      <c r="C291" s="142">
        <f>0</f>
        <v>0</v>
      </c>
      <c r="D291" s="142">
        <f>0</f>
        <v>0</v>
      </c>
      <c r="E291" s="142">
        <f>0</f>
        <v>0</v>
      </c>
      <c r="F291" s="142">
        <f>0</f>
        <v>0</v>
      </c>
      <c r="G291" s="142">
        <f>0</f>
        <v>0</v>
      </c>
      <c r="AB291" s="86"/>
      <c r="AD291" s="16"/>
    </row>
    <row r="292" spans="1:30">
      <c r="A292" s="50" t="s">
        <v>512</v>
      </c>
      <c r="B292" s="4" t="s">
        <v>513</v>
      </c>
      <c r="C292" s="142">
        <f>0</f>
        <v>0</v>
      </c>
      <c r="D292" s="142">
        <f>0</f>
        <v>0</v>
      </c>
      <c r="E292" s="142">
        <f>0</f>
        <v>0</v>
      </c>
      <c r="F292" s="142">
        <f>0</f>
        <v>0</v>
      </c>
      <c r="G292" s="142">
        <f>0</f>
        <v>0</v>
      </c>
      <c r="AB292" s="86"/>
      <c r="AD292" s="16"/>
    </row>
    <row r="293" spans="1:30">
      <c r="A293" s="50" t="s">
        <v>514</v>
      </c>
      <c r="B293" s="4" t="s">
        <v>515</v>
      </c>
      <c r="C293" s="142">
        <f>0</f>
        <v>0</v>
      </c>
      <c r="D293" s="142">
        <f>0</f>
        <v>0</v>
      </c>
      <c r="E293" s="142">
        <f>0</f>
        <v>0</v>
      </c>
      <c r="F293" s="142">
        <f>0</f>
        <v>0</v>
      </c>
      <c r="G293" s="142">
        <f>0</f>
        <v>0</v>
      </c>
      <c r="AB293" s="86"/>
      <c r="AD293" s="16"/>
    </row>
    <row r="294" spans="1:30">
      <c r="A294" s="50" t="s">
        <v>1161</v>
      </c>
      <c r="B294" s="141" t="s">
        <v>1143</v>
      </c>
      <c r="C294" s="81" t="e">
        <f>C58-SUM(C284:C293)</f>
        <v>#VALUE!</v>
      </c>
      <c r="D294" s="81" t="e">
        <f>D58-SUM(D284:D293)</f>
        <v>#VALUE!</v>
      </c>
      <c r="E294" s="81" t="e">
        <f>E58-SUM(E284:E293)</f>
        <v>#VALUE!</v>
      </c>
      <c r="F294" s="81" t="e">
        <f>F58-SUM(F284:F293)</f>
        <v>#VALUE!</v>
      </c>
      <c r="G294" s="81" t="e">
        <f>G58-SUM(G284:G293)</f>
        <v>#VALUE!</v>
      </c>
      <c r="AB294" s="86"/>
      <c r="AD294" s="16"/>
    </row>
    <row r="295" spans="1:30">
      <c r="A295" s="50" t="s">
        <v>1228</v>
      </c>
      <c r="B295" s="4" t="s">
        <v>1027</v>
      </c>
      <c r="C295" s="81" t="s">
        <v>1027</v>
      </c>
      <c r="D295" s="81" t="s">
        <v>1027</v>
      </c>
      <c r="E295" s="81" t="s">
        <v>1027</v>
      </c>
      <c r="F295" s="81" t="s">
        <v>1027</v>
      </c>
      <c r="G295" s="81" t="s">
        <v>1027</v>
      </c>
      <c r="AB295" s="86"/>
      <c r="AD295" s="16"/>
    </row>
    <row r="296" spans="1:30">
      <c r="A296" s="50" t="s">
        <v>1228</v>
      </c>
      <c r="B296" s="4" t="s">
        <v>1027</v>
      </c>
      <c r="C296" s="81" t="s">
        <v>1027</v>
      </c>
      <c r="D296" s="81" t="s">
        <v>1027</v>
      </c>
      <c r="E296" s="81" t="s">
        <v>1027</v>
      </c>
      <c r="F296" s="81" t="s">
        <v>1027</v>
      </c>
      <c r="G296" s="81" t="s">
        <v>1027</v>
      </c>
      <c r="AB296" s="86"/>
      <c r="AD296" s="16"/>
    </row>
    <row r="297" spans="1:30">
      <c r="A297" s="50" t="s">
        <v>1228</v>
      </c>
      <c r="B297" s="4" t="s">
        <v>1027</v>
      </c>
      <c r="C297" s="81" t="s">
        <v>1027</v>
      </c>
      <c r="D297" s="81" t="s">
        <v>1027</v>
      </c>
      <c r="E297" s="81" t="s">
        <v>1027</v>
      </c>
      <c r="F297" s="81" t="s">
        <v>1027</v>
      </c>
      <c r="G297" s="81" t="s">
        <v>1027</v>
      </c>
      <c r="AB297" s="86"/>
      <c r="AD297" s="16"/>
    </row>
    <row r="298" spans="1:30">
      <c r="A298" s="50" t="s">
        <v>1228</v>
      </c>
      <c r="B298" s="4" t="s">
        <v>1027</v>
      </c>
      <c r="C298" s="81" t="s">
        <v>1027</v>
      </c>
      <c r="D298" s="81" t="s">
        <v>1027</v>
      </c>
      <c r="E298" s="81" t="s">
        <v>1027</v>
      </c>
      <c r="F298" s="81" t="s">
        <v>1027</v>
      </c>
      <c r="G298" s="81" t="s">
        <v>1027</v>
      </c>
      <c r="AB298" s="86"/>
      <c r="AD298" s="16"/>
    </row>
    <row r="299" spans="1:30" ht="12.75" customHeight="1">
      <c r="A299" s="50" t="s">
        <v>1228</v>
      </c>
      <c r="B299" s="4" t="s">
        <v>1027</v>
      </c>
      <c r="C299" s="81" t="s">
        <v>1027</v>
      </c>
      <c r="D299" s="81" t="s">
        <v>1027</v>
      </c>
      <c r="E299" s="81" t="s">
        <v>1027</v>
      </c>
      <c r="F299" s="81" t="s">
        <v>1027</v>
      </c>
      <c r="G299" s="81" t="s">
        <v>1027</v>
      </c>
      <c r="AB299" s="86"/>
      <c r="AD299" s="16"/>
    </row>
    <row r="300" spans="1:30" ht="13.5" customHeight="1">
      <c r="A300" s="50" t="s">
        <v>1228</v>
      </c>
      <c r="B300" s="4" t="s">
        <v>1027</v>
      </c>
      <c r="C300" s="81" t="s">
        <v>1027</v>
      </c>
      <c r="D300" s="81" t="s">
        <v>1027</v>
      </c>
      <c r="E300" s="81" t="s">
        <v>1027</v>
      </c>
      <c r="F300" s="81" t="s">
        <v>1027</v>
      </c>
      <c r="G300" s="81" t="s">
        <v>1027</v>
      </c>
      <c r="AB300" s="86"/>
      <c r="AD300" s="16"/>
    </row>
    <row r="301" spans="1:30">
      <c r="A301" s="50" t="s">
        <v>1228</v>
      </c>
      <c r="B301" s="4" t="s">
        <v>1027</v>
      </c>
      <c r="C301" s="81" t="s">
        <v>1027</v>
      </c>
      <c r="D301" s="81" t="s">
        <v>1027</v>
      </c>
      <c r="E301" s="81" t="s">
        <v>1027</v>
      </c>
      <c r="F301" s="81" t="s">
        <v>1027</v>
      </c>
      <c r="G301" s="81" t="s">
        <v>1027</v>
      </c>
      <c r="AB301" s="86"/>
      <c r="AD301" s="16"/>
    </row>
    <row r="302" spans="1:30">
      <c r="A302" s="50" t="s">
        <v>1228</v>
      </c>
      <c r="B302" s="4" t="s">
        <v>1027</v>
      </c>
      <c r="C302" s="81" t="s">
        <v>1027</v>
      </c>
      <c r="D302" s="81" t="s">
        <v>1027</v>
      </c>
      <c r="E302" s="81" t="s">
        <v>1027</v>
      </c>
      <c r="F302" s="81" t="s">
        <v>1027</v>
      </c>
      <c r="G302" s="81" t="s">
        <v>1027</v>
      </c>
      <c r="AB302" s="86"/>
      <c r="AD302" s="16"/>
    </row>
    <row r="303" spans="1:30">
      <c r="A303" s="50" t="s">
        <v>1228</v>
      </c>
      <c r="B303" s="4" t="s">
        <v>1027</v>
      </c>
      <c r="C303" s="81" t="s">
        <v>1027</v>
      </c>
      <c r="D303" s="81" t="s">
        <v>1027</v>
      </c>
      <c r="E303" s="81" t="s">
        <v>1027</v>
      </c>
      <c r="F303" s="81" t="s">
        <v>1027</v>
      </c>
      <c r="G303" s="81" t="s">
        <v>1027</v>
      </c>
      <c r="AB303" s="86"/>
      <c r="AD303" s="16"/>
    </row>
    <row r="304" spans="1:30">
      <c r="A304" s="50" t="s">
        <v>1228</v>
      </c>
      <c r="C304" s="81" t="e">
        <f>SUM(C284:C303)</f>
        <v>#NAME?</v>
      </c>
      <c r="D304" s="81" t="e">
        <f>SUM(D284:D303)</f>
        <v>#NAME?</v>
      </c>
      <c r="E304" s="81" t="e">
        <f>SUM(E284:E303)</f>
        <v>#NAME?</v>
      </c>
      <c r="F304" s="81" t="e">
        <f>SUM(F284:F303)</f>
        <v>#NAME?</v>
      </c>
      <c r="G304" s="81" t="e">
        <f>SUM(G284:G303)</f>
        <v>#NAME?</v>
      </c>
      <c r="AB304" s="86"/>
      <c r="AD304" s="16"/>
    </row>
    <row r="305" spans="1:30">
      <c r="B305" s="85" t="s">
        <v>1230</v>
      </c>
      <c r="C305" s="74"/>
      <c r="D305" s="74"/>
      <c r="E305" s="74"/>
      <c r="F305" s="74"/>
      <c r="G305" s="74"/>
      <c r="AB305" s="86"/>
    </row>
    <row r="306" spans="1:30">
      <c r="A306" s="50" t="s">
        <v>1158</v>
      </c>
      <c r="B306" s="141" t="s">
        <v>1229</v>
      </c>
      <c r="C306" s="81" t="e">
        <v>#NAME?</v>
      </c>
      <c r="D306" s="81" t="e">
        <v>#NAME?</v>
      </c>
      <c r="E306" s="81" t="e">
        <v>#NAME?</v>
      </c>
      <c r="F306" s="81" t="e">
        <v>#NAME?</v>
      </c>
      <c r="G306" s="81" t="e">
        <v>#NAME?</v>
      </c>
      <c r="AB306" s="86"/>
    </row>
    <row r="307" spans="1:30">
      <c r="A307" s="50" t="s">
        <v>1159</v>
      </c>
      <c r="B307" s="4" t="s">
        <v>102</v>
      </c>
      <c r="C307" s="81" t="e">
        <v>#VALUE!</v>
      </c>
      <c r="D307" s="81" t="e">
        <v>#VALUE!</v>
      </c>
      <c r="E307" s="81" t="e">
        <v>#VALUE!</v>
      </c>
      <c r="F307" s="81" t="e">
        <v>#VALUE!</v>
      </c>
      <c r="G307" s="81" t="e">
        <v>#VALUE!</v>
      </c>
      <c r="AB307" s="86"/>
    </row>
    <row r="308" spans="1:30">
      <c r="A308" s="50" t="s">
        <v>517</v>
      </c>
      <c r="B308" s="4" t="s">
        <v>103</v>
      </c>
      <c r="C308" s="81" t="e">
        <v>#NAME?</v>
      </c>
      <c r="D308" s="81" t="e">
        <v>#NAME?</v>
      </c>
      <c r="E308" s="81" t="e">
        <v>#NAME?</v>
      </c>
      <c r="F308" s="81" t="e">
        <v>#NAME?</v>
      </c>
      <c r="G308" s="81" t="e">
        <v>#NAME?</v>
      </c>
      <c r="AB308" s="86"/>
    </row>
    <row r="309" spans="1:30">
      <c r="A309" s="50" t="s">
        <v>504</v>
      </c>
      <c r="B309" s="4" t="s">
        <v>505</v>
      </c>
      <c r="C309" s="142">
        <f>0</f>
        <v>0</v>
      </c>
      <c r="D309" s="142">
        <f>0</f>
        <v>0</v>
      </c>
      <c r="E309" s="142">
        <f>0</f>
        <v>0</v>
      </c>
      <c r="F309" s="142">
        <f>0</f>
        <v>0</v>
      </c>
      <c r="G309" s="142">
        <f>0</f>
        <v>0</v>
      </c>
    </row>
    <row r="310" spans="1:30">
      <c r="A310" s="50" t="s">
        <v>506</v>
      </c>
      <c r="B310" s="4" t="s">
        <v>507</v>
      </c>
      <c r="C310" s="142">
        <f>0</f>
        <v>0</v>
      </c>
      <c r="D310" s="142">
        <f>0</f>
        <v>0</v>
      </c>
      <c r="E310" s="142">
        <f>0</f>
        <v>0</v>
      </c>
      <c r="F310" s="142">
        <f>0</f>
        <v>0</v>
      </c>
      <c r="G310" s="142">
        <f>0</f>
        <v>0</v>
      </c>
    </row>
    <row r="311" spans="1:30">
      <c r="A311" s="50" t="s">
        <v>1160</v>
      </c>
      <c r="B311" s="4" t="s">
        <v>104</v>
      </c>
      <c r="C311" s="81" t="e">
        <v>#NAME?</v>
      </c>
      <c r="D311" s="81" t="e">
        <v>#NAME?</v>
      </c>
      <c r="E311" s="81" t="e">
        <v>#NAME?</v>
      </c>
      <c r="F311" s="81" t="e">
        <v>#NAME?</v>
      </c>
      <c r="G311" s="81" t="e">
        <v>#NAME?</v>
      </c>
      <c r="AB311" s="86"/>
      <c r="AD311" s="16"/>
    </row>
    <row r="312" spans="1:30">
      <c r="A312" s="50" t="s">
        <v>508</v>
      </c>
      <c r="B312" s="141" t="s">
        <v>509</v>
      </c>
      <c r="C312" s="142">
        <f>0</f>
        <v>0</v>
      </c>
      <c r="D312" s="142">
        <f>0</f>
        <v>0</v>
      </c>
      <c r="E312" s="142">
        <f>0</f>
        <v>0</v>
      </c>
      <c r="F312" s="142">
        <f>0</f>
        <v>0</v>
      </c>
      <c r="G312" s="142">
        <f>0</f>
        <v>0</v>
      </c>
      <c r="AB312" s="86"/>
      <c r="AD312" s="16"/>
    </row>
    <row r="313" spans="1:30">
      <c r="A313" s="50" t="s">
        <v>510</v>
      </c>
      <c r="B313" s="4" t="s">
        <v>511</v>
      </c>
      <c r="C313" s="142">
        <f>0</f>
        <v>0</v>
      </c>
      <c r="D313" s="142">
        <f>0</f>
        <v>0</v>
      </c>
      <c r="E313" s="142">
        <f>0</f>
        <v>0</v>
      </c>
      <c r="F313" s="142">
        <f>0</f>
        <v>0</v>
      </c>
      <c r="G313" s="142">
        <f>0</f>
        <v>0</v>
      </c>
      <c r="AB313" s="86"/>
      <c r="AD313" s="16"/>
    </row>
    <row r="314" spans="1:30">
      <c r="A314" s="50" t="s">
        <v>512</v>
      </c>
      <c r="B314" s="4" t="s">
        <v>513</v>
      </c>
      <c r="C314" s="142">
        <f>0</f>
        <v>0</v>
      </c>
      <c r="D314" s="142">
        <f>0</f>
        <v>0</v>
      </c>
      <c r="E314" s="142">
        <f>0</f>
        <v>0</v>
      </c>
      <c r="F314" s="142">
        <f>0</f>
        <v>0</v>
      </c>
      <c r="G314" s="142">
        <f>0</f>
        <v>0</v>
      </c>
      <c r="AB314" s="86"/>
      <c r="AD314" s="16"/>
    </row>
    <row r="315" spans="1:30">
      <c r="A315" s="50" t="s">
        <v>514</v>
      </c>
      <c r="B315" s="4" t="s">
        <v>515</v>
      </c>
      <c r="C315" s="142">
        <f>0</f>
        <v>0</v>
      </c>
      <c r="D315" s="142">
        <f>0</f>
        <v>0</v>
      </c>
      <c r="E315" s="142">
        <f>0</f>
        <v>0</v>
      </c>
      <c r="F315" s="142">
        <f>0</f>
        <v>0</v>
      </c>
      <c r="G315" s="142">
        <f>0</f>
        <v>0</v>
      </c>
      <c r="AB315" s="86"/>
      <c r="AD315" s="16"/>
    </row>
    <row r="316" spans="1:30">
      <c r="A316" s="50" t="s">
        <v>1161</v>
      </c>
      <c r="B316" s="141" t="s">
        <v>1143</v>
      </c>
      <c r="C316" s="81" t="e">
        <f>C83-SUM(C306:C315)</f>
        <v>#VALUE!</v>
      </c>
      <c r="D316" s="81" t="e">
        <f>D83-SUM(D306:D315)</f>
        <v>#VALUE!</v>
      </c>
      <c r="E316" s="81" t="e">
        <f>E83-SUM(E306:E315)</f>
        <v>#VALUE!</v>
      </c>
      <c r="F316" s="81" t="e">
        <f>F83-SUM(F306:F315)</f>
        <v>#VALUE!</v>
      </c>
      <c r="G316" s="81" t="e">
        <f>G83-SUM(G306:G315)</f>
        <v>#VALUE!</v>
      </c>
      <c r="AB316" s="86"/>
      <c r="AD316" s="16"/>
    </row>
    <row r="317" spans="1:30">
      <c r="A317" s="50" t="s">
        <v>1228</v>
      </c>
      <c r="B317" s="1" t="s">
        <v>1027</v>
      </c>
      <c r="C317" s="81" t="s">
        <v>1027</v>
      </c>
      <c r="D317" s="81" t="s">
        <v>1027</v>
      </c>
      <c r="E317" s="81" t="s">
        <v>1027</v>
      </c>
      <c r="F317" s="81" t="s">
        <v>1027</v>
      </c>
      <c r="G317" s="81" t="s">
        <v>1027</v>
      </c>
      <c r="AB317" s="86"/>
      <c r="AD317" s="16"/>
    </row>
    <row r="318" spans="1:30">
      <c r="A318" s="50" t="s">
        <v>1228</v>
      </c>
      <c r="B318" s="1" t="s">
        <v>1027</v>
      </c>
      <c r="C318" s="81" t="s">
        <v>1027</v>
      </c>
      <c r="D318" s="81" t="s">
        <v>1027</v>
      </c>
      <c r="E318" s="81" t="s">
        <v>1027</v>
      </c>
      <c r="F318" s="81" t="s">
        <v>1027</v>
      </c>
      <c r="G318" s="81" t="s">
        <v>1027</v>
      </c>
      <c r="AB318" s="86"/>
      <c r="AD318" s="16"/>
    </row>
    <row r="319" spans="1:30">
      <c r="A319" s="50" t="s">
        <v>1228</v>
      </c>
      <c r="B319" s="1" t="s">
        <v>1027</v>
      </c>
      <c r="C319" s="81" t="s">
        <v>1027</v>
      </c>
      <c r="D319" s="81" t="s">
        <v>1027</v>
      </c>
      <c r="E319" s="81" t="s">
        <v>1027</v>
      </c>
      <c r="F319" s="81" t="s">
        <v>1027</v>
      </c>
      <c r="G319" s="81" t="s">
        <v>1027</v>
      </c>
      <c r="AB319" s="86"/>
      <c r="AD319" s="16"/>
    </row>
    <row r="320" spans="1:30">
      <c r="A320" s="50" t="s">
        <v>1228</v>
      </c>
      <c r="B320" s="1" t="s">
        <v>1027</v>
      </c>
      <c r="C320" s="81" t="s">
        <v>1027</v>
      </c>
      <c r="D320" s="81" t="s">
        <v>1027</v>
      </c>
      <c r="E320" s="81" t="s">
        <v>1027</v>
      </c>
      <c r="F320" s="81" t="s">
        <v>1027</v>
      </c>
      <c r="G320" s="81" t="s">
        <v>1027</v>
      </c>
      <c r="AB320" s="86"/>
      <c r="AD320" s="16"/>
    </row>
    <row r="321" spans="1:30">
      <c r="A321" s="50" t="s">
        <v>1228</v>
      </c>
      <c r="B321" s="1" t="s">
        <v>1027</v>
      </c>
      <c r="C321" s="81" t="s">
        <v>1027</v>
      </c>
      <c r="D321" s="81" t="s">
        <v>1027</v>
      </c>
      <c r="E321" s="81" t="s">
        <v>1027</v>
      </c>
      <c r="F321" s="81" t="s">
        <v>1027</v>
      </c>
      <c r="G321" s="81" t="s">
        <v>1027</v>
      </c>
      <c r="AB321" s="86"/>
      <c r="AD321" s="16"/>
    </row>
    <row r="322" spans="1:30">
      <c r="A322" s="50" t="s">
        <v>1228</v>
      </c>
      <c r="B322" s="1" t="s">
        <v>1027</v>
      </c>
      <c r="C322" s="81"/>
      <c r="D322" s="81"/>
      <c r="E322" s="81"/>
      <c r="F322" s="81"/>
      <c r="G322" s="81"/>
      <c r="AB322" s="86"/>
      <c r="AD322" s="16"/>
    </row>
    <row r="323" spans="1:30">
      <c r="A323" s="50" t="s">
        <v>1228</v>
      </c>
      <c r="B323" s="1" t="s">
        <v>1027</v>
      </c>
      <c r="C323" s="81"/>
      <c r="D323" s="81"/>
      <c r="E323" s="81"/>
      <c r="F323" s="81"/>
      <c r="G323" s="81"/>
      <c r="AB323" s="86"/>
      <c r="AD323" s="16"/>
    </row>
    <row r="324" spans="1:30">
      <c r="A324" s="50" t="s">
        <v>1228</v>
      </c>
      <c r="B324" s="1" t="s">
        <v>1027</v>
      </c>
      <c r="C324" s="81"/>
      <c r="D324" s="81"/>
      <c r="E324" s="81"/>
      <c r="F324" s="81"/>
      <c r="G324" s="81"/>
      <c r="AB324" s="86"/>
      <c r="AD324" s="16"/>
    </row>
    <row r="325" spans="1:30">
      <c r="A325" s="50" t="s">
        <v>1228</v>
      </c>
      <c r="B325" s="1" t="s">
        <v>1027</v>
      </c>
      <c r="C325" s="81"/>
      <c r="D325" s="81"/>
      <c r="E325" s="81"/>
      <c r="F325" s="81"/>
      <c r="G325" s="81"/>
      <c r="AB325" s="86"/>
      <c r="AD325" s="16"/>
    </row>
    <row r="326" spans="1:30">
      <c r="A326" s="50" t="s">
        <v>1228</v>
      </c>
      <c r="C326" s="81" t="e">
        <f>SUM(C306:C325)</f>
        <v>#NAME?</v>
      </c>
      <c r="D326" s="81" t="e">
        <f>SUM(D306:D325)</f>
        <v>#NAME?</v>
      </c>
      <c r="E326" s="81" t="e">
        <f>SUM(E306:E325)</f>
        <v>#NAME?</v>
      </c>
      <c r="F326" s="81" t="e">
        <f>SUM(F306:F325)</f>
        <v>#NAME?</v>
      </c>
      <c r="G326" s="81" t="e">
        <f>SUM(G306:G325)</f>
        <v>#NAME?</v>
      </c>
      <c r="AB326" s="86"/>
      <c r="AD326" s="16"/>
    </row>
    <row r="327" spans="1:30">
      <c r="B327" s="85" t="s">
        <v>1231</v>
      </c>
      <c r="C327" s="81"/>
      <c r="D327" s="81"/>
      <c r="E327" s="81"/>
      <c r="F327" s="81"/>
      <c r="G327" s="81"/>
      <c r="AB327" s="86"/>
      <c r="AD327" s="16"/>
    </row>
    <row r="328" spans="1:30">
      <c r="A328" s="50" t="s">
        <v>1158</v>
      </c>
      <c r="B328" s="141" t="s">
        <v>1229</v>
      </c>
      <c r="C328" s="81" t="e">
        <f t="shared" ref="C328:G330" si="2">C284/C$304*C$177</f>
        <v>#NAME?</v>
      </c>
      <c r="D328" s="81" t="e">
        <f t="shared" si="2"/>
        <v>#NAME?</v>
      </c>
      <c r="E328" s="81" t="e">
        <f t="shared" si="2"/>
        <v>#NAME?</v>
      </c>
      <c r="F328" s="81" t="e">
        <f t="shared" si="2"/>
        <v>#NAME?</v>
      </c>
      <c r="G328" s="81" t="e">
        <f t="shared" si="2"/>
        <v>#NAME?</v>
      </c>
      <c r="AB328" s="86"/>
      <c r="AD328" s="16"/>
    </row>
    <row r="329" spans="1:30">
      <c r="A329" s="50" t="s">
        <v>1159</v>
      </c>
      <c r="B329" s="4" t="s">
        <v>102</v>
      </c>
      <c r="C329" s="81" t="e">
        <f t="shared" si="2"/>
        <v>#NAME?</v>
      </c>
      <c r="D329" s="81" t="e">
        <f t="shared" si="2"/>
        <v>#NAME?</v>
      </c>
      <c r="E329" s="81" t="e">
        <f t="shared" si="2"/>
        <v>#NAME?</v>
      </c>
      <c r="F329" s="81" t="e">
        <f t="shared" si="2"/>
        <v>#NAME?</v>
      </c>
      <c r="G329" s="81" t="e">
        <f t="shared" si="2"/>
        <v>#NAME?</v>
      </c>
      <c r="AB329" s="86"/>
      <c r="AD329" s="16"/>
    </row>
    <row r="330" spans="1:30">
      <c r="A330" s="50" t="s">
        <v>517</v>
      </c>
      <c r="B330" s="4" t="s">
        <v>103</v>
      </c>
      <c r="C330" s="81" t="e">
        <f t="shared" si="2"/>
        <v>#NAME?</v>
      </c>
      <c r="D330" s="81" t="e">
        <f t="shared" si="2"/>
        <v>#NAME?</v>
      </c>
      <c r="E330" s="81" t="e">
        <f t="shared" si="2"/>
        <v>#NAME?</v>
      </c>
      <c r="F330" s="81" t="e">
        <f t="shared" si="2"/>
        <v>#NAME?</v>
      </c>
      <c r="G330" s="81" t="e">
        <f t="shared" si="2"/>
        <v>#NAME?</v>
      </c>
      <c r="AB330" s="86"/>
      <c r="AD330" s="16"/>
    </row>
    <row r="331" spans="1:30">
      <c r="A331" s="50" t="s">
        <v>504</v>
      </c>
      <c r="B331" s="4" t="s">
        <v>505</v>
      </c>
      <c r="C331" s="142">
        <f>0</f>
        <v>0</v>
      </c>
      <c r="D331" s="142">
        <f>0</f>
        <v>0</v>
      </c>
      <c r="E331" s="142">
        <f>0</f>
        <v>0</v>
      </c>
      <c r="F331" s="142">
        <f>0</f>
        <v>0</v>
      </c>
      <c r="G331" s="142">
        <f>0</f>
        <v>0</v>
      </c>
      <c r="AB331" s="86"/>
    </row>
    <row r="332" spans="1:30">
      <c r="A332" s="50" t="s">
        <v>506</v>
      </c>
      <c r="B332" s="4" t="s">
        <v>507</v>
      </c>
      <c r="C332" s="142">
        <f>0</f>
        <v>0</v>
      </c>
      <c r="D332" s="142">
        <f>0</f>
        <v>0</v>
      </c>
      <c r="E332" s="142">
        <f>0</f>
        <v>0</v>
      </c>
      <c r="F332" s="142">
        <f>0</f>
        <v>0</v>
      </c>
      <c r="G332" s="142">
        <f>0</f>
        <v>0</v>
      </c>
      <c r="AB332" s="86"/>
    </row>
    <row r="333" spans="1:30" ht="12.75" customHeight="1">
      <c r="A333" s="50" t="s">
        <v>1160</v>
      </c>
      <c r="B333" s="4" t="s">
        <v>104</v>
      </c>
      <c r="C333" s="81" t="e">
        <f>C289/C$304*C$177</f>
        <v>#NAME?</v>
      </c>
      <c r="D333" s="81" t="e">
        <f>D289/D$304*D$177</f>
        <v>#NAME?</v>
      </c>
      <c r="E333" s="81" t="e">
        <f>E289/E$304*E$177</f>
        <v>#NAME?</v>
      </c>
      <c r="F333" s="81" t="e">
        <f>F289/F$304*F$177</f>
        <v>#NAME?</v>
      </c>
      <c r="G333" s="81" t="e">
        <f>G289/G$304*G$177</f>
        <v>#NAME?</v>
      </c>
      <c r="AB333" s="86"/>
      <c r="AD333" s="16"/>
    </row>
    <row r="334" spans="1:30" ht="12.75" customHeight="1">
      <c r="A334" s="50" t="s">
        <v>508</v>
      </c>
      <c r="B334" s="141" t="s">
        <v>509</v>
      </c>
      <c r="C334" s="142">
        <f>0</f>
        <v>0</v>
      </c>
      <c r="D334" s="142">
        <f>0</f>
        <v>0</v>
      </c>
      <c r="E334" s="142">
        <f>0</f>
        <v>0</v>
      </c>
      <c r="F334" s="142">
        <f>0</f>
        <v>0</v>
      </c>
      <c r="G334" s="142">
        <f>0</f>
        <v>0</v>
      </c>
      <c r="AB334" s="86"/>
      <c r="AD334" s="16"/>
    </row>
    <row r="335" spans="1:30" ht="12.75" customHeight="1">
      <c r="A335" s="50" t="s">
        <v>510</v>
      </c>
      <c r="B335" s="4" t="s">
        <v>511</v>
      </c>
      <c r="C335" s="142">
        <f>0</f>
        <v>0</v>
      </c>
      <c r="D335" s="142">
        <f>0</f>
        <v>0</v>
      </c>
      <c r="E335" s="142">
        <f>0</f>
        <v>0</v>
      </c>
      <c r="F335" s="142">
        <f>0</f>
        <v>0</v>
      </c>
      <c r="G335" s="142">
        <f>0</f>
        <v>0</v>
      </c>
      <c r="AB335" s="86"/>
      <c r="AD335" s="16"/>
    </row>
    <row r="336" spans="1:30" ht="12.75" customHeight="1">
      <c r="A336" s="50" t="s">
        <v>512</v>
      </c>
      <c r="B336" s="4" t="s">
        <v>513</v>
      </c>
      <c r="C336" s="142">
        <f>0</f>
        <v>0</v>
      </c>
      <c r="D336" s="142">
        <f>0</f>
        <v>0</v>
      </c>
      <c r="E336" s="142">
        <f>0</f>
        <v>0</v>
      </c>
      <c r="F336" s="142">
        <f>0</f>
        <v>0</v>
      </c>
      <c r="G336" s="142">
        <f>0</f>
        <v>0</v>
      </c>
      <c r="AB336" s="86"/>
      <c r="AD336" s="16"/>
    </row>
    <row r="337" spans="1:30" ht="12.75" customHeight="1">
      <c r="A337" s="50" t="s">
        <v>514</v>
      </c>
      <c r="B337" s="4" t="s">
        <v>515</v>
      </c>
      <c r="C337" s="142">
        <f>0</f>
        <v>0</v>
      </c>
      <c r="D337" s="142">
        <f>0</f>
        <v>0</v>
      </c>
      <c r="E337" s="142">
        <f>0</f>
        <v>0</v>
      </c>
      <c r="F337" s="142">
        <f>0</f>
        <v>0</v>
      </c>
      <c r="G337" s="142">
        <f>0</f>
        <v>0</v>
      </c>
      <c r="AB337" s="86"/>
      <c r="AD337" s="16"/>
    </row>
    <row r="338" spans="1:30" ht="12.75" customHeight="1">
      <c r="A338" s="50" t="s">
        <v>1161</v>
      </c>
      <c r="B338" s="141" t="s">
        <v>1143</v>
      </c>
      <c r="C338" s="81" t="e">
        <f>C177-SUM(C328:C337)</f>
        <v>#VALUE!</v>
      </c>
      <c r="D338" s="81" t="e">
        <f>D177-SUM(D328:D337)</f>
        <v>#VALUE!</v>
      </c>
      <c r="E338" s="81" t="e">
        <f>E177-SUM(E328:E337)</f>
        <v>#VALUE!</v>
      </c>
      <c r="F338" s="81" t="e">
        <f>F177-SUM(F328:F337)</f>
        <v>#VALUE!</v>
      </c>
      <c r="G338" s="81" t="e">
        <f>G177-SUM(G328:G337)</f>
        <v>#VALUE!</v>
      </c>
      <c r="AB338" s="86"/>
      <c r="AD338" s="16"/>
    </row>
    <row r="339" spans="1:30" ht="12.75" customHeight="1">
      <c r="A339" s="50" t="s">
        <v>1228</v>
      </c>
      <c r="B339" s="1" t="s">
        <v>1027</v>
      </c>
      <c r="C339" s="81" t="s">
        <v>1027</v>
      </c>
      <c r="D339" s="81" t="s">
        <v>1027</v>
      </c>
      <c r="E339" s="81" t="s">
        <v>1027</v>
      </c>
      <c r="F339" s="81" t="s">
        <v>1027</v>
      </c>
      <c r="G339" s="81" t="s">
        <v>1027</v>
      </c>
      <c r="AB339" s="86"/>
      <c r="AD339" s="16"/>
    </row>
    <row r="340" spans="1:30" ht="12.75" customHeight="1">
      <c r="A340" s="50" t="s">
        <v>1228</v>
      </c>
      <c r="B340" s="1" t="s">
        <v>1027</v>
      </c>
      <c r="C340" s="81" t="s">
        <v>1027</v>
      </c>
      <c r="D340" s="81" t="s">
        <v>1027</v>
      </c>
      <c r="E340" s="81" t="s">
        <v>1027</v>
      </c>
      <c r="F340" s="81" t="s">
        <v>1027</v>
      </c>
      <c r="G340" s="81" t="s">
        <v>1027</v>
      </c>
      <c r="AB340" s="86"/>
      <c r="AD340" s="16"/>
    </row>
    <row r="341" spans="1:30" ht="12.75" customHeight="1">
      <c r="A341" s="50" t="s">
        <v>1228</v>
      </c>
      <c r="B341" s="1" t="s">
        <v>1027</v>
      </c>
      <c r="C341" s="81"/>
      <c r="D341" s="81"/>
      <c r="E341" s="81"/>
      <c r="F341" s="81"/>
      <c r="G341" s="81"/>
      <c r="AB341" s="86"/>
      <c r="AD341" s="16"/>
    </row>
    <row r="342" spans="1:30" ht="12.75" customHeight="1">
      <c r="A342" s="50" t="s">
        <v>1228</v>
      </c>
      <c r="B342" s="1" t="s">
        <v>1027</v>
      </c>
      <c r="C342" s="81" t="s">
        <v>1027</v>
      </c>
      <c r="D342" s="81" t="s">
        <v>1027</v>
      </c>
      <c r="E342" s="81" t="s">
        <v>1027</v>
      </c>
      <c r="F342" s="81" t="s">
        <v>1027</v>
      </c>
      <c r="G342" s="81" t="s">
        <v>1027</v>
      </c>
      <c r="AB342" s="86"/>
      <c r="AD342" s="16"/>
    </row>
    <row r="343" spans="1:30" ht="12.75" customHeight="1">
      <c r="A343" s="50" t="s">
        <v>1228</v>
      </c>
      <c r="B343" s="1" t="s">
        <v>1027</v>
      </c>
      <c r="C343" s="81"/>
      <c r="D343" s="81"/>
      <c r="E343" s="81"/>
      <c r="F343" s="81"/>
      <c r="G343" s="81"/>
      <c r="AB343" s="86"/>
      <c r="AD343" s="16"/>
    </row>
    <row r="344" spans="1:30" ht="12.75" customHeight="1">
      <c r="A344" s="50" t="s">
        <v>1228</v>
      </c>
      <c r="B344" s="1" t="s">
        <v>1027</v>
      </c>
      <c r="C344" s="81"/>
      <c r="D344" s="81"/>
      <c r="E344" s="81"/>
      <c r="F344" s="81"/>
      <c r="G344" s="81"/>
      <c r="AB344" s="86"/>
      <c r="AD344" s="16"/>
    </row>
    <row r="345" spans="1:30" ht="12.75" customHeight="1">
      <c r="A345" s="50" t="s">
        <v>1228</v>
      </c>
      <c r="B345" s="1" t="s">
        <v>1027</v>
      </c>
      <c r="C345" s="81"/>
      <c r="D345" s="81"/>
      <c r="E345" s="81"/>
      <c r="F345" s="81"/>
      <c r="G345" s="81"/>
      <c r="AB345" s="86"/>
      <c r="AD345" s="16"/>
    </row>
    <row r="346" spans="1:30" ht="12.75" customHeight="1">
      <c r="A346" s="50" t="s">
        <v>1228</v>
      </c>
      <c r="B346" s="1" t="s">
        <v>1027</v>
      </c>
      <c r="C346" s="81"/>
      <c r="D346" s="81"/>
      <c r="E346" s="81"/>
      <c r="F346" s="81"/>
      <c r="G346" s="81"/>
      <c r="AB346" s="86"/>
      <c r="AD346" s="16"/>
    </row>
    <row r="347" spans="1:30" ht="12.75" customHeight="1">
      <c r="A347" s="50" t="s">
        <v>1228</v>
      </c>
      <c r="B347" s="1" t="s">
        <v>1027</v>
      </c>
      <c r="C347" s="81"/>
      <c r="D347" s="81"/>
      <c r="E347" s="81"/>
      <c r="F347" s="81"/>
      <c r="G347" s="81"/>
      <c r="AB347" s="86"/>
      <c r="AD347" s="16"/>
    </row>
    <row r="348" spans="1:30" ht="12.75" customHeight="1">
      <c r="A348" s="50" t="s">
        <v>1228</v>
      </c>
      <c r="C348" s="81" t="e">
        <f>SUM(C328:C347)</f>
        <v>#NAME?</v>
      </c>
      <c r="D348" s="81" t="e">
        <f>SUM(D328:D347)</f>
        <v>#NAME?</v>
      </c>
      <c r="E348" s="81" t="e">
        <f>SUM(E328:E347)</f>
        <v>#NAME?</v>
      </c>
      <c r="F348" s="81" t="e">
        <f>SUM(F328:F347)</f>
        <v>#NAME?</v>
      </c>
      <c r="G348" s="81" t="e">
        <f>SUM(G328:G347)</f>
        <v>#NAME?</v>
      </c>
      <c r="AB348" s="86"/>
      <c r="AD348" s="16"/>
    </row>
    <row r="349" spans="1:30" ht="12.75" customHeight="1">
      <c r="A349" s="4" t="s">
        <v>1027</v>
      </c>
      <c r="C349" s="81" t="s">
        <v>1027</v>
      </c>
      <c r="D349" s="81" t="s">
        <v>1027</v>
      </c>
      <c r="E349" s="81" t="s">
        <v>1027</v>
      </c>
      <c r="F349" s="81" t="s">
        <v>1027</v>
      </c>
      <c r="G349" s="81" t="s">
        <v>1027</v>
      </c>
      <c r="AB349" s="86"/>
      <c r="AD349" s="16"/>
    </row>
    <row r="350" spans="1:30" ht="12.75" customHeight="1">
      <c r="C350" s="81"/>
      <c r="D350" s="81"/>
      <c r="E350" s="81"/>
      <c r="F350" s="81"/>
      <c r="G350" s="81"/>
      <c r="AB350" s="86"/>
      <c r="AD350" s="16"/>
    </row>
    <row r="351" spans="1:30" ht="12.75" customHeight="1">
      <c r="B351" s="83" t="s">
        <v>1232</v>
      </c>
      <c r="C351" s="81"/>
      <c r="D351" s="81"/>
      <c r="E351" s="81"/>
      <c r="F351" s="81"/>
      <c r="G351" s="81"/>
      <c r="AB351" s="86"/>
      <c r="AD351" s="16"/>
    </row>
    <row r="352" spans="1:30" ht="12.75" customHeight="1">
      <c r="B352" s="85"/>
      <c r="C352" s="81"/>
      <c r="D352" s="81"/>
      <c r="E352" s="81"/>
      <c r="F352" s="81"/>
      <c r="G352" s="81"/>
      <c r="AB352" s="86"/>
      <c r="AD352" s="16"/>
    </row>
    <row r="353" spans="1:30" ht="12.75" customHeight="1">
      <c r="B353" s="85" t="s">
        <v>1227</v>
      </c>
      <c r="C353" s="81"/>
      <c r="D353" s="81"/>
      <c r="E353" s="81"/>
      <c r="F353" s="81"/>
      <c r="G353" s="81"/>
      <c r="AB353" s="86"/>
    </row>
    <row r="354" spans="1:30" ht="12.75" customHeight="1">
      <c r="A354" s="50">
        <v>1</v>
      </c>
      <c r="B354" s="4" t="s">
        <v>1229</v>
      </c>
      <c r="C354" s="81" t="e">
        <v>#NAME?</v>
      </c>
      <c r="D354" s="81" t="e">
        <v>#NAME?</v>
      </c>
      <c r="E354" s="81" t="e">
        <v>#NAME?</v>
      </c>
      <c r="F354" s="81" t="e">
        <v>#NAME?</v>
      </c>
      <c r="G354" s="81" t="e">
        <v>#NAME?</v>
      </c>
      <c r="AB354" s="86"/>
    </row>
    <row r="355" spans="1:30" ht="12.75" customHeight="1">
      <c r="A355" s="50">
        <v>2</v>
      </c>
      <c r="B355" s="4" t="s">
        <v>653</v>
      </c>
      <c r="C355" s="81" t="e">
        <v>#NAME?</v>
      </c>
      <c r="D355" s="81" t="e">
        <v>#NAME?</v>
      </c>
      <c r="E355" s="81" t="e">
        <v>#NAME?</v>
      </c>
      <c r="F355" s="81" t="e">
        <v>#NAME?</v>
      </c>
      <c r="G355" s="81" t="e">
        <v>#NAME?</v>
      </c>
      <c r="AB355" s="86"/>
      <c r="AD355" s="16"/>
    </row>
    <row r="356" spans="1:30" ht="12.75" customHeight="1">
      <c r="A356" s="50">
        <v>3</v>
      </c>
      <c r="B356" s="4" t="s">
        <v>1097</v>
      </c>
      <c r="C356" s="81" t="e">
        <f>C58-SUM(C354:C355)</f>
        <v>#VALUE!</v>
      </c>
      <c r="D356" s="81" t="e">
        <f>D58-SUM(D354:D355)</f>
        <v>#VALUE!</v>
      </c>
      <c r="E356" s="81" t="e">
        <f>E58-SUM(E354:E355)</f>
        <v>#VALUE!</v>
      </c>
      <c r="F356" s="81" t="e">
        <f>F58-SUM(F354:F355)</f>
        <v>#VALUE!</v>
      </c>
      <c r="G356" s="81" t="e">
        <f>G58-SUM(G354:G355)</f>
        <v>#VALUE!</v>
      </c>
      <c r="AB356" s="86"/>
      <c r="AD356" s="16"/>
    </row>
    <row r="357" spans="1:30" ht="12.75" customHeight="1">
      <c r="A357" s="50" t="s">
        <v>1228</v>
      </c>
      <c r="B357" s="4" t="s">
        <v>1027</v>
      </c>
      <c r="C357" s="81" t="s">
        <v>1027</v>
      </c>
      <c r="D357" s="81" t="s">
        <v>1027</v>
      </c>
      <c r="E357" s="81" t="s">
        <v>1027</v>
      </c>
      <c r="F357" s="81" t="s">
        <v>1027</v>
      </c>
      <c r="G357" s="81" t="s">
        <v>1027</v>
      </c>
      <c r="AB357" s="86"/>
      <c r="AD357" s="16"/>
    </row>
    <row r="358" spans="1:30" ht="12.75" customHeight="1">
      <c r="A358" s="50" t="s">
        <v>1228</v>
      </c>
      <c r="B358" s="4" t="s">
        <v>1027</v>
      </c>
      <c r="C358" s="81" t="s">
        <v>1027</v>
      </c>
      <c r="D358" s="81" t="s">
        <v>1027</v>
      </c>
      <c r="E358" s="81" t="s">
        <v>1027</v>
      </c>
      <c r="F358" s="81" t="s">
        <v>1027</v>
      </c>
      <c r="G358" s="81" t="s">
        <v>1027</v>
      </c>
      <c r="AB358" s="86"/>
      <c r="AD358" s="16"/>
    </row>
    <row r="359" spans="1:30" ht="12.75" customHeight="1">
      <c r="A359" s="50" t="s">
        <v>1228</v>
      </c>
      <c r="B359" s="4" t="s">
        <v>1027</v>
      </c>
      <c r="C359" s="81" t="s">
        <v>1027</v>
      </c>
      <c r="D359" s="81" t="s">
        <v>1027</v>
      </c>
      <c r="E359" s="81" t="s">
        <v>1027</v>
      </c>
      <c r="F359" s="81" t="s">
        <v>1027</v>
      </c>
      <c r="G359" s="81" t="s">
        <v>1027</v>
      </c>
      <c r="AB359" s="86"/>
      <c r="AD359" s="16"/>
    </row>
    <row r="360" spans="1:30" ht="12.75" customHeight="1">
      <c r="A360" s="50" t="s">
        <v>1228</v>
      </c>
      <c r="B360" s="4" t="s">
        <v>1027</v>
      </c>
      <c r="C360" s="81" t="s">
        <v>1027</v>
      </c>
      <c r="D360" s="81" t="s">
        <v>1027</v>
      </c>
      <c r="E360" s="81" t="s">
        <v>1027</v>
      </c>
      <c r="F360" s="81" t="s">
        <v>1027</v>
      </c>
      <c r="G360" s="81" t="s">
        <v>1027</v>
      </c>
      <c r="AB360" s="86"/>
      <c r="AD360" s="16"/>
    </row>
    <row r="361" spans="1:30" ht="12.75" customHeight="1">
      <c r="A361" s="50" t="s">
        <v>1228</v>
      </c>
      <c r="B361" s="4" t="s">
        <v>1027</v>
      </c>
      <c r="C361" s="81" t="s">
        <v>1027</v>
      </c>
      <c r="D361" s="81" t="s">
        <v>1027</v>
      </c>
      <c r="E361" s="81" t="s">
        <v>1027</v>
      </c>
      <c r="F361" s="81" t="s">
        <v>1027</v>
      </c>
      <c r="G361" s="81" t="s">
        <v>1027</v>
      </c>
      <c r="AB361" s="86"/>
      <c r="AD361" s="16"/>
    </row>
    <row r="362" spans="1:30" ht="12.75" customHeight="1">
      <c r="A362" s="50" t="s">
        <v>1228</v>
      </c>
      <c r="B362" s="4" t="s">
        <v>1027</v>
      </c>
      <c r="C362" s="81" t="s">
        <v>1027</v>
      </c>
      <c r="D362" s="81" t="s">
        <v>1027</v>
      </c>
      <c r="E362" s="81" t="s">
        <v>1027</v>
      </c>
      <c r="F362" s="81" t="s">
        <v>1027</v>
      </c>
      <c r="G362" s="81" t="s">
        <v>1027</v>
      </c>
      <c r="AB362" s="86"/>
      <c r="AD362" s="16"/>
    </row>
    <row r="363" spans="1:30" ht="12.75" customHeight="1">
      <c r="A363" s="50" t="s">
        <v>1228</v>
      </c>
      <c r="B363" s="4" t="s">
        <v>1027</v>
      </c>
      <c r="C363" s="81" t="s">
        <v>1027</v>
      </c>
      <c r="D363" s="81" t="s">
        <v>1027</v>
      </c>
      <c r="E363" s="81" t="s">
        <v>1027</v>
      </c>
      <c r="F363" s="81" t="s">
        <v>1027</v>
      </c>
      <c r="G363" s="81" t="s">
        <v>1027</v>
      </c>
      <c r="AB363" s="86"/>
      <c r="AD363" s="16"/>
    </row>
    <row r="364" spans="1:30" ht="12.75" customHeight="1">
      <c r="A364" s="50" t="s">
        <v>1228</v>
      </c>
      <c r="B364" s="86" t="s">
        <v>1027</v>
      </c>
      <c r="C364" s="81" t="s">
        <v>1027</v>
      </c>
      <c r="D364" s="81" t="s">
        <v>1027</v>
      </c>
      <c r="E364" s="81" t="s">
        <v>1027</v>
      </c>
      <c r="F364" s="81" t="s">
        <v>1027</v>
      </c>
      <c r="G364" s="81" t="s">
        <v>1027</v>
      </c>
      <c r="AB364" s="86"/>
      <c r="AD364" s="16"/>
    </row>
    <row r="365" spans="1:30" ht="12.75" customHeight="1">
      <c r="A365" s="50" t="s">
        <v>1228</v>
      </c>
      <c r="B365" s="4" t="s">
        <v>1027</v>
      </c>
      <c r="C365" s="81"/>
      <c r="D365" s="81"/>
      <c r="E365" s="81"/>
      <c r="F365" s="81"/>
      <c r="G365" s="81"/>
      <c r="AB365" s="86"/>
      <c r="AD365" s="16"/>
    </row>
    <row r="366" spans="1:30" ht="12.75" customHeight="1">
      <c r="A366" s="50" t="s">
        <v>1228</v>
      </c>
      <c r="B366" s="4" t="s">
        <v>1027</v>
      </c>
      <c r="C366" s="81"/>
      <c r="D366" s="81"/>
      <c r="E366" s="81"/>
      <c r="F366" s="81"/>
      <c r="G366" s="81"/>
      <c r="AB366" s="86"/>
      <c r="AD366" s="16"/>
    </row>
    <row r="367" spans="1:30" ht="12.75" customHeight="1">
      <c r="A367" s="50" t="s">
        <v>1228</v>
      </c>
      <c r="B367" s="4" t="s">
        <v>1027</v>
      </c>
      <c r="C367" s="81"/>
      <c r="D367" s="81"/>
      <c r="E367" s="81"/>
      <c r="F367" s="81"/>
      <c r="G367" s="81"/>
      <c r="AB367" s="86"/>
      <c r="AD367" s="16"/>
    </row>
    <row r="368" spans="1:30" ht="12.75" customHeight="1">
      <c r="A368" s="50" t="s">
        <v>1228</v>
      </c>
      <c r="B368" s="4" t="s">
        <v>1027</v>
      </c>
      <c r="C368" s="81"/>
      <c r="D368" s="81"/>
      <c r="E368" s="81"/>
      <c r="F368" s="81"/>
      <c r="G368" s="81"/>
      <c r="AB368" s="86"/>
      <c r="AD368" s="16"/>
    </row>
    <row r="369" spans="1:30" ht="12.75" customHeight="1">
      <c r="A369" s="50" t="s">
        <v>1228</v>
      </c>
      <c r="B369" s="4" t="s">
        <v>1027</v>
      </c>
      <c r="C369" s="81"/>
      <c r="D369" s="81"/>
      <c r="E369" s="81"/>
      <c r="F369" s="81"/>
      <c r="G369" s="81"/>
      <c r="AB369" s="86"/>
      <c r="AD369" s="16"/>
    </row>
    <row r="370" spans="1:30" ht="12.75" customHeight="1">
      <c r="A370" s="50" t="s">
        <v>1228</v>
      </c>
      <c r="B370" s="4" t="s">
        <v>1027</v>
      </c>
      <c r="C370" s="81"/>
      <c r="D370" s="81"/>
      <c r="E370" s="81"/>
      <c r="F370" s="81"/>
      <c r="G370" s="81"/>
      <c r="AB370" s="86"/>
      <c r="AD370" s="16"/>
    </row>
    <row r="371" spans="1:30" ht="12.75" customHeight="1">
      <c r="A371" s="50" t="s">
        <v>1228</v>
      </c>
      <c r="B371" s="4" t="s">
        <v>1027</v>
      </c>
      <c r="C371" s="81"/>
      <c r="D371" s="81"/>
      <c r="E371" s="81"/>
      <c r="F371" s="81"/>
      <c r="G371" s="81"/>
      <c r="AB371" s="86"/>
      <c r="AD371" s="16"/>
    </row>
    <row r="372" spans="1:30" ht="12.75" customHeight="1">
      <c r="A372" s="50" t="s">
        <v>1228</v>
      </c>
      <c r="B372" s="4" t="s">
        <v>1027</v>
      </c>
      <c r="C372" s="81"/>
      <c r="D372" s="81"/>
      <c r="E372" s="81"/>
      <c r="F372" s="81"/>
      <c r="G372" s="81"/>
      <c r="AB372" s="86"/>
      <c r="AD372" s="16"/>
    </row>
    <row r="373" spans="1:30" ht="12.75" customHeight="1">
      <c r="A373" s="50" t="s">
        <v>1228</v>
      </c>
      <c r="B373" s="4" t="s">
        <v>1027</v>
      </c>
      <c r="C373" s="81"/>
      <c r="D373" s="81"/>
      <c r="E373" s="81"/>
      <c r="F373" s="81"/>
      <c r="G373" s="81"/>
      <c r="AB373" s="86"/>
      <c r="AD373" s="16"/>
    </row>
    <row r="374" spans="1:30" ht="12.75" customHeight="1">
      <c r="C374" s="81" t="e">
        <f>SUM(C354:C373)</f>
        <v>#NAME?</v>
      </c>
      <c r="D374" s="81" t="e">
        <f>SUM(D354:D373)</f>
        <v>#NAME?</v>
      </c>
      <c r="E374" s="81" t="e">
        <f>SUM(E354:E373)</f>
        <v>#NAME?</v>
      </c>
      <c r="F374" s="81" t="e">
        <f>SUM(F354:F373)</f>
        <v>#NAME?</v>
      </c>
      <c r="G374" s="81" t="e">
        <f>SUM(G354:G373)</f>
        <v>#NAME?</v>
      </c>
      <c r="AB374" s="86"/>
      <c r="AD374" s="16"/>
    </row>
    <row r="375" spans="1:30" ht="12.75" customHeight="1">
      <c r="B375" s="85" t="s">
        <v>1230</v>
      </c>
      <c r="C375" s="81"/>
      <c r="D375" s="81"/>
      <c r="E375" s="81"/>
      <c r="F375" s="81"/>
      <c r="G375" s="81"/>
      <c r="AB375" s="86"/>
    </row>
    <row r="376" spans="1:30" ht="12.75" customHeight="1">
      <c r="A376" s="50">
        <v>1</v>
      </c>
      <c r="B376" s="4" t="s">
        <v>1229</v>
      </c>
      <c r="C376" s="81" t="e">
        <v>#NAME?</v>
      </c>
      <c r="D376" s="81" t="e">
        <v>#NAME?</v>
      </c>
      <c r="E376" s="81" t="e">
        <v>#NAME?</v>
      </c>
      <c r="F376" s="81" t="e">
        <v>#NAME?</v>
      </c>
      <c r="G376" s="81" t="e">
        <v>#NAME?</v>
      </c>
      <c r="AB376" s="86"/>
    </row>
    <row r="377" spans="1:30" ht="12.75" customHeight="1">
      <c r="A377" s="50">
        <v>2</v>
      </c>
      <c r="B377" s="4" t="s">
        <v>653</v>
      </c>
      <c r="C377" s="81" t="e">
        <v>#NAME?</v>
      </c>
      <c r="D377" s="81" t="e">
        <v>#NAME?</v>
      </c>
      <c r="E377" s="81" t="e">
        <v>#NAME?</v>
      </c>
      <c r="F377" s="81" t="e">
        <v>#NAME?</v>
      </c>
      <c r="G377" s="81" t="e">
        <v>#NAME?</v>
      </c>
      <c r="AB377" s="86"/>
    </row>
    <row r="378" spans="1:30" ht="12.75" customHeight="1">
      <c r="A378" s="50">
        <v>3</v>
      </c>
      <c r="B378" s="4" t="s">
        <v>654</v>
      </c>
      <c r="C378" s="81" t="e">
        <f>C83-SUM(C376:C377)</f>
        <v>#VALUE!</v>
      </c>
      <c r="D378" s="81" t="e">
        <f>D83-SUM(D376:D377)</f>
        <v>#VALUE!</v>
      </c>
      <c r="E378" s="81" t="e">
        <f>E83-SUM(E376:E377)</f>
        <v>#VALUE!</v>
      </c>
      <c r="F378" s="81" t="e">
        <f>F83-SUM(F376:F377)</f>
        <v>#VALUE!</v>
      </c>
      <c r="G378" s="81" t="e">
        <f>G83-SUM(G376:G377)</f>
        <v>#VALUE!</v>
      </c>
      <c r="AB378" s="86"/>
    </row>
    <row r="379" spans="1:30" ht="12.75" customHeight="1">
      <c r="A379" s="50" t="s">
        <v>1228</v>
      </c>
      <c r="B379" s="4" t="s">
        <v>1027</v>
      </c>
      <c r="C379" s="81" t="s">
        <v>1027</v>
      </c>
      <c r="D379" s="81" t="s">
        <v>1027</v>
      </c>
      <c r="E379" s="81" t="s">
        <v>1027</v>
      </c>
      <c r="F379" s="81" t="s">
        <v>1027</v>
      </c>
      <c r="G379" s="81" t="s">
        <v>1027</v>
      </c>
    </row>
    <row r="380" spans="1:30" ht="12.75" customHeight="1">
      <c r="A380" s="50" t="s">
        <v>1228</v>
      </c>
      <c r="B380" s="4" t="s">
        <v>1027</v>
      </c>
      <c r="C380" s="81" t="s">
        <v>1027</v>
      </c>
      <c r="D380" s="81" t="s">
        <v>1027</v>
      </c>
      <c r="E380" s="81" t="s">
        <v>1027</v>
      </c>
      <c r="F380" s="81" t="s">
        <v>1027</v>
      </c>
      <c r="G380" s="81" t="s">
        <v>1027</v>
      </c>
      <c r="AB380" s="86"/>
    </row>
    <row r="381" spans="1:30" ht="12.75" customHeight="1">
      <c r="A381" s="50" t="s">
        <v>1228</v>
      </c>
      <c r="B381" s="4" t="s">
        <v>1027</v>
      </c>
      <c r="C381" s="81" t="s">
        <v>1027</v>
      </c>
      <c r="D381" s="81" t="s">
        <v>1027</v>
      </c>
      <c r="E381" s="81" t="s">
        <v>1027</v>
      </c>
      <c r="F381" s="81" t="s">
        <v>1027</v>
      </c>
      <c r="G381" s="81" t="s">
        <v>1027</v>
      </c>
      <c r="AB381" s="86"/>
    </row>
    <row r="382" spans="1:30" ht="12.75" customHeight="1">
      <c r="A382" s="50" t="s">
        <v>1228</v>
      </c>
      <c r="B382" s="4" t="s">
        <v>1027</v>
      </c>
      <c r="C382" s="81" t="s">
        <v>1027</v>
      </c>
      <c r="D382" s="81" t="s">
        <v>1027</v>
      </c>
      <c r="E382" s="81" t="s">
        <v>1027</v>
      </c>
      <c r="F382" s="81" t="s">
        <v>1027</v>
      </c>
      <c r="G382" s="81" t="s">
        <v>1027</v>
      </c>
      <c r="AB382" s="86"/>
    </row>
    <row r="383" spans="1:30" ht="12.75" customHeight="1">
      <c r="A383" s="50" t="s">
        <v>1228</v>
      </c>
      <c r="B383" s="4" t="s">
        <v>1027</v>
      </c>
      <c r="C383" s="81" t="s">
        <v>1027</v>
      </c>
      <c r="D383" s="81" t="s">
        <v>1027</v>
      </c>
      <c r="E383" s="81" t="s">
        <v>1027</v>
      </c>
      <c r="F383" s="81" t="s">
        <v>1027</v>
      </c>
      <c r="G383" s="81" t="s">
        <v>1027</v>
      </c>
      <c r="AB383" s="86"/>
    </row>
    <row r="384" spans="1:30" ht="12.75" customHeight="1">
      <c r="A384" s="50" t="s">
        <v>1228</v>
      </c>
      <c r="B384" s="4" t="s">
        <v>1027</v>
      </c>
      <c r="C384" s="81" t="s">
        <v>1027</v>
      </c>
      <c r="D384" s="81" t="s">
        <v>1027</v>
      </c>
      <c r="E384" s="81" t="s">
        <v>1027</v>
      </c>
      <c r="F384" s="81" t="s">
        <v>1027</v>
      </c>
      <c r="G384" s="81" t="s">
        <v>1027</v>
      </c>
      <c r="AB384" s="86"/>
    </row>
    <row r="385" spans="1:7" ht="12.75" customHeight="1">
      <c r="A385" s="50" t="s">
        <v>1228</v>
      </c>
      <c r="B385" s="4" t="s">
        <v>1027</v>
      </c>
      <c r="C385" s="81" t="s">
        <v>1027</v>
      </c>
      <c r="D385" s="81" t="s">
        <v>1027</v>
      </c>
      <c r="E385" s="81" t="s">
        <v>1027</v>
      </c>
      <c r="F385" s="81" t="s">
        <v>1027</v>
      </c>
      <c r="G385" s="81" t="s">
        <v>1027</v>
      </c>
    </row>
    <row r="386" spans="1:7" ht="12.75" customHeight="1">
      <c r="A386" s="50" t="s">
        <v>1228</v>
      </c>
      <c r="B386" s="86" t="s">
        <v>1027</v>
      </c>
      <c r="C386" s="81" t="s">
        <v>1027</v>
      </c>
      <c r="D386" s="81" t="s">
        <v>1027</v>
      </c>
      <c r="E386" s="81" t="s">
        <v>1027</v>
      </c>
      <c r="F386" s="81" t="s">
        <v>1027</v>
      </c>
      <c r="G386" s="81" t="s">
        <v>1027</v>
      </c>
    </row>
    <row r="387" spans="1:7" ht="12.75" customHeight="1">
      <c r="A387" s="50" t="s">
        <v>1228</v>
      </c>
      <c r="B387" s="4" t="s">
        <v>1027</v>
      </c>
      <c r="C387" s="81" t="s">
        <v>1027</v>
      </c>
      <c r="D387" s="81" t="s">
        <v>1027</v>
      </c>
      <c r="E387" s="81" t="s">
        <v>1027</v>
      </c>
      <c r="F387" s="81" t="s">
        <v>1027</v>
      </c>
      <c r="G387" s="81" t="s">
        <v>1027</v>
      </c>
    </row>
    <row r="388" spans="1:7" ht="12.75" customHeight="1">
      <c r="A388" s="50" t="s">
        <v>1228</v>
      </c>
      <c r="B388" s="4" t="s">
        <v>1027</v>
      </c>
      <c r="C388" s="81" t="s">
        <v>1027</v>
      </c>
      <c r="D388" s="81" t="s">
        <v>1027</v>
      </c>
      <c r="E388" s="81" t="s">
        <v>1027</v>
      </c>
      <c r="F388" s="81" t="s">
        <v>1027</v>
      </c>
      <c r="G388" s="81" t="s">
        <v>1027</v>
      </c>
    </row>
    <row r="389" spans="1:7" ht="12.75" customHeight="1">
      <c r="A389" s="50" t="s">
        <v>1228</v>
      </c>
      <c r="B389" s="4" t="s">
        <v>1027</v>
      </c>
      <c r="C389" s="81" t="s">
        <v>1027</v>
      </c>
      <c r="D389" s="81" t="s">
        <v>1027</v>
      </c>
      <c r="E389" s="81" t="s">
        <v>1027</v>
      </c>
      <c r="F389" s="81" t="s">
        <v>1027</v>
      </c>
      <c r="G389" s="81" t="s">
        <v>1027</v>
      </c>
    </row>
    <row r="390" spans="1:7" ht="12.75" customHeight="1">
      <c r="A390" s="50" t="s">
        <v>1228</v>
      </c>
      <c r="B390" s="4" t="s">
        <v>1027</v>
      </c>
      <c r="C390" s="81" t="s">
        <v>1027</v>
      </c>
      <c r="D390" s="81" t="s">
        <v>1027</v>
      </c>
      <c r="E390" s="81" t="s">
        <v>1027</v>
      </c>
      <c r="F390" s="81" t="s">
        <v>1027</v>
      </c>
      <c r="G390" s="81" t="s">
        <v>1027</v>
      </c>
    </row>
    <row r="391" spans="1:7" ht="12.75" customHeight="1">
      <c r="A391" s="50" t="s">
        <v>1228</v>
      </c>
      <c r="B391" s="4" t="s">
        <v>1027</v>
      </c>
      <c r="C391" s="81"/>
      <c r="D391" s="81"/>
      <c r="E391" s="81"/>
      <c r="F391" s="81"/>
      <c r="G391" s="81"/>
    </row>
    <row r="392" spans="1:7" ht="12.75" customHeight="1">
      <c r="A392" s="50" t="s">
        <v>1228</v>
      </c>
      <c r="B392" s="4" t="s">
        <v>1027</v>
      </c>
      <c r="C392" s="81"/>
      <c r="D392" s="81"/>
      <c r="E392" s="81"/>
      <c r="F392" s="81"/>
      <c r="G392" s="81"/>
    </row>
    <row r="393" spans="1:7" ht="12.75" customHeight="1">
      <c r="A393" s="50" t="s">
        <v>1228</v>
      </c>
      <c r="B393" s="4" t="s">
        <v>1027</v>
      </c>
      <c r="C393" s="81"/>
      <c r="D393" s="81"/>
      <c r="E393" s="81"/>
      <c r="F393" s="81"/>
      <c r="G393" s="81"/>
    </row>
    <row r="394" spans="1:7" ht="12.75" customHeight="1">
      <c r="A394" s="50" t="s">
        <v>1228</v>
      </c>
      <c r="B394" s="4" t="s">
        <v>1027</v>
      </c>
      <c r="C394" s="81"/>
      <c r="D394" s="81"/>
      <c r="E394" s="81"/>
      <c r="F394" s="81"/>
      <c r="G394" s="81"/>
    </row>
    <row r="395" spans="1:7" ht="12.75" customHeight="1">
      <c r="A395" s="50" t="s">
        <v>1228</v>
      </c>
      <c r="B395" s="4" t="s">
        <v>1027</v>
      </c>
      <c r="C395" s="81"/>
      <c r="D395" s="81"/>
      <c r="E395" s="81"/>
      <c r="F395" s="81"/>
      <c r="G395" s="81"/>
    </row>
    <row r="396" spans="1:7" ht="12.75" customHeight="1">
      <c r="C396" s="81" t="e">
        <f>SUM(C376:C395)</f>
        <v>#NAME?</v>
      </c>
      <c r="D396" s="81" t="e">
        <f>SUM(D376:D395)</f>
        <v>#NAME?</v>
      </c>
      <c r="E396" s="81" t="e">
        <f>SUM(E376:E395)</f>
        <v>#NAME?</v>
      </c>
      <c r="F396" s="81" t="e">
        <f>SUM(F376:F395)</f>
        <v>#NAME?</v>
      </c>
      <c r="G396" s="81" t="e">
        <f>SUM(G376:G395)</f>
        <v>#NAME?</v>
      </c>
    </row>
    <row r="397" spans="1:7" ht="12.75" customHeight="1">
      <c r="B397" s="85" t="s">
        <v>1231</v>
      </c>
      <c r="C397" s="81"/>
      <c r="D397" s="81"/>
      <c r="E397" s="81"/>
      <c r="F397" s="81"/>
      <c r="G397" s="81"/>
    </row>
    <row r="398" spans="1:7" ht="12.75" customHeight="1">
      <c r="A398" s="50">
        <v>1</v>
      </c>
      <c r="B398" s="4"/>
      <c r="C398" s="81"/>
      <c r="D398" s="81"/>
      <c r="E398" s="81"/>
      <c r="F398" s="81"/>
      <c r="G398" s="81"/>
    </row>
    <row r="399" spans="1:7" ht="12.75" customHeight="1">
      <c r="A399" s="50">
        <v>2</v>
      </c>
      <c r="B399" s="4"/>
      <c r="C399" s="81"/>
      <c r="D399" s="81"/>
      <c r="E399" s="81"/>
      <c r="F399" s="81"/>
      <c r="G399" s="81"/>
    </row>
    <row r="400" spans="1:7" ht="12.75" customHeight="1">
      <c r="A400" s="50">
        <v>3</v>
      </c>
      <c r="B400" s="4"/>
      <c r="C400" s="81"/>
      <c r="D400" s="81"/>
      <c r="E400" s="81"/>
      <c r="F400" s="81"/>
      <c r="G400" s="81"/>
    </row>
    <row r="401" spans="1:7" ht="12.75" customHeight="1">
      <c r="A401" s="50" t="s">
        <v>1228</v>
      </c>
      <c r="B401" s="4"/>
      <c r="C401" s="81" t="s">
        <v>1027</v>
      </c>
      <c r="D401" s="81" t="s">
        <v>1027</v>
      </c>
      <c r="E401" s="81" t="s">
        <v>1027</v>
      </c>
      <c r="F401" s="81" t="s">
        <v>1027</v>
      </c>
      <c r="G401" s="81" t="s">
        <v>1027</v>
      </c>
    </row>
    <row r="402" spans="1:7" ht="12.75" customHeight="1">
      <c r="A402" s="50" t="s">
        <v>1228</v>
      </c>
      <c r="B402" s="4"/>
      <c r="C402" s="81" t="s">
        <v>1027</v>
      </c>
      <c r="D402" s="81" t="s">
        <v>1027</v>
      </c>
      <c r="E402" s="81" t="s">
        <v>1027</v>
      </c>
      <c r="F402" s="81" t="s">
        <v>1027</v>
      </c>
      <c r="G402" s="81" t="s">
        <v>1027</v>
      </c>
    </row>
    <row r="403" spans="1:7" ht="12.75" customHeight="1">
      <c r="A403" s="50" t="s">
        <v>1228</v>
      </c>
      <c r="B403" s="4"/>
      <c r="C403" s="81" t="s">
        <v>1027</v>
      </c>
      <c r="D403" s="81" t="s">
        <v>1027</v>
      </c>
      <c r="E403" s="81" t="s">
        <v>1027</v>
      </c>
      <c r="F403" s="81" t="s">
        <v>1027</v>
      </c>
      <c r="G403" s="81" t="s">
        <v>1027</v>
      </c>
    </row>
    <row r="404" spans="1:7" ht="12.75" customHeight="1">
      <c r="A404" s="50" t="s">
        <v>1228</v>
      </c>
      <c r="B404" s="4"/>
      <c r="C404" s="81" t="s">
        <v>1027</v>
      </c>
      <c r="D404" s="81" t="s">
        <v>1027</v>
      </c>
      <c r="E404" s="81" t="s">
        <v>1027</v>
      </c>
      <c r="F404" s="81" t="s">
        <v>1027</v>
      </c>
      <c r="G404" s="81" t="s">
        <v>1027</v>
      </c>
    </row>
    <row r="405" spans="1:7" ht="12.75" customHeight="1">
      <c r="A405" s="50" t="s">
        <v>1228</v>
      </c>
      <c r="B405" s="4"/>
      <c r="C405" s="81" t="s">
        <v>1027</v>
      </c>
      <c r="D405" s="81" t="s">
        <v>1027</v>
      </c>
      <c r="E405" s="81" t="s">
        <v>1027</v>
      </c>
      <c r="F405" s="81" t="s">
        <v>1027</v>
      </c>
      <c r="G405" s="81" t="s">
        <v>1027</v>
      </c>
    </row>
    <row r="406" spans="1:7" ht="12.75" customHeight="1">
      <c r="A406" s="50" t="s">
        <v>1228</v>
      </c>
      <c r="B406" s="4"/>
      <c r="C406" s="81" t="s">
        <v>1027</v>
      </c>
      <c r="D406" s="81" t="s">
        <v>1027</v>
      </c>
      <c r="E406" s="81" t="s">
        <v>1027</v>
      </c>
      <c r="F406" s="81" t="s">
        <v>1027</v>
      </c>
      <c r="G406" s="81" t="s">
        <v>1027</v>
      </c>
    </row>
    <row r="407" spans="1:7" ht="12.75" customHeight="1">
      <c r="A407" s="50" t="s">
        <v>1228</v>
      </c>
      <c r="B407" s="4"/>
      <c r="C407" s="81" t="s">
        <v>1027</v>
      </c>
      <c r="D407" s="81" t="s">
        <v>1027</v>
      </c>
      <c r="E407" s="81" t="s">
        <v>1027</v>
      </c>
      <c r="F407" s="81" t="s">
        <v>1027</v>
      </c>
      <c r="G407" s="81" t="s">
        <v>1027</v>
      </c>
    </row>
    <row r="408" spans="1:7">
      <c r="A408" s="50" t="s">
        <v>1228</v>
      </c>
      <c r="B408" s="86"/>
      <c r="C408" s="81" t="s">
        <v>1027</v>
      </c>
      <c r="D408" s="81" t="s">
        <v>1027</v>
      </c>
      <c r="E408" s="81" t="s">
        <v>1027</v>
      </c>
      <c r="F408" s="81" t="s">
        <v>1027</v>
      </c>
      <c r="G408" s="81" t="s">
        <v>1027</v>
      </c>
    </row>
    <row r="409" spans="1:7">
      <c r="A409" s="50" t="s">
        <v>1228</v>
      </c>
      <c r="B409" s="4"/>
      <c r="C409" s="81" t="s">
        <v>1027</v>
      </c>
      <c r="D409" s="81" t="s">
        <v>1027</v>
      </c>
      <c r="E409" s="81" t="s">
        <v>1027</v>
      </c>
      <c r="F409" s="81" t="s">
        <v>1027</v>
      </c>
      <c r="G409" s="81" t="s">
        <v>1027</v>
      </c>
    </row>
    <row r="410" spans="1:7">
      <c r="A410" s="50" t="s">
        <v>1228</v>
      </c>
      <c r="B410" s="4"/>
      <c r="C410" s="81" t="s">
        <v>1027</v>
      </c>
      <c r="D410" s="81" t="s">
        <v>1027</v>
      </c>
      <c r="E410" s="81" t="s">
        <v>1027</v>
      </c>
      <c r="F410" s="81" t="s">
        <v>1027</v>
      </c>
      <c r="G410" s="81" t="s">
        <v>1027</v>
      </c>
    </row>
    <row r="411" spans="1:7">
      <c r="A411" s="50" t="s">
        <v>1228</v>
      </c>
      <c r="B411" s="4"/>
      <c r="C411" s="81"/>
      <c r="D411" s="81"/>
      <c r="E411" s="81"/>
      <c r="F411" s="81"/>
      <c r="G411" s="81"/>
    </row>
    <row r="412" spans="1:7">
      <c r="A412" s="50" t="s">
        <v>1228</v>
      </c>
      <c r="B412" s="4"/>
      <c r="C412" s="81"/>
      <c r="D412" s="81"/>
      <c r="E412" s="81"/>
      <c r="F412" s="81"/>
      <c r="G412" s="81"/>
    </row>
    <row r="413" spans="1:7">
      <c r="A413" s="50" t="s">
        <v>1228</v>
      </c>
      <c r="B413" s="4"/>
      <c r="C413" s="81"/>
      <c r="D413" s="81"/>
      <c r="E413" s="81"/>
      <c r="F413" s="81"/>
      <c r="G413" s="81"/>
    </row>
    <row r="414" spans="1:7">
      <c r="A414" s="50" t="s">
        <v>1228</v>
      </c>
      <c r="B414" s="4"/>
      <c r="C414" s="81"/>
      <c r="D414" s="81"/>
      <c r="E414" s="81"/>
      <c r="F414" s="81"/>
      <c r="G414" s="81"/>
    </row>
    <row r="415" spans="1:7">
      <c r="A415" s="50" t="s">
        <v>1228</v>
      </c>
      <c r="B415" s="4"/>
      <c r="C415" s="81"/>
      <c r="D415" s="81"/>
      <c r="E415" s="81"/>
      <c r="F415" s="81"/>
      <c r="G415" s="81"/>
    </row>
    <row r="416" spans="1:7">
      <c r="A416" s="50" t="s">
        <v>1228</v>
      </c>
      <c r="B416" s="4"/>
      <c r="C416" s="81"/>
      <c r="D416" s="81"/>
      <c r="E416" s="81"/>
      <c r="F416" s="81"/>
      <c r="G416" s="81"/>
    </row>
    <row r="417" spans="1:7">
      <c r="A417" s="50" t="s">
        <v>1228</v>
      </c>
      <c r="B417" s="4"/>
      <c r="C417" s="81"/>
      <c r="D417" s="81"/>
      <c r="E417" s="81"/>
      <c r="F417" s="81"/>
      <c r="G417" s="81"/>
    </row>
    <row r="418" spans="1:7">
      <c r="A418" s="73"/>
      <c r="B418" s="73"/>
      <c r="C418" s="81">
        <f>SUM(C398:C417)</f>
        <v>0</v>
      </c>
      <c r="D418" s="81">
        <f>SUM(D398:D417)</f>
        <v>0</v>
      </c>
      <c r="E418" s="81">
        <f>SUM(E398:E417)</f>
        <v>0</v>
      </c>
      <c r="F418" s="81">
        <f>SUM(F398:F417)</f>
        <v>0</v>
      </c>
      <c r="G418" s="81">
        <f>SUM(G398:G417)</f>
        <v>0</v>
      </c>
    </row>
    <row r="419" spans="1:7">
      <c r="A419" s="2"/>
      <c r="B419" s="73"/>
      <c r="C419" s="81"/>
      <c r="D419" s="81"/>
      <c r="E419" s="81"/>
      <c r="F419" s="81"/>
      <c r="G419" s="81"/>
    </row>
    <row r="420" spans="1:7">
      <c r="A420" s="2"/>
      <c r="B420" s="73"/>
      <c r="C420" s="81"/>
      <c r="D420" s="81"/>
      <c r="E420" s="81"/>
      <c r="F420" s="81"/>
      <c r="G420" s="81"/>
    </row>
    <row r="421" spans="1:7">
      <c r="A421" s="2"/>
      <c r="B421" s="73"/>
      <c r="C421" s="81"/>
      <c r="D421" s="81"/>
      <c r="E421" s="81"/>
      <c r="F421" s="81"/>
      <c r="G421" s="81"/>
    </row>
    <row r="422" spans="1:7">
      <c r="A422" s="2"/>
      <c r="B422" s="73"/>
      <c r="C422" s="81"/>
      <c r="D422" s="81"/>
      <c r="E422" s="81"/>
      <c r="F422" s="81"/>
      <c r="G422" s="81"/>
    </row>
    <row r="423" spans="1:7">
      <c r="A423" s="2"/>
      <c r="B423" s="73"/>
      <c r="C423" s="81"/>
      <c r="D423" s="81"/>
      <c r="E423" s="81"/>
      <c r="F423" s="81"/>
      <c r="G423" s="81"/>
    </row>
    <row r="424" spans="1:7">
      <c r="A424" s="2"/>
      <c r="B424" s="95"/>
      <c r="C424" s="81"/>
      <c r="D424" s="81"/>
      <c r="E424" s="81"/>
      <c r="F424" s="81"/>
      <c r="G424" s="81"/>
    </row>
    <row r="425" spans="1:7">
      <c r="A425" s="2"/>
      <c r="B425" s="95"/>
      <c r="C425" s="81"/>
      <c r="D425" s="81"/>
      <c r="E425" s="81"/>
      <c r="F425" s="81"/>
      <c r="G425" s="81"/>
    </row>
    <row r="426" spans="1:7">
      <c r="A426" s="2"/>
      <c r="B426" s="95"/>
      <c r="C426" s="81"/>
      <c r="D426" s="81"/>
      <c r="E426" s="81"/>
      <c r="F426" s="81"/>
      <c r="G426" s="81"/>
    </row>
    <row r="427" spans="1:7">
      <c r="A427" s="2"/>
      <c r="B427" s="95"/>
      <c r="C427" s="81"/>
      <c r="D427" s="81"/>
      <c r="E427" s="81"/>
      <c r="F427" s="81"/>
      <c r="G427" s="81"/>
    </row>
    <row r="428" spans="1:7">
      <c r="A428" s="2"/>
      <c r="B428" s="95"/>
      <c r="C428" s="81"/>
      <c r="D428" s="81"/>
      <c r="E428" s="81"/>
      <c r="F428" s="81"/>
      <c r="G428" s="81"/>
    </row>
    <row r="429" spans="1:7">
      <c r="A429" s="2"/>
      <c r="B429" s="95"/>
      <c r="C429" s="81"/>
      <c r="D429" s="81"/>
      <c r="E429" s="81"/>
      <c r="F429" s="81"/>
      <c r="G429" s="81"/>
    </row>
    <row r="430" spans="1:7">
      <c r="A430" s="2"/>
      <c r="B430" s="95"/>
      <c r="C430" s="81"/>
      <c r="D430" s="81"/>
      <c r="E430" s="81"/>
      <c r="F430" s="81"/>
      <c r="G430" s="81"/>
    </row>
    <row r="431" spans="1:7">
      <c r="A431" s="2"/>
      <c r="B431" s="95"/>
      <c r="C431" s="81"/>
      <c r="D431" s="81"/>
      <c r="E431" s="81"/>
      <c r="F431" s="81"/>
      <c r="G431" s="81"/>
    </row>
    <row r="432" spans="1:7">
      <c r="A432" s="2"/>
      <c r="B432" s="95"/>
      <c r="C432" s="81"/>
      <c r="D432" s="81"/>
      <c r="E432" s="81"/>
      <c r="F432" s="81"/>
      <c r="G432" s="81"/>
    </row>
    <row r="433" spans="1:7">
      <c r="A433" s="2"/>
      <c r="B433" s="95"/>
      <c r="C433" s="81"/>
      <c r="D433" s="81"/>
      <c r="E433" s="81"/>
      <c r="F433" s="81"/>
      <c r="G433" s="81"/>
    </row>
    <row r="434" spans="1:7">
      <c r="A434" s="2"/>
      <c r="B434" s="95"/>
      <c r="C434" s="81"/>
      <c r="D434" s="81"/>
      <c r="E434" s="81"/>
      <c r="F434" s="81"/>
      <c r="G434" s="81"/>
    </row>
    <row r="435" spans="1:7">
      <c r="A435" s="2"/>
      <c r="B435" s="95"/>
      <c r="C435" s="81"/>
      <c r="D435" s="81"/>
      <c r="E435" s="81"/>
      <c r="F435" s="81"/>
      <c r="G435" s="81"/>
    </row>
    <row r="436" spans="1:7">
      <c r="A436" s="2"/>
      <c r="B436" s="95"/>
      <c r="C436" s="81"/>
      <c r="D436" s="81"/>
      <c r="E436" s="81"/>
      <c r="F436" s="81"/>
      <c r="G436" s="81"/>
    </row>
    <row r="437" spans="1:7">
      <c r="A437" s="2"/>
      <c r="B437" s="95"/>
      <c r="C437" s="81"/>
      <c r="D437" s="81"/>
      <c r="E437" s="81"/>
      <c r="F437" s="81"/>
      <c r="G437" s="81"/>
    </row>
    <row r="438" spans="1:7">
      <c r="A438" s="2"/>
      <c r="B438" s="95"/>
      <c r="C438" s="81"/>
      <c r="D438" s="81"/>
      <c r="E438" s="81"/>
      <c r="F438" s="81"/>
      <c r="G438" s="81"/>
    </row>
    <row r="439" spans="1:7">
      <c r="A439" s="2"/>
      <c r="B439" s="95"/>
      <c r="C439" s="81"/>
      <c r="D439" s="81"/>
      <c r="E439" s="81"/>
      <c r="F439" s="81"/>
      <c r="G439" s="81"/>
    </row>
    <row r="440" spans="1:7">
      <c r="A440" s="2"/>
      <c r="B440" s="95"/>
      <c r="C440" s="81"/>
      <c r="D440" s="81"/>
      <c r="E440" s="81"/>
      <c r="F440" s="81"/>
      <c r="G440" s="81"/>
    </row>
    <row r="441" spans="1:7">
      <c r="A441" s="2"/>
      <c r="B441" s="95"/>
      <c r="C441" s="81"/>
      <c r="D441" s="81"/>
      <c r="E441" s="81"/>
      <c r="F441" s="81"/>
      <c r="G441" s="81"/>
    </row>
    <row r="442" spans="1:7">
      <c r="A442" s="2"/>
      <c r="B442" s="95"/>
      <c r="C442" s="81"/>
      <c r="D442" s="81"/>
      <c r="E442" s="81"/>
      <c r="F442" s="81"/>
      <c r="G442" s="81"/>
    </row>
    <row r="443" spans="1:7">
      <c r="A443" s="2"/>
      <c r="B443" s="95"/>
      <c r="C443" s="81"/>
      <c r="D443" s="81"/>
      <c r="E443" s="81"/>
      <c r="F443" s="81"/>
      <c r="G443" s="81"/>
    </row>
    <row r="444" spans="1:7">
      <c r="A444" s="2"/>
      <c r="B444" s="95"/>
      <c r="C444" s="81"/>
      <c r="D444" s="81"/>
      <c r="E444" s="81"/>
      <c r="F444" s="81"/>
      <c r="G444" s="81"/>
    </row>
    <row r="445" spans="1:7">
      <c r="A445" s="2"/>
      <c r="B445" s="95"/>
      <c r="C445" s="81"/>
      <c r="D445" s="81"/>
      <c r="E445" s="81"/>
      <c r="F445" s="81"/>
      <c r="G445" s="81"/>
    </row>
    <row r="446" spans="1:7">
      <c r="A446" s="2"/>
      <c r="B446" s="95"/>
      <c r="C446" s="81"/>
      <c r="D446" s="81"/>
      <c r="E446" s="81"/>
      <c r="F446" s="81"/>
      <c r="G446" s="81"/>
    </row>
    <row r="447" spans="1:7">
      <c r="A447" s="2"/>
      <c r="B447" s="95"/>
      <c r="C447" s="81"/>
      <c r="D447" s="81"/>
      <c r="E447" s="81"/>
      <c r="F447" s="81"/>
      <c r="G447" s="81"/>
    </row>
    <row r="448" spans="1:7">
      <c r="A448" s="2"/>
      <c r="B448" s="95"/>
      <c r="C448" s="81"/>
      <c r="D448" s="81"/>
      <c r="E448" s="81"/>
      <c r="F448" s="81"/>
      <c r="G448" s="81"/>
    </row>
    <row r="449" spans="1:7">
      <c r="A449" s="2"/>
      <c r="B449" s="95"/>
      <c r="C449" s="81"/>
      <c r="D449" s="81"/>
      <c r="E449" s="81"/>
      <c r="F449" s="81"/>
      <c r="G449" s="81"/>
    </row>
    <row r="450" spans="1:7">
      <c r="A450" s="2"/>
      <c r="B450" s="73"/>
      <c r="C450" s="81"/>
      <c r="D450" s="81"/>
      <c r="E450" s="81"/>
      <c r="F450" s="81"/>
      <c r="G450" s="81"/>
    </row>
    <row r="451" spans="1:7">
      <c r="A451" s="2"/>
      <c r="B451" s="73"/>
      <c r="C451" s="81"/>
      <c r="D451" s="81"/>
      <c r="E451" s="81"/>
      <c r="F451" s="81"/>
      <c r="G451" s="81"/>
    </row>
    <row r="452" spans="1:7">
      <c r="A452" s="2"/>
      <c r="B452" s="73"/>
      <c r="C452" s="81"/>
      <c r="D452" s="81"/>
      <c r="E452" s="81"/>
      <c r="F452" s="81"/>
      <c r="G452" s="81"/>
    </row>
    <row r="453" spans="1:7">
      <c r="A453" s="2"/>
      <c r="B453" s="73"/>
      <c r="C453" s="81"/>
      <c r="D453" s="81"/>
      <c r="E453" s="81"/>
      <c r="F453" s="81"/>
      <c r="G453" s="81"/>
    </row>
    <row r="454" spans="1:7">
      <c r="A454" s="2"/>
      <c r="B454" s="73"/>
      <c r="C454" s="81"/>
      <c r="D454" s="81"/>
      <c r="E454" s="81"/>
      <c r="F454" s="81"/>
      <c r="G454" s="81"/>
    </row>
    <row r="455" spans="1:7">
      <c r="A455" s="2"/>
      <c r="B455" s="73"/>
      <c r="C455" s="81"/>
      <c r="D455" s="81"/>
      <c r="E455" s="81"/>
      <c r="F455" s="81"/>
      <c r="G455" s="81"/>
    </row>
    <row r="456" spans="1:7">
      <c r="A456" s="2"/>
      <c r="B456" s="73"/>
      <c r="C456" s="81"/>
      <c r="D456" s="81"/>
      <c r="E456" s="81"/>
      <c r="F456" s="81"/>
      <c r="G456" s="81"/>
    </row>
    <row r="457" spans="1:7">
      <c r="A457" s="2"/>
      <c r="B457" s="73"/>
      <c r="C457" s="81"/>
      <c r="D457" s="81"/>
      <c r="E457" s="81"/>
      <c r="F457" s="81"/>
      <c r="G457" s="81"/>
    </row>
    <row r="458" spans="1:7">
      <c r="A458" s="2"/>
      <c r="B458" s="73"/>
      <c r="C458" s="81"/>
      <c r="D458" s="81"/>
      <c r="E458" s="81"/>
      <c r="F458" s="81"/>
      <c r="G458" s="81"/>
    </row>
    <row r="459" spans="1:7">
      <c r="A459" s="2"/>
      <c r="B459" s="73"/>
      <c r="C459" s="81"/>
      <c r="D459" s="81"/>
      <c r="E459" s="81"/>
      <c r="F459" s="81"/>
      <c r="G459" s="81"/>
    </row>
    <row r="460" spans="1:7">
      <c r="A460" s="2"/>
      <c r="B460" s="73"/>
      <c r="C460" s="81"/>
      <c r="D460" s="81"/>
      <c r="E460" s="81"/>
      <c r="F460" s="81"/>
      <c r="G460" s="81"/>
    </row>
    <row r="461" spans="1:7">
      <c r="A461" s="2"/>
      <c r="B461" s="73"/>
      <c r="C461" s="81"/>
      <c r="D461" s="81"/>
      <c r="E461" s="81"/>
      <c r="F461" s="81"/>
      <c r="G461" s="81"/>
    </row>
    <row r="462" spans="1:7">
      <c r="A462" s="2"/>
      <c r="B462" s="73"/>
      <c r="C462" s="81"/>
      <c r="D462" s="81"/>
      <c r="E462" s="81"/>
      <c r="F462" s="81"/>
      <c r="G462" s="81"/>
    </row>
    <row r="463" spans="1:7">
      <c r="A463" s="2"/>
      <c r="B463" s="73"/>
      <c r="C463" s="81"/>
      <c r="D463" s="81"/>
      <c r="E463" s="81"/>
      <c r="F463" s="81"/>
      <c r="G463" s="81"/>
    </row>
    <row r="464" spans="1:7">
      <c r="A464" s="2"/>
      <c r="B464" s="73"/>
      <c r="C464" s="81"/>
      <c r="D464" s="81"/>
      <c r="E464" s="81"/>
      <c r="F464" s="81"/>
      <c r="G464" s="81"/>
    </row>
    <row r="465" spans="1:7">
      <c r="A465" s="2"/>
      <c r="B465" s="73"/>
      <c r="C465" s="81"/>
      <c r="D465" s="81"/>
      <c r="E465" s="81"/>
      <c r="F465" s="81"/>
      <c r="G465" s="81"/>
    </row>
    <row r="466" spans="1:7">
      <c r="A466" s="2"/>
      <c r="B466" s="73"/>
      <c r="C466" s="81"/>
      <c r="D466" s="81"/>
      <c r="E466" s="81"/>
      <c r="F466" s="81"/>
      <c r="G466" s="81"/>
    </row>
    <row r="467" spans="1:7">
      <c r="A467" s="2"/>
      <c r="B467" s="73"/>
      <c r="C467" s="81"/>
      <c r="D467" s="81"/>
      <c r="E467" s="81"/>
      <c r="F467" s="81"/>
      <c r="G467" s="81"/>
    </row>
    <row r="468" spans="1:7">
      <c r="A468" s="2"/>
      <c r="B468" s="73"/>
      <c r="C468" s="81"/>
      <c r="D468" s="81"/>
      <c r="E468" s="81"/>
      <c r="F468" s="81"/>
      <c r="G468" s="81"/>
    </row>
    <row r="469" spans="1:7">
      <c r="A469" s="2"/>
      <c r="B469" s="73"/>
      <c r="C469" s="81"/>
      <c r="D469" s="81"/>
      <c r="E469" s="81"/>
      <c r="F469" s="81"/>
      <c r="G469" s="81"/>
    </row>
    <row r="470" spans="1:7">
      <c r="A470" s="2"/>
      <c r="B470" s="73"/>
      <c r="C470" s="81"/>
      <c r="D470" s="81"/>
      <c r="E470" s="81"/>
      <c r="F470" s="81"/>
      <c r="G470" s="81"/>
    </row>
    <row r="471" spans="1:7">
      <c r="A471" s="2"/>
      <c r="B471" s="73"/>
      <c r="C471" s="81"/>
      <c r="D471" s="81"/>
      <c r="E471" s="81"/>
      <c r="F471" s="81"/>
      <c r="G471" s="81"/>
    </row>
    <row r="472" spans="1:7">
      <c r="A472" s="2"/>
      <c r="B472" s="73"/>
      <c r="C472" s="81"/>
      <c r="D472" s="81"/>
      <c r="E472" s="81"/>
      <c r="F472" s="81"/>
      <c r="G472" s="81"/>
    </row>
    <row r="473" spans="1:7">
      <c r="A473" s="2"/>
      <c r="B473" s="73"/>
      <c r="C473" s="81"/>
      <c r="D473" s="81"/>
      <c r="E473" s="81"/>
      <c r="F473" s="81"/>
      <c r="G473" s="81"/>
    </row>
    <row r="474" spans="1:7">
      <c r="A474" s="2"/>
      <c r="B474" s="73"/>
      <c r="C474" s="81"/>
      <c r="D474" s="81"/>
      <c r="E474" s="81"/>
      <c r="F474" s="81"/>
      <c r="G474" s="81"/>
    </row>
    <row r="475" spans="1:7">
      <c r="A475" s="2"/>
      <c r="B475" s="73"/>
      <c r="C475" s="81"/>
      <c r="D475" s="81"/>
      <c r="E475" s="81"/>
      <c r="F475" s="81"/>
      <c r="G475" s="81"/>
    </row>
    <row r="476" spans="1:7">
      <c r="A476" s="2"/>
      <c r="B476" s="73"/>
      <c r="C476" s="81"/>
      <c r="D476" s="81"/>
      <c r="E476" s="81"/>
      <c r="F476" s="81"/>
      <c r="G476" s="81"/>
    </row>
    <row r="477" spans="1:7">
      <c r="A477" s="2"/>
      <c r="B477" s="73"/>
      <c r="C477" s="81"/>
      <c r="D477" s="81"/>
      <c r="E477" s="81"/>
      <c r="F477" s="81"/>
      <c r="G477" s="81"/>
    </row>
    <row r="478" spans="1:7">
      <c r="A478" s="2"/>
      <c r="B478" s="73"/>
      <c r="C478" s="81"/>
      <c r="D478" s="81"/>
      <c r="E478" s="81"/>
      <c r="F478" s="81"/>
      <c r="G478" s="81"/>
    </row>
    <row r="479" spans="1:7">
      <c r="A479" s="2"/>
      <c r="B479" s="73"/>
      <c r="C479" s="81"/>
      <c r="D479" s="81"/>
      <c r="E479" s="81"/>
      <c r="F479" s="81"/>
      <c r="G479" s="81"/>
    </row>
    <row r="480" spans="1:7">
      <c r="A480" s="2"/>
      <c r="B480" s="73"/>
      <c r="C480" s="81"/>
      <c r="D480" s="81"/>
      <c r="E480" s="81"/>
      <c r="F480" s="81"/>
      <c r="G480" s="81"/>
    </row>
    <row r="481" spans="1:7">
      <c r="A481" s="2"/>
      <c r="B481" s="73"/>
      <c r="C481" s="81"/>
      <c r="D481" s="81"/>
      <c r="E481" s="81"/>
      <c r="F481" s="81"/>
      <c r="G481" s="81"/>
    </row>
    <row r="482" spans="1:7">
      <c r="A482" s="2"/>
      <c r="B482" s="73"/>
      <c r="C482" s="81"/>
      <c r="D482" s="81"/>
      <c r="E482" s="81"/>
      <c r="F482" s="81"/>
      <c r="G482" s="81"/>
    </row>
    <row r="483" spans="1:7">
      <c r="A483" s="2"/>
      <c r="B483" s="73"/>
      <c r="C483" s="81"/>
      <c r="D483" s="81"/>
      <c r="E483" s="81"/>
      <c r="F483" s="81"/>
      <c r="G483" s="81"/>
    </row>
    <row r="484" spans="1:7">
      <c r="A484" s="2"/>
      <c r="B484" s="73"/>
      <c r="C484" s="81"/>
      <c r="D484" s="81"/>
      <c r="E484" s="81"/>
      <c r="F484" s="81"/>
      <c r="G484" s="81"/>
    </row>
    <row r="485" spans="1:7">
      <c r="A485" s="2"/>
      <c r="B485" s="73"/>
      <c r="C485" s="81"/>
      <c r="D485" s="81"/>
      <c r="E485" s="81"/>
      <c r="F485" s="81"/>
      <c r="G485" s="81"/>
    </row>
    <row r="486" spans="1:7">
      <c r="A486" s="2"/>
      <c r="B486" s="73"/>
      <c r="C486" s="81"/>
      <c r="D486" s="81"/>
      <c r="E486" s="81"/>
      <c r="F486" s="81"/>
      <c r="G486" s="81"/>
    </row>
    <row r="487" spans="1:7">
      <c r="A487" s="2"/>
      <c r="B487" s="73"/>
      <c r="C487" s="81"/>
      <c r="D487" s="81"/>
      <c r="E487" s="81"/>
      <c r="F487" s="81"/>
      <c r="G487" s="81"/>
    </row>
    <row r="488" spans="1:7">
      <c r="A488" s="2"/>
      <c r="B488" s="73"/>
      <c r="C488" s="81"/>
      <c r="D488" s="81"/>
      <c r="E488" s="81"/>
      <c r="F488" s="81"/>
      <c r="G488" s="81"/>
    </row>
    <row r="489" spans="1:7">
      <c r="A489" s="2"/>
      <c r="B489" s="73"/>
      <c r="C489" s="81"/>
      <c r="D489" s="81"/>
      <c r="E489" s="81"/>
      <c r="F489" s="81"/>
      <c r="G489" s="81"/>
    </row>
    <row r="490" spans="1:7">
      <c r="A490" s="2"/>
      <c r="B490" s="73"/>
      <c r="C490" s="81"/>
      <c r="D490" s="81"/>
      <c r="E490" s="81"/>
      <c r="F490" s="81"/>
      <c r="G490" s="81"/>
    </row>
    <row r="491" spans="1:7">
      <c r="A491" s="2"/>
      <c r="B491" s="73"/>
      <c r="C491" s="81"/>
      <c r="D491" s="81"/>
      <c r="E491" s="81"/>
      <c r="F491" s="81"/>
      <c r="G491" s="81"/>
    </row>
    <row r="492" spans="1:7">
      <c r="A492" s="2"/>
      <c r="B492" s="73"/>
      <c r="C492" s="81"/>
      <c r="D492" s="81"/>
      <c r="E492" s="81"/>
      <c r="F492" s="81"/>
      <c r="G492" s="81"/>
    </row>
    <row r="493" spans="1:7">
      <c r="A493" s="2"/>
      <c r="B493" s="73"/>
      <c r="C493" s="81"/>
      <c r="D493" s="81"/>
      <c r="E493" s="81"/>
      <c r="F493" s="81"/>
      <c r="G493" s="81"/>
    </row>
    <row r="494" spans="1:7">
      <c r="A494" s="2"/>
      <c r="B494" s="73"/>
      <c r="C494" s="81"/>
      <c r="D494" s="81"/>
      <c r="E494" s="81"/>
      <c r="F494" s="81"/>
      <c r="G494" s="81"/>
    </row>
    <row r="495" spans="1:7">
      <c r="A495" s="2"/>
      <c r="B495" s="73"/>
      <c r="C495" s="81"/>
      <c r="D495" s="81"/>
      <c r="E495" s="81"/>
      <c r="F495" s="81"/>
      <c r="G495" s="81"/>
    </row>
    <row r="496" spans="1:7">
      <c r="A496" s="2"/>
      <c r="B496" s="73"/>
      <c r="C496" s="81"/>
      <c r="D496" s="81"/>
      <c r="E496" s="81"/>
      <c r="F496" s="81"/>
      <c r="G496" s="81"/>
    </row>
    <row r="497" spans="1:7">
      <c r="A497" s="2"/>
      <c r="B497" s="73"/>
      <c r="C497" s="81"/>
      <c r="D497" s="81"/>
      <c r="E497" s="81"/>
      <c r="F497" s="81"/>
      <c r="G497" s="81"/>
    </row>
    <row r="498" spans="1:7">
      <c r="A498" s="2"/>
      <c r="B498" s="73"/>
      <c r="C498" s="81"/>
      <c r="D498" s="81"/>
      <c r="E498" s="81"/>
      <c r="F498" s="81"/>
      <c r="G498" s="81"/>
    </row>
    <row r="499" spans="1:7">
      <c r="A499" s="2"/>
      <c r="B499" s="73"/>
      <c r="C499" s="81"/>
      <c r="D499" s="81"/>
      <c r="E499" s="81"/>
      <c r="F499" s="81"/>
      <c r="G499" s="81"/>
    </row>
    <row r="500" spans="1:7">
      <c r="A500" s="2"/>
      <c r="B500" s="73"/>
      <c r="C500" s="81"/>
      <c r="D500" s="81"/>
      <c r="E500" s="81"/>
      <c r="F500" s="81"/>
      <c r="G500" s="81"/>
    </row>
    <row r="501" spans="1:7">
      <c r="A501" s="2"/>
      <c r="B501" s="73"/>
      <c r="C501" s="81"/>
      <c r="D501" s="81"/>
      <c r="E501" s="81"/>
      <c r="F501" s="81"/>
      <c r="G501" s="81"/>
    </row>
    <row r="502" spans="1:7">
      <c r="A502" s="2"/>
      <c r="B502" s="73"/>
      <c r="C502" s="81"/>
      <c r="D502" s="81"/>
      <c r="E502" s="81"/>
      <c r="F502" s="81"/>
      <c r="G502" s="81"/>
    </row>
    <row r="503" spans="1:7">
      <c r="A503" s="2"/>
      <c r="B503" s="73"/>
      <c r="C503" s="81"/>
      <c r="D503" s="81"/>
      <c r="E503" s="81"/>
      <c r="F503" s="81"/>
      <c r="G503" s="81"/>
    </row>
    <row r="504" spans="1:7">
      <c r="A504" s="2"/>
      <c r="B504" s="73"/>
      <c r="C504" s="81"/>
      <c r="D504" s="81"/>
      <c r="E504" s="81"/>
      <c r="F504" s="81"/>
      <c r="G504" s="81"/>
    </row>
    <row r="505" spans="1:7">
      <c r="A505" s="2"/>
      <c r="B505" s="73"/>
      <c r="C505" s="81"/>
      <c r="D505" s="81"/>
      <c r="E505" s="81"/>
      <c r="F505" s="81"/>
      <c r="G505" s="81"/>
    </row>
    <row r="506" spans="1:7">
      <c r="A506" s="2"/>
      <c r="B506" s="73"/>
      <c r="C506" s="81"/>
      <c r="D506" s="81"/>
      <c r="E506" s="81"/>
      <c r="F506" s="81"/>
      <c r="G506" s="81"/>
    </row>
    <row r="507" spans="1:7">
      <c r="A507" s="2"/>
      <c r="B507" s="73"/>
      <c r="C507" s="81"/>
      <c r="D507" s="81"/>
      <c r="E507" s="81"/>
      <c r="F507" s="81"/>
      <c r="G507" s="81"/>
    </row>
    <row r="508" spans="1:7">
      <c r="A508" s="2"/>
      <c r="B508" s="73"/>
      <c r="C508" s="81"/>
      <c r="D508" s="81"/>
      <c r="E508" s="81"/>
      <c r="F508" s="81"/>
      <c r="G508" s="81"/>
    </row>
    <row r="509" spans="1:7">
      <c r="A509" s="2"/>
      <c r="B509" s="73"/>
      <c r="C509" s="81"/>
      <c r="D509" s="81"/>
      <c r="E509" s="81"/>
      <c r="F509" s="81"/>
      <c r="G509" s="81"/>
    </row>
    <row r="510" spans="1:7">
      <c r="A510" s="2"/>
      <c r="B510" s="73"/>
      <c r="C510" s="81"/>
      <c r="D510" s="81"/>
      <c r="E510" s="81"/>
      <c r="F510" s="81"/>
      <c r="G510" s="81"/>
    </row>
    <row r="511" spans="1:7">
      <c r="A511" s="2"/>
      <c r="B511" s="73"/>
      <c r="C511" s="81"/>
      <c r="D511" s="81"/>
      <c r="E511" s="81"/>
      <c r="F511" s="81"/>
      <c r="G511" s="81"/>
    </row>
    <row r="512" spans="1:7">
      <c r="A512" s="2"/>
      <c r="B512" s="73"/>
      <c r="C512" s="81"/>
      <c r="D512" s="81"/>
      <c r="E512" s="81"/>
      <c r="F512" s="81"/>
      <c r="G512" s="81"/>
    </row>
    <row r="513" spans="1:7">
      <c r="A513" s="2"/>
      <c r="B513" s="73"/>
      <c r="C513" s="81"/>
      <c r="D513" s="81"/>
      <c r="E513" s="81"/>
      <c r="F513" s="81"/>
      <c r="G513" s="81"/>
    </row>
    <row r="514" spans="1:7">
      <c r="A514" s="2"/>
      <c r="B514" s="73"/>
      <c r="C514" s="81"/>
      <c r="D514" s="81"/>
      <c r="E514" s="81"/>
      <c r="F514" s="81"/>
      <c r="G514" s="81"/>
    </row>
    <row r="515" spans="1:7">
      <c r="A515" s="2"/>
      <c r="B515" s="73"/>
      <c r="C515" s="81"/>
      <c r="D515" s="81"/>
      <c r="E515" s="81"/>
      <c r="F515" s="81"/>
      <c r="G515" s="81"/>
    </row>
    <row r="516" spans="1:7">
      <c r="A516" s="2"/>
      <c r="B516" s="73"/>
      <c r="C516" s="81"/>
      <c r="D516" s="81"/>
      <c r="E516" s="81"/>
      <c r="F516" s="81"/>
      <c r="G516" s="81"/>
    </row>
    <row r="517" spans="1:7">
      <c r="A517" s="2"/>
      <c r="B517" s="73"/>
      <c r="C517" s="81"/>
      <c r="D517" s="81"/>
      <c r="E517" s="81"/>
      <c r="F517" s="81"/>
      <c r="G517" s="81"/>
    </row>
    <row r="518" spans="1:7">
      <c r="A518" s="2"/>
      <c r="B518" s="73"/>
      <c r="C518" s="81"/>
      <c r="D518" s="81"/>
      <c r="E518" s="81"/>
      <c r="F518" s="81"/>
      <c r="G518" s="81"/>
    </row>
    <row r="519" spans="1:7">
      <c r="A519" s="2"/>
      <c r="B519" s="73"/>
      <c r="C519" s="81"/>
      <c r="D519" s="81"/>
      <c r="E519" s="81"/>
      <c r="F519" s="81"/>
      <c r="G519" s="81"/>
    </row>
    <row r="520" spans="1:7">
      <c r="A520" s="2"/>
      <c r="B520" s="73"/>
      <c r="C520" s="81"/>
      <c r="D520" s="81"/>
      <c r="E520" s="81"/>
      <c r="F520" s="81"/>
      <c r="G520" s="81"/>
    </row>
    <row r="521" spans="1:7">
      <c r="A521" s="2"/>
      <c r="B521" s="73"/>
      <c r="C521" s="81"/>
      <c r="D521" s="81"/>
      <c r="E521" s="81"/>
      <c r="F521" s="81"/>
      <c r="G521" s="81"/>
    </row>
    <row r="522" spans="1:7">
      <c r="A522" s="2"/>
      <c r="B522" s="73"/>
      <c r="C522" s="81"/>
      <c r="D522" s="81"/>
      <c r="E522" s="81"/>
      <c r="F522" s="81"/>
      <c r="G522" s="81"/>
    </row>
    <row r="523" spans="1:7">
      <c r="A523" s="2"/>
      <c r="B523" s="73"/>
      <c r="C523" s="81"/>
      <c r="D523" s="81"/>
      <c r="E523" s="81"/>
      <c r="F523" s="81"/>
      <c r="G523" s="81"/>
    </row>
    <row r="524" spans="1:7">
      <c r="A524" s="2"/>
      <c r="B524" s="73"/>
      <c r="C524" s="81"/>
      <c r="D524" s="81"/>
      <c r="E524" s="81"/>
      <c r="F524" s="81"/>
      <c r="G524" s="81"/>
    </row>
    <row r="525" spans="1:7">
      <c r="A525" s="2"/>
      <c r="B525" s="73"/>
      <c r="C525" s="81"/>
      <c r="D525" s="81"/>
      <c r="E525" s="81"/>
      <c r="F525" s="81"/>
      <c r="G525" s="81"/>
    </row>
    <row r="526" spans="1:7">
      <c r="A526" s="2"/>
      <c r="B526" s="73"/>
      <c r="C526" s="81"/>
      <c r="D526" s="81"/>
      <c r="E526" s="81"/>
      <c r="F526" s="81"/>
      <c r="G526" s="81"/>
    </row>
    <row r="527" spans="1:7">
      <c r="A527" s="2"/>
      <c r="B527" s="73"/>
      <c r="C527" s="81"/>
      <c r="D527" s="81"/>
      <c r="E527" s="81"/>
      <c r="F527" s="81"/>
      <c r="G527" s="81"/>
    </row>
    <row r="528" spans="1:7">
      <c r="A528" s="2"/>
      <c r="B528" s="73"/>
      <c r="C528" s="81"/>
      <c r="D528" s="81"/>
      <c r="E528" s="81"/>
      <c r="F528" s="81"/>
      <c r="G528" s="81"/>
    </row>
    <row r="529" spans="1:7">
      <c r="A529" s="2"/>
      <c r="B529" s="73"/>
      <c r="C529" s="81"/>
      <c r="D529" s="81"/>
      <c r="E529" s="81"/>
      <c r="F529" s="81"/>
      <c r="G529" s="81"/>
    </row>
    <row r="530" spans="1:7">
      <c r="A530" s="2"/>
      <c r="B530" s="73"/>
      <c r="C530" s="81"/>
      <c r="D530" s="81"/>
      <c r="E530" s="81"/>
      <c r="F530" s="81"/>
      <c r="G530" s="81"/>
    </row>
    <row r="531" spans="1:7">
      <c r="A531" s="2"/>
      <c r="B531" s="73"/>
      <c r="C531" s="81"/>
      <c r="D531" s="81"/>
      <c r="E531" s="81"/>
      <c r="F531" s="81"/>
      <c r="G531" s="81"/>
    </row>
    <row r="532" spans="1:7">
      <c r="A532" s="2"/>
      <c r="B532" s="73"/>
      <c r="C532" s="81"/>
      <c r="D532" s="81"/>
      <c r="E532" s="81"/>
      <c r="F532" s="81"/>
      <c r="G532" s="81"/>
    </row>
    <row r="533" spans="1:7">
      <c r="A533" s="2"/>
      <c r="B533" s="73"/>
      <c r="C533" s="81"/>
      <c r="D533" s="81"/>
      <c r="E533" s="81"/>
      <c r="F533" s="81"/>
      <c r="G533" s="81"/>
    </row>
    <row r="534" spans="1:7">
      <c r="A534" s="2"/>
      <c r="B534" s="73"/>
      <c r="C534" s="81"/>
      <c r="D534" s="81"/>
      <c r="E534" s="81"/>
      <c r="F534" s="81"/>
      <c r="G534" s="81"/>
    </row>
    <row r="535" spans="1:7">
      <c r="A535" s="2"/>
      <c r="B535" s="73"/>
      <c r="C535" s="81"/>
      <c r="D535" s="81"/>
      <c r="E535" s="81"/>
      <c r="F535" s="81"/>
      <c r="G535" s="81"/>
    </row>
    <row r="536" spans="1:7">
      <c r="A536" s="2"/>
      <c r="B536" s="73"/>
      <c r="C536" s="81"/>
      <c r="D536" s="81"/>
      <c r="E536" s="81"/>
      <c r="F536" s="81"/>
      <c r="G536" s="81"/>
    </row>
    <row r="537" spans="1:7">
      <c r="A537" s="2"/>
      <c r="B537" s="73"/>
      <c r="C537" s="81"/>
      <c r="D537" s="81"/>
      <c r="E537" s="81"/>
      <c r="F537" s="81"/>
      <c r="G537" s="81"/>
    </row>
    <row r="538" spans="1:7">
      <c r="A538" s="2"/>
      <c r="B538" s="73"/>
      <c r="C538" s="81"/>
      <c r="D538" s="81"/>
      <c r="E538" s="81"/>
      <c r="F538" s="81"/>
      <c r="G538" s="81"/>
    </row>
    <row r="539" spans="1:7">
      <c r="A539" s="2"/>
      <c r="B539" s="73"/>
      <c r="C539" s="81"/>
      <c r="D539" s="81"/>
      <c r="E539" s="81"/>
      <c r="F539" s="81"/>
      <c r="G539" s="81"/>
    </row>
    <row r="540" spans="1:7">
      <c r="A540" s="2"/>
      <c r="B540" s="73"/>
      <c r="C540" s="81"/>
      <c r="D540" s="81"/>
      <c r="E540" s="81"/>
      <c r="F540" s="81"/>
      <c r="G540" s="81"/>
    </row>
    <row r="541" spans="1:7">
      <c r="A541" s="2"/>
      <c r="B541" s="73"/>
      <c r="C541" s="81"/>
      <c r="D541" s="81"/>
      <c r="E541" s="81"/>
      <c r="F541" s="81"/>
      <c r="G541" s="81"/>
    </row>
    <row r="542" spans="1:7">
      <c r="A542" s="2"/>
      <c r="B542" s="73"/>
      <c r="C542" s="81"/>
      <c r="D542" s="81"/>
      <c r="E542" s="81"/>
      <c r="F542" s="81"/>
      <c r="G542" s="81"/>
    </row>
    <row r="543" spans="1:7">
      <c r="A543" s="2"/>
      <c r="B543" s="73"/>
      <c r="C543" s="81"/>
      <c r="D543" s="81"/>
      <c r="E543" s="81"/>
      <c r="F543" s="81"/>
      <c r="G543" s="81"/>
    </row>
    <row r="544" spans="1:7">
      <c r="A544" s="2"/>
      <c r="B544" s="73"/>
      <c r="C544" s="81"/>
      <c r="D544" s="81"/>
      <c r="E544" s="81"/>
      <c r="F544" s="81"/>
      <c r="G544" s="81"/>
    </row>
    <row r="545" spans="1:7">
      <c r="A545" s="2"/>
      <c r="B545" s="73"/>
      <c r="C545" s="81"/>
      <c r="D545" s="81"/>
      <c r="E545" s="81"/>
      <c r="F545" s="81"/>
      <c r="G545" s="81"/>
    </row>
    <row r="546" spans="1:7">
      <c r="A546" s="2"/>
      <c r="B546" s="73"/>
      <c r="C546" s="81"/>
      <c r="D546" s="81"/>
      <c r="E546" s="81"/>
      <c r="F546" s="81"/>
      <c r="G546" s="81"/>
    </row>
    <row r="547" spans="1:7">
      <c r="A547" s="2"/>
      <c r="B547" s="73"/>
      <c r="C547" s="81"/>
      <c r="D547" s="81"/>
      <c r="E547" s="81"/>
      <c r="F547" s="81"/>
      <c r="G547" s="81"/>
    </row>
    <row r="548" spans="1:7">
      <c r="A548" s="2"/>
      <c r="B548" s="73"/>
      <c r="C548" s="81"/>
      <c r="D548" s="81"/>
      <c r="E548" s="81"/>
      <c r="F548" s="81"/>
      <c r="G548" s="81"/>
    </row>
    <row r="549" spans="1:7">
      <c r="A549" s="2"/>
      <c r="B549" s="73"/>
      <c r="C549" s="81"/>
      <c r="D549" s="81"/>
      <c r="E549" s="81"/>
      <c r="F549" s="81"/>
      <c r="G549" s="81"/>
    </row>
    <row r="550" spans="1:7">
      <c r="A550" s="2"/>
      <c r="B550" s="73"/>
      <c r="C550" s="81"/>
      <c r="D550" s="81"/>
      <c r="E550" s="81"/>
      <c r="F550" s="81"/>
      <c r="G550" s="81"/>
    </row>
    <row r="551" spans="1:7">
      <c r="A551" s="2"/>
      <c r="B551" s="73"/>
      <c r="C551" s="81"/>
      <c r="D551" s="81"/>
      <c r="E551" s="81"/>
      <c r="F551" s="81"/>
      <c r="G551" s="81"/>
    </row>
    <row r="552" spans="1:7">
      <c r="A552" s="2"/>
      <c r="B552" s="73"/>
      <c r="C552" s="81"/>
      <c r="D552" s="81"/>
      <c r="E552" s="81"/>
      <c r="F552" s="81"/>
      <c r="G552" s="81"/>
    </row>
    <row r="553" spans="1:7">
      <c r="A553" s="2"/>
      <c r="B553" s="73"/>
      <c r="C553" s="81"/>
      <c r="D553" s="81"/>
      <c r="E553" s="81"/>
      <c r="F553" s="81"/>
      <c r="G553" s="81"/>
    </row>
    <row r="554" spans="1:7">
      <c r="A554" s="2"/>
      <c r="B554" s="73"/>
      <c r="C554" s="81"/>
      <c r="D554" s="81"/>
      <c r="E554" s="81"/>
      <c r="F554" s="81"/>
      <c r="G554" s="81"/>
    </row>
    <row r="555" spans="1:7">
      <c r="A555" s="2"/>
      <c r="B555" s="73"/>
      <c r="C555" s="81"/>
      <c r="D555" s="81"/>
      <c r="E555" s="81"/>
      <c r="F555" s="81"/>
      <c r="G555" s="81"/>
    </row>
    <row r="556" spans="1:7">
      <c r="A556" s="2"/>
      <c r="B556" s="73"/>
      <c r="C556" s="81"/>
      <c r="D556" s="81"/>
      <c r="E556" s="81"/>
      <c r="F556" s="81"/>
      <c r="G556" s="81"/>
    </row>
    <row r="557" spans="1:7">
      <c r="A557" s="2"/>
      <c r="B557" s="73"/>
      <c r="C557" s="81"/>
      <c r="D557" s="81"/>
      <c r="E557" s="81"/>
      <c r="F557" s="81"/>
      <c r="G557" s="81"/>
    </row>
    <row r="558" spans="1:7">
      <c r="A558" s="2"/>
      <c r="B558" s="73"/>
      <c r="C558" s="81"/>
      <c r="D558" s="81"/>
      <c r="E558" s="81"/>
      <c r="F558" s="81"/>
      <c r="G558" s="81"/>
    </row>
    <row r="559" spans="1:7">
      <c r="A559" s="2"/>
      <c r="B559" s="73"/>
      <c r="C559" s="81"/>
      <c r="D559" s="81"/>
      <c r="E559" s="81"/>
      <c r="F559" s="81"/>
      <c r="G559" s="81"/>
    </row>
    <row r="560" spans="1:7">
      <c r="A560" s="2"/>
      <c r="B560" s="73"/>
      <c r="C560" s="81"/>
      <c r="D560" s="81"/>
      <c r="E560" s="81"/>
      <c r="F560" s="81"/>
      <c r="G560" s="81"/>
    </row>
    <row r="561" spans="1:7">
      <c r="A561" s="2"/>
      <c r="B561" s="73"/>
      <c r="C561" s="81"/>
      <c r="D561" s="81"/>
      <c r="E561" s="81"/>
      <c r="F561" s="81"/>
      <c r="G561" s="81"/>
    </row>
    <row r="562" spans="1:7">
      <c r="A562" s="2"/>
      <c r="B562" s="73"/>
      <c r="C562" s="81"/>
      <c r="D562" s="81"/>
      <c r="E562" s="81"/>
      <c r="F562" s="81"/>
      <c r="G562" s="81"/>
    </row>
    <row r="563" spans="1:7">
      <c r="A563" s="2"/>
      <c r="B563" s="73"/>
      <c r="C563" s="81"/>
      <c r="D563" s="81"/>
      <c r="E563" s="81"/>
      <c r="F563" s="81"/>
      <c r="G563" s="81"/>
    </row>
    <row r="564" spans="1:7">
      <c r="A564" s="2"/>
      <c r="B564" s="73"/>
      <c r="C564" s="81"/>
      <c r="D564" s="81"/>
      <c r="E564" s="81"/>
      <c r="F564" s="81"/>
      <c r="G564" s="81"/>
    </row>
    <row r="565" spans="1:7">
      <c r="A565" s="2"/>
      <c r="B565" s="73"/>
      <c r="C565" s="81"/>
      <c r="D565" s="81"/>
      <c r="E565" s="81"/>
      <c r="F565" s="81"/>
      <c r="G565" s="81"/>
    </row>
    <row r="566" spans="1:7">
      <c r="A566" s="2"/>
      <c r="B566" s="73"/>
      <c r="C566" s="81"/>
      <c r="D566" s="81"/>
      <c r="E566" s="81"/>
      <c r="F566" s="81"/>
      <c r="G566" s="81"/>
    </row>
    <row r="567" spans="1:7">
      <c r="A567" s="2"/>
      <c r="B567" s="73"/>
      <c r="C567" s="81"/>
      <c r="D567" s="81"/>
      <c r="E567" s="81"/>
      <c r="F567" s="81"/>
      <c r="G567" s="81"/>
    </row>
    <row r="568" spans="1:7">
      <c r="A568" s="2"/>
      <c r="B568" s="73"/>
      <c r="C568" s="81"/>
      <c r="D568" s="81"/>
      <c r="E568" s="81"/>
      <c r="F568" s="81"/>
      <c r="G568" s="81"/>
    </row>
    <row r="569" spans="1:7">
      <c r="A569" s="2"/>
      <c r="B569" s="73"/>
      <c r="C569" s="81"/>
      <c r="D569" s="81"/>
      <c r="E569" s="81"/>
      <c r="F569" s="81"/>
      <c r="G569" s="81"/>
    </row>
    <row r="570" spans="1:7">
      <c r="A570" s="2"/>
      <c r="B570" s="73"/>
      <c r="C570" s="81"/>
      <c r="D570" s="81"/>
      <c r="E570" s="81"/>
      <c r="F570" s="81"/>
      <c r="G570" s="81"/>
    </row>
    <row r="571" spans="1:7">
      <c r="A571" s="2"/>
      <c r="B571" s="73"/>
      <c r="C571" s="81"/>
      <c r="D571" s="81"/>
      <c r="E571" s="81"/>
      <c r="F571" s="81"/>
      <c r="G571" s="81"/>
    </row>
    <row r="572" spans="1:7">
      <c r="A572" s="2"/>
      <c r="B572" s="73"/>
      <c r="C572" s="81"/>
      <c r="D572" s="81"/>
      <c r="E572" s="81"/>
    </row>
    <row r="573" spans="1:7">
      <c r="A573" s="2"/>
      <c r="B573" s="73"/>
      <c r="C573" s="81"/>
      <c r="D573" s="81"/>
      <c r="E573" s="81"/>
    </row>
    <row r="574" spans="1:7">
      <c r="A574" s="2"/>
      <c r="B574" s="73"/>
      <c r="C574" s="81"/>
      <c r="D574" s="81"/>
      <c r="E574" s="81"/>
    </row>
    <row r="575" spans="1:7">
      <c r="A575" s="2"/>
      <c r="B575" s="73"/>
      <c r="C575" s="81"/>
      <c r="D575" s="81"/>
      <c r="E575" s="81"/>
    </row>
    <row r="576" spans="1:7">
      <c r="C576" s="96"/>
      <c r="D576" s="96"/>
      <c r="E576" s="96"/>
    </row>
    <row r="577" spans="3:31">
      <c r="C577" s="96"/>
      <c r="D577" s="96"/>
      <c r="E577" s="96"/>
    </row>
    <row r="578" spans="3:31">
      <c r="C578" s="96"/>
      <c r="D578" s="96"/>
      <c r="E578" s="96"/>
      <c r="AE578" s="4"/>
    </row>
    <row r="579" spans="3:31">
      <c r="C579" s="96"/>
      <c r="D579" s="96"/>
      <c r="E579" s="96"/>
    </row>
    <row r="580" spans="3:31">
      <c r="C580" s="96"/>
      <c r="D580" s="96"/>
      <c r="E580" s="96"/>
    </row>
    <row r="581" spans="3:31">
      <c r="C581" s="96"/>
      <c r="D581" s="96"/>
      <c r="E581" s="96"/>
    </row>
    <row r="582" spans="3:31">
      <c r="C582" s="96"/>
      <c r="D582" s="96"/>
      <c r="E582" s="96"/>
    </row>
    <row r="583" spans="3:31">
      <c r="C583" s="96"/>
      <c r="D583" s="96"/>
      <c r="E583" s="96"/>
    </row>
    <row r="584" spans="3:31">
      <c r="C584" s="96"/>
      <c r="D584" s="96"/>
      <c r="E584" s="96"/>
    </row>
    <row r="585" spans="3:31">
      <c r="C585" s="96"/>
      <c r="D585" s="96"/>
      <c r="E585" s="96"/>
    </row>
    <row r="586" spans="3:31">
      <c r="C586" s="96"/>
      <c r="D586" s="96"/>
      <c r="E586" s="96"/>
    </row>
    <row r="587" spans="3:31">
      <c r="C587" s="96"/>
      <c r="D587" s="96"/>
      <c r="E587" s="96"/>
    </row>
    <row r="588" spans="3:31">
      <c r="C588" s="96"/>
      <c r="D588" s="96"/>
      <c r="E588" s="96"/>
    </row>
    <row r="589" spans="3:31">
      <c r="C589" s="96"/>
      <c r="D589" s="96"/>
      <c r="E589" s="96"/>
    </row>
    <row r="590" spans="3:31">
      <c r="C590" s="96"/>
      <c r="D590" s="96"/>
      <c r="E590" s="96"/>
    </row>
    <row r="591" spans="3:31">
      <c r="C591" s="96"/>
      <c r="D591" s="96"/>
      <c r="E591" s="96"/>
    </row>
    <row r="592" spans="3:31">
      <c r="C592" s="96"/>
      <c r="D592" s="96"/>
      <c r="E592" s="96"/>
    </row>
    <row r="593" spans="3:5">
      <c r="C593" s="96"/>
      <c r="D593" s="96"/>
      <c r="E593" s="96"/>
    </row>
    <row r="594" spans="3:5">
      <c r="C594" s="96"/>
      <c r="D594" s="96"/>
      <c r="E594" s="96"/>
    </row>
    <row r="595" spans="3:5">
      <c r="C595" s="96"/>
      <c r="D595" s="96"/>
      <c r="E595" s="96"/>
    </row>
    <row r="596" spans="3:5">
      <c r="C596" s="96"/>
      <c r="D596" s="96"/>
      <c r="E596" s="96"/>
    </row>
    <row r="597" spans="3:5">
      <c r="C597" s="96"/>
      <c r="D597" s="96"/>
      <c r="E597" s="96"/>
    </row>
    <row r="598" spans="3:5">
      <c r="C598" s="96"/>
      <c r="D598" s="96"/>
      <c r="E598" s="96"/>
    </row>
    <row r="599" spans="3:5">
      <c r="C599" s="96"/>
      <c r="D599" s="96"/>
      <c r="E599" s="96"/>
    </row>
    <row r="600" spans="3:5">
      <c r="C600" s="96"/>
      <c r="D600" s="96"/>
      <c r="E600" s="96"/>
    </row>
    <row r="601" spans="3:5">
      <c r="C601" s="96"/>
      <c r="D601" s="96"/>
      <c r="E601" s="96"/>
    </row>
    <row r="602" spans="3:5">
      <c r="C602" s="96"/>
      <c r="D602" s="96"/>
      <c r="E602" s="96"/>
    </row>
    <row r="603" spans="3:5">
      <c r="C603" s="96"/>
      <c r="D603" s="96"/>
      <c r="E603" s="96"/>
    </row>
    <row r="604" spans="3:5">
      <c r="C604" s="96"/>
      <c r="D604" s="96"/>
      <c r="E604" s="96"/>
    </row>
    <row r="605" spans="3:5">
      <c r="C605" s="96"/>
      <c r="D605" s="96"/>
      <c r="E605" s="96"/>
    </row>
    <row r="606" spans="3:5">
      <c r="C606" s="96"/>
      <c r="D606" s="96"/>
      <c r="E606" s="96"/>
    </row>
    <row r="607" spans="3:5">
      <c r="C607" s="96"/>
      <c r="D607" s="96"/>
      <c r="E607" s="96"/>
    </row>
    <row r="608" spans="3:5">
      <c r="C608" s="96"/>
      <c r="D608" s="96"/>
      <c r="E608" s="96"/>
    </row>
    <row r="609" spans="3:5">
      <c r="C609" s="96"/>
      <c r="D609" s="96"/>
      <c r="E609" s="96"/>
    </row>
    <row r="610" spans="3:5">
      <c r="C610" s="96"/>
      <c r="D610" s="96"/>
      <c r="E610" s="96"/>
    </row>
    <row r="611" spans="3:5">
      <c r="C611" s="96"/>
      <c r="D611" s="96"/>
      <c r="E611" s="96"/>
    </row>
    <row r="612" spans="3:5">
      <c r="C612" s="96"/>
      <c r="D612" s="96"/>
      <c r="E612" s="96"/>
    </row>
    <row r="613" spans="3:5">
      <c r="C613" s="96"/>
      <c r="D613" s="96"/>
      <c r="E613" s="96"/>
    </row>
    <row r="614" spans="3:5">
      <c r="C614" s="96"/>
      <c r="D614" s="96"/>
      <c r="E614" s="96"/>
    </row>
    <row r="615" spans="3:5">
      <c r="C615" s="96"/>
      <c r="D615" s="96"/>
      <c r="E615" s="96"/>
    </row>
    <row r="616" spans="3:5">
      <c r="C616" s="96"/>
      <c r="D616" s="96"/>
      <c r="E616" s="96"/>
    </row>
    <row r="617" spans="3:5">
      <c r="C617" s="96"/>
      <c r="D617" s="96"/>
      <c r="E617" s="96"/>
    </row>
    <row r="618" spans="3:5">
      <c r="C618" s="96"/>
      <c r="D618" s="96"/>
      <c r="E618" s="96"/>
    </row>
    <row r="619" spans="3:5">
      <c r="C619" s="96"/>
      <c r="D619" s="96"/>
      <c r="E619" s="96"/>
    </row>
    <row r="620" spans="3:5">
      <c r="C620" s="96"/>
      <c r="D620" s="96"/>
      <c r="E620" s="96"/>
    </row>
    <row r="621" spans="3:5">
      <c r="C621" s="96"/>
      <c r="D621" s="96"/>
      <c r="E621" s="96"/>
    </row>
    <row r="622" spans="3:5">
      <c r="C622" s="96"/>
      <c r="D622" s="96"/>
      <c r="E622" s="96"/>
    </row>
    <row r="623" spans="3:5">
      <c r="C623" s="96"/>
      <c r="D623" s="96"/>
      <c r="E623" s="96"/>
    </row>
    <row r="624" spans="3:5">
      <c r="C624" s="96"/>
      <c r="D624" s="96"/>
      <c r="E624" s="96"/>
    </row>
    <row r="625" spans="3:5">
      <c r="C625" s="96"/>
      <c r="D625" s="96"/>
      <c r="E625" s="96"/>
    </row>
    <row r="626" spans="3:5">
      <c r="C626" s="96"/>
      <c r="D626" s="96"/>
      <c r="E626" s="96"/>
    </row>
    <row r="627" spans="3:5">
      <c r="C627" s="96"/>
      <c r="D627" s="96"/>
      <c r="E627" s="96"/>
    </row>
    <row r="628" spans="3:5">
      <c r="C628" s="96"/>
      <c r="D628" s="96"/>
      <c r="E628" s="96"/>
    </row>
    <row r="629" spans="3:5">
      <c r="C629" s="96"/>
      <c r="D629" s="96"/>
      <c r="E629" s="96"/>
    </row>
    <row r="630" spans="3:5">
      <c r="C630" s="96"/>
      <c r="D630" s="96"/>
      <c r="E630" s="96"/>
    </row>
    <row r="631" spans="3:5">
      <c r="C631" s="96"/>
      <c r="D631" s="96"/>
      <c r="E631" s="96"/>
    </row>
    <row r="632" spans="3:5">
      <c r="C632" s="96"/>
      <c r="D632" s="96"/>
      <c r="E632" s="96"/>
    </row>
    <row r="633" spans="3:5">
      <c r="C633" s="96"/>
      <c r="D633" s="96"/>
      <c r="E633" s="96"/>
    </row>
    <row r="634" spans="3:5">
      <c r="C634" s="96"/>
      <c r="D634" s="96"/>
      <c r="E634" s="96"/>
    </row>
    <row r="635" spans="3:5">
      <c r="C635" s="96"/>
      <c r="D635" s="96"/>
      <c r="E635" s="96"/>
    </row>
    <row r="636" spans="3:5">
      <c r="C636" s="96"/>
      <c r="D636" s="96"/>
      <c r="E636" s="96"/>
    </row>
    <row r="637" spans="3:5">
      <c r="C637" s="96"/>
      <c r="D637" s="96"/>
      <c r="E637" s="96"/>
    </row>
    <row r="638" spans="3:5">
      <c r="C638" s="96"/>
      <c r="D638" s="96"/>
      <c r="E638" s="96"/>
    </row>
    <row r="639" spans="3:5">
      <c r="C639" s="96"/>
      <c r="D639" s="96"/>
      <c r="E639" s="96"/>
    </row>
    <row r="640" spans="3:5">
      <c r="C640" s="96"/>
      <c r="D640" s="96"/>
      <c r="E640" s="96"/>
    </row>
    <row r="641" spans="3:5">
      <c r="C641" s="96"/>
      <c r="D641" s="96"/>
      <c r="E641" s="96"/>
    </row>
    <row r="642" spans="3:5">
      <c r="C642" s="96"/>
      <c r="D642" s="96"/>
      <c r="E642" s="96"/>
    </row>
    <row r="643" spans="3:5">
      <c r="C643" s="96"/>
      <c r="D643" s="96"/>
      <c r="E643" s="96"/>
    </row>
    <row r="644" spans="3:5">
      <c r="C644" s="96"/>
      <c r="D644" s="96"/>
      <c r="E644" s="96"/>
    </row>
    <row r="645" spans="3:5">
      <c r="C645" s="96"/>
      <c r="D645" s="96"/>
      <c r="E645" s="96"/>
    </row>
    <row r="646" spans="3:5">
      <c r="C646" s="96"/>
      <c r="D646" s="96"/>
      <c r="E646" s="96"/>
    </row>
    <row r="647" spans="3:5">
      <c r="C647" s="96"/>
      <c r="D647" s="96"/>
      <c r="E647" s="96"/>
    </row>
    <row r="648" spans="3:5">
      <c r="C648" s="96"/>
      <c r="D648" s="96"/>
      <c r="E648" s="96"/>
    </row>
    <row r="649" spans="3:5">
      <c r="C649" s="96"/>
      <c r="D649" s="96"/>
      <c r="E649" s="96"/>
    </row>
    <row r="650" spans="3:5">
      <c r="C650" s="96"/>
      <c r="D650" s="96"/>
      <c r="E650" s="96"/>
    </row>
    <row r="651" spans="3:5">
      <c r="C651" s="96"/>
      <c r="D651" s="96"/>
      <c r="E651" s="96"/>
    </row>
    <row r="652" spans="3:5">
      <c r="C652" s="96"/>
      <c r="D652" s="96"/>
      <c r="E652" s="96"/>
    </row>
    <row r="653" spans="3:5">
      <c r="C653" s="96"/>
      <c r="D653" s="96"/>
      <c r="E653" s="96"/>
    </row>
    <row r="654" spans="3:5">
      <c r="C654" s="96"/>
      <c r="D654" s="96"/>
      <c r="E654" s="96"/>
    </row>
    <row r="655" spans="3:5">
      <c r="C655" s="96"/>
      <c r="D655" s="96"/>
      <c r="E655" s="96"/>
    </row>
    <row r="656" spans="3:5">
      <c r="C656" s="96"/>
      <c r="D656" s="96"/>
      <c r="E656" s="96"/>
    </row>
    <row r="657" spans="3:5">
      <c r="C657" s="96"/>
      <c r="D657" s="96"/>
      <c r="E657" s="96"/>
    </row>
    <row r="658" spans="3:5">
      <c r="C658" s="96"/>
      <c r="D658" s="96"/>
      <c r="E658" s="96"/>
    </row>
    <row r="659" spans="3:5">
      <c r="C659" s="96"/>
      <c r="D659" s="96"/>
      <c r="E659" s="96"/>
    </row>
    <row r="660" spans="3:5">
      <c r="C660" s="96"/>
      <c r="D660" s="96"/>
      <c r="E660" s="96"/>
    </row>
    <row r="661" spans="3:5">
      <c r="C661" s="96"/>
      <c r="D661" s="96"/>
      <c r="E661" s="96"/>
    </row>
    <row r="662" spans="3:5">
      <c r="C662" s="96"/>
      <c r="D662" s="96"/>
      <c r="E662" s="96"/>
    </row>
    <row r="663" spans="3:5">
      <c r="C663" s="96"/>
      <c r="D663" s="96"/>
      <c r="E663" s="96"/>
    </row>
    <row r="664" spans="3:5">
      <c r="C664" s="96"/>
      <c r="D664" s="96"/>
      <c r="E664" s="96"/>
    </row>
    <row r="665" spans="3:5">
      <c r="C665" s="96"/>
      <c r="D665" s="96"/>
      <c r="E665" s="96"/>
    </row>
    <row r="666" spans="3:5">
      <c r="C666" s="96"/>
      <c r="D666" s="96"/>
      <c r="E666" s="96"/>
    </row>
    <row r="667" spans="3:5">
      <c r="C667" s="96"/>
      <c r="D667" s="96"/>
      <c r="E667" s="96"/>
    </row>
    <row r="668" spans="3:5">
      <c r="C668" s="96"/>
      <c r="D668" s="96"/>
      <c r="E668" s="96"/>
    </row>
    <row r="669" spans="3:5">
      <c r="C669" s="96"/>
      <c r="D669" s="96"/>
      <c r="E669" s="96"/>
    </row>
    <row r="670" spans="3:5">
      <c r="C670" s="96"/>
      <c r="D670" s="96"/>
      <c r="E670" s="96"/>
    </row>
    <row r="671" spans="3:5">
      <c r="C671" s="96"/>
      <c r="D671" s="96"/>
      <c r="E671" s="96"/>
    </row>
    <row r="672" spans="3:5">
      <c r="C672" s="96"/>
      <c r="D672" s="96"/>
      <c r="E672" s="96"/>
    </row>
    <row r="673" spans="3:5">
      <c r="C673" s="96"/>
      <c r="D673" s="96"/>
      <c r="E673" s="96"/>
    </row>
    <row r="674" spans="3:5">
      <c r="C674" s="96"/>
      <c r="D674" s="96"/>
      <c r="E674" s="96"/>
    </row>
    <row r="675" spans="3:5">
      <c r="C675" s="96"/>
      <c r="D675" s="96"/>
      <c r="E675" s="96"/>
    </row>
    <row r="676" spans="3:5">
      <c r="C676" s="96"/>
      <c r="D676" s="96"/>
      <c r="E676" s="96"/>
    </row>
    <row r="677" spans="3:5">
      <c r="C677" s="96"/>
      <c r="D677" s="96"/>
      <c r="E677" s="96"/>
    </row>
    <row r="678" spans="3:5">
      <c r="C678" s="96"/>
      <c r="D678" s="96"/>
      <c r="E678" s="96"/>
    </row>
    <row r="679" spans="3:5">
      <c r="C679" s="96"/>
      <c r="D679" s="96"/>
      <c r="E679" s="96"/>
    </row>
    <row r="680" spans="3:5">
      <c r="C680" s="96"/>
      <c r="D680" s="96"/>
      <c r="E680" s="96"/>
    </row>
    <row r="681" spans="3:5">
      <c r="C681" s="96"/>
      <c r="D681" s="96"/>
      <c r="E681" s="96"/>
    </row>
    <row r="682" spans="3:5">
      <c r="C682" s="96"/>
      <c r="D682" s="96"/>
      <c r="E682" s="96"/>
    </row>
  </sheetData>
  <phoneticPr fontId="45" type="noConversion"/>
  <printOptions horizontalCentered="1"/>
  <pageMargins left="0" right="0" top="0.78740157480314965" bottom="0.98425196850393704" header="0.51181102362204722" footer="0.51181102362204722"/>
  <pageSetup paperSize="9" scale="70" fitToHeight="0" orientation="portrait" r:id="rId1"/>
  <headerFooter alignWithMargins="0">
    <oddHeader>&amp;A</oddHeader>
    <oddFooter>Page &amp;P</oddFooter>
  </headerFooter>
  <customProperties>
    <customPr name="Qube.Worksheet.Visibility"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Check Box 9">
              <controlPr defaultSize="0" autoFill="0" autoLine="0" autoPict="0">
                <anchor moveWithCells="1">
                  <from>
                    <xdr:col>1</xdr:col>
                    <xdr:colOff>0</xdr:colOff>
                    <xdr:row>1</xdr:row>
                    <xdr:rowOff>0</xdr:rowOff>
                  </from>
                  <to>
                    <xdr:col>1</xdr:col>
                    <xdr:colOff>2000250</xdr:colOff>
                    <xdr:row>2</xdr:row>
                    <xdr:rowOff>38100</xdr:rowOff>
                  </to>
                </anchor>
              </controlPr>
            </control>
          </mc:Choice>
        </mc:AlternateContent>
        <mc:AlternateContent xmlns:mc="http://schemas.openxmlformats.org/markup-compatibility/2006">
          <mc:Choice Requires="x14">
            <control shapeId="1034" r:id="rId6" name="Check Box 10">
              <controlPr defaultSize="0" autoFill="0" autoLine="0" autoPict="0">
                <anchor moveWithCells="1">
                  <from>
                    <xdr:col>1</xdr:col>
                    <xdr:colOff>0</xdr:colOff>
                    <xdr:row>3</xdr:row>
                    <xdr:rowOff>0</xdr:rowOff>
                  </from>
                  <to>
                    <xdr:col>1</xdr:col>
                    <xdr:colOff>2009775</xdr:colOff>
                    <xdr:row>4</xdr:row>
                    <xdr:rowOff>28575</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1</xdr:col>
                    <xdr:colOff>0</xdr:colOff>
                    <xdr:row>5</xdr:row>
                    <xdr:rowOff>0</xdr:rowOff>
                  </from>
                  <to>
                    <xdr:col>1</xdr:col>
                    <xdr:colOff>2000250</xdr:colOff>
                    <xdr:row>6</xdr:row>
                    <xdr:rowOff>28575</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1</xdr:col>
                    <xdr:colOff>0</xdr:colOff>
                    <xdr:row>7</xdr:row>
                    <xdr:rowOff>0</xdr:rowOff>
                  </from>
                  <to>
                    <xdr:col>1</xdr:col>
                    <xdr:colOff>2000250</xdr:colOff>
                    <xdr:row>8</xdr:row>
                    <xdr:rowOff>28575</xdr:rowOff>
                  </to>
                </anchor>
              </controlPr>
            </control>
          </mc:Choice>
        </mc:AlternateContent>
        <mc:AlternateContent xmlns:mc="http://schemas.openxmlformats.org/markup-compatibility/2006">
          <mc:Choice Requires="x14">
            <control shapeId="1038" r:id="rId9" name="Check Box 14">
              <controlPr defaultSize="0" autoFill="0" autoLine="0" autoPict="0">
                <anchor moveWithCells="1">
                  <from>
                    <xdr:col>1</xdr:col>
                    <xdr:colOff>0</xdr:colOff>
                    <xdr:row>9</xdr:row>
                    <xdr:rowOff>0</xdr:rowOff>
                  </from>
                  <to>
                    <xdr:col>1</xdr:col>
                    <xdr:colOff>2000250</xdr:colOff>
                    <xdr:row>10</xdr:row>
                    <xdr:rowOff>28575</xdr:rowOff>
                  </to>
                </anchor>
              </controlPr>
            </control>
          </mc:Choice>
        </mc:AlternateContent>
        <mc:AlternateContent xmlns:mc="http://schemas.openxmlformats.org/markup-compatibility/2006">
          <mc:Choice Requires="x14">
            <control shapeId="1041" r:id="rId10" name="Check Box 17">
              <controlPr defaultSize="0" autoFill="0" autoLine="0" autoPict="0">
                <anchor moveWithCells="1">
                  <from>
                    <xdr:col>1</xdr:col>
                    <xdr:colOff>0</xdr:colOff>
                    <xdr:row>11</xdr:row>
                    <xdr:rowOff>0</xdr:rowOff>
                  </from>
                  <to>
                    <xdr:col>1</xdr:col>
                    <xdr:colOff>2000250</xdr:colOff>
                    <xdr:row>12</xdr:row>
                    <xdr:rowOff>28575</xdr:rowOff>
                  </to>
                </anchor>
              </controlPr>
            </control>
          </mc:Choice>
        </mc:AlternateContent>
        <mc:AlternateContent xmlns:mc="http://schemas.openxmlformats.org/markup-compatibility/2006">
          <mc:Choice Requires="x14">
            <control shapeId="1042" r:id="rId11" name="Check Box 18">
              <controlPr defaultSize="0" autoFill="0" autoLine="0" autoPict="0">
                <anchor moveWithCells="1">
                  <from>
                    <xdr:col>2</xdr:col>
                    <xdr:colOff>66675</xdr:colOff>
                    <xdr:row>15</xdr:row>
                    <xdr:rowOff>0</xdr:rowOff>
                  </from>
                  <to>
                    <xdr:col>3</xdr:col>
                    <xdr:colOff>104775</xdr:colOff>
                    <xdr:row>16</xdr:row>
                    <xdr:rowOff>47625</xdr:rowOff>
                  </to>
                </anchor>
              </controlPr>
            </control>
          </mc:Choice>
        </mc:AlternateContent>
        <mc:AlternateContent xmlns:mc="http://schemas.openxmlformats.org/markup-compatibility/2006">
          <mc:Choice Requires="x14">
            <control shapeId="1043" r:id="rId12" name="Check Box 19">
              <controlPr defaultSize="0" autoFill="0" autoLine="0" autoPict="0">
                <anchor moveWithCells="1">
                  <from>
                    <xdr:col>3</xdr:col>
                    <xdr:colOff>66675</xdr:colOff>
                    <xdr:row>15</xdr:row>
                    <xdr:rowOff>0</xdr:rowOff>
                  </from>
                  <to>
                    <xdr:col>3</xdr:col>
                    <xdr:colOff>800100</xdr:colOff>
                    <xdr:row>16</xdr:row>
                    <xdr:rowOff>47625</xdr:rowOff>
                  </to>
                </anchor>
              </controlPr>
            </control>
          </mc:Choice>
        </mc:AlternateContent>
        <mc:AlternateContent xmlns:mc="http://schemas.openxmlformats.org/markup-compatibility/2006">
          <mc:Choice Requires="x14">
            <control shapeId="1045" r:id="rId13" name="Check Box 21">
              <controlPr defaultSize="0" autoFill="0" autoLine="0" autoPict="0">
                <anchor moveWithCells="1">
                  <from>
                    <xdr:col>4</xdr:col>
                    <xdr:colOff>66675</xdr:colOff>
                    <xdr:row>14</xdr:row>
                    <xdr:rowOff>152400</xdr:rowOff>
                  </from>
                  <to>
                    <xdr:col>4</xdr:col>
                    <xdr:colOff>838200</xdr:colOff>
                    <xdr:row>16</xdr:row>
                    <xdr:rowOff>38100</xdr:rowOff>
                  </to>
                </anchor>
              </controlPr>
            </control>
          </mc:Choice>
        </mc:AlternateContent>
        <mc:AlternateContent xmlns:mc="http://schemas.openxmlformats.org/markup-compatibility/2006">
          <mc:Choice Requires="x14">
            <control shapeId="1047" r:id="rId14" name="Button 23">
              <controlPr locked="0" defaultSize="0" print="0" autoFill="0" autoLine="0" autoPict="0" macro="[0]!GetPrice_Click">
                <anchor moveWithCells="1" sizeWithCells="1">
                  <from>
                    <xdr:col>1</xdr:col>
                    <xdr:colOff>2190750</xdr:colOff>
                    <xdr:row>6</xdr:row>
                    <xdr:rowOff>0</xdr:rowOff>
                  </from>
                  <to>
                    <xdr:col>1</xdr:col>
                    <xdr:colOff>3048000</xdr:colOff>
                    <xdr:row>9</xdr:row>
                    <xdr:rowOff>38100</xdr:rowOff>
                  </to>
                </anchor>
              </controlPr>
            </control>
          </mc:Choice>
        </mc:AlternateContent>
        <mc:AlternateContent xmlns:mc="http://schemas.openxmlformats.org/markup-compatibility/2006">
          <mc:Choice Requires="x14">
            <control shapeId="1050" r:id="rId15" name="Check Box 26">
              <controlPr defaultSize="0" autoFill="0" autoLine="0" autoPict="0">
                <anchor moveWithCells="1">
                  <from>
                    <xdr:col>5</xdr:col>
                    <xdr:colOff>47625</xdr:colOff>
                    <xdr:row>15</xdr:row>
                    <xdr:rowOff>0</xdr:rowOff>
                  </from>
                  <to>
                    <xdr:col>6</xdr:col>
                    <xdr:colOff>28575</xdr:colOff>
                    <xdr:row>16</xdr:row>
                    <xdr:rowOff>47625</xdr:rowOff>
                  </to>
                </anchor>
              </controlPr>
            </control>
          </mc:Choice>
        </mc:AlternateContent>
        <mc:AlternateContent xmlns:mc="http://schemas.openxmlformats.org/markup-compatibility/2006">
          <mc:Choice Requires="x14">
            <control shapeId="1052" r:id="rId16" name="Check Box 28">
              <controlPr defaultSize="0" autoFill="0" autoLine="0" autoPict="0">
                <anchor moveWithCells="1">
                  <from>
                    <xdr:col>6</xdr:col>
                    <xdr:colOff>47625</xdr:colOff>
                    <xdr:row>15</xdr:row>
                    <xdr:rowOff>0</xdr:rowOff>
                  </from>
                  <to>
                    <xdr:col>6</xdr:col>
                    <xdr:colOff>790575</xdr:colOff>
                    <xdr:row>16</xdr:row>
                    <xdr:rowOff>47625</xdr:rowOff>
                  </to>
                </anchor>
              </controlPr>
            </control>
          </mc:Choice>
        </mc:AlternateContent>
        <mc:AlternateContent xmlns:mc="http://schemas.openxmlformats.org/markup-compatibility/2006">
          <mc:Choice Requires="x14">
            <control shapeId="1053" r:id="rId17" name="Button 29">
              <controlPr locked="0" defaultSize="0" print="0" autoFill="0" autoLine="0" autoPict="0" macro="[0]!WriteTemplate_Click">
                <anchor moveWithCells="1" sizeWithCells="1">
                  <from>
                    <xdr:col>1</xdr:col>
                    <xdr:colOff>2200275</xdr:colOff>
                    <xdr:row>1</xdr:row>
                    <xdr:rowOff>171450</xdr:rowOff>
                  </from>
                  <to>
                    <xdr:col>1</xdr:col>
                    <xdr:colOff>3057525</xdr:colOff>
                    <xdr:row>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P882"/>
  <sheetViews>
    <sheetView workbookViewId="0"/>
  </sheetViews>
  <sheetFormatPr defaultColWidth="10.42578125" defaultRowHeight="12.75"/>
  <cols>
    <col min="1" max="1" width="37.42578125" style="25" customWidth="1"/>
    <col min="2" max="2" width="23.7109375" style="25" customWidth="1"/>
    <col min="3" max="3" width="16.7109375" style="25" customWidth="1"/>
    <col min="4" max="4" width="15.85546875" style="25" customWidth="1"/>
    <col min="5" max="5" width="15.28515625" style="25" customWidth="1"/>
    <col min="6" max="6" width="13" style="25" customWidth="1"/>
    <col min="7" max="16384" width="10.42578125" style="25"/>
  </cols>
  <sheetData>
    <row r="1" spans="1:16">
      <c r="A1" s="147" t="s">
        <v>1233</v>
      </c>
      <c r="B1" s="24" t="s">
        <v>1234</v>
      </c>
      <c r="C1" s="24"/>
      <c r="D1" s="24"/>
      <c r="E1" s="24"/>
    </row>
    <row r="2" spans="1:16">
      <c r="A2" s="147" t="s">
        <v>1235</v>
      </c>
      <c r="B2" s="24">
        <v>11</v>
      </c>
      <c r="C2" s="24">
        <v>69</v>
      </c>
      <c r="D2" s="24" t="s">
        <v>1236</v>
      </c>
      <c r="E2" s="24"/>
    </row>
    <row r="3" spans="1:16">
      <c r="A3" s="147" t="s">
        <v>1237</v>
      </c>
      <c r="B3" s="24">
        <v>22</v>
      </c>
      <c r="C3" s="24">
        <v>48</v>
      </c>
      <c r="D3" s="24" t="s">
        <v>1238</v>
      </c>
      <c r="E3" s="24"/>
      <c r="J3" s="24" t="s">
        <v>1239</v>
      </c>
      <c r="M3" s="24">
        <f>100-22+B3</f>
        <v>100</v>
      </c>
      <c r="P3" s="25">
        <v>2.1</v>
      </c>
    </row>
    <row r="4" spans="1:16">
      <c r="A4" s="147" t="s">
        <v>1240</v>
      </c>
      <c r="B4" s="24">
        <v>53</v>
      </c>
      <c r="C4" s="24">
        <v>243</v>
      </c>
      <c r="D4" s="24" t="s">
        <v>1244</v>
      </c>
      <c r="E4" s="24"/>
      <c r="J4" s="24" t="s">
        <v>1239</v>
      </c>
      <c r="M4" s="24">
        <v>131</v>
      </c>
    </row>
    <row r="5" spans="1:16">
      <c r="A5" s="147" t="s">
        <v>1245</v>
      </c>
      <c r="B5" s="24">
        <v>247</v>
      </c>
      <c r="C5" s="24">
        <v>279</v>
      </c>
      <c r="D5" s="24" t="s">
        <v>1246</v>
      </c>
      <c r="E5" s="24"/>
      <c r="J5" s="24" t="s">
        <v>1239</v>
      </c>
      <c r="M5" s="24">
        <f>100-22+B5</f>
        <v>325</v>
      </c>
    </row>
    <row r="6" spans="1:16">
      <c r="A6" s="147" t="s">
        <v>1247</v>
      </c>
      <c r="B6" s="24">
        <v>284</v>
      </c>
      <c r="C6" s="24">
        <v>347</v>
      </c>
      <c r="D6" s="24" t="s">
        <v>1248</v>
      </c>
      <c r="E6" s="24"/>
      <c r="J6" s="24" t="s">
        <v>1239</v>
      </c>
      <c r="M6" s="24">
        <f>100-22+B6</f>
        <v>362</v>
      </c>
    </row>
    <row r="7" spans="1:16">
      <c r="A7" s="147" t="s">
        <v>1250</v>
      </c>
      <c r="B7" s="24">
        <v>354</v>
      </c>
      <c r="C7" s="24">
        <v>417</v>
      </c>
      <c r="D7" s="24" t="s">
        <v>1252</v>
      </c>
      <c r="J7" s="24" t="s">
        <v>1239</v>
      </c>
      <c r="M7" s="24">
        <f>100-22+B7</f>
        <v>432</v>
      </c>
    </row>
    <row r="9" spans="1:16" ht="13.5" thickBot="1">
      <c r="A9" s="26" t="s">
        <v>1253</v>
      </c>
      <c r="B9" s="148"/>
      <c r="C9" s="148"/>
      <c r="D9" s="148"/>
      <c r="E9" s="148"/>
      <c r="F9" s="26"/>
      <c r="G9" s="27"/>
    </row>
    <row r="10" spans="1:16" s="30" customFormat="1">
      <c r="A10" s="28" t="s">
        <v>1254</v>
      </c>
      <c r="B10" s="28" t="s">
        <v>1255</v>
      </c>
      <c r="C10" s="28" t="s">
        <v>1256</v>
      </c>
      <c r="D10" s="28" t="s">
        <v>1257</v>
      </c>
      <c r="E10" s="28" t="s">
        <v>1258</v>
      </c>
      <c r="F10" s="28" t="s">
        <v>1259</v>
      </c>
      <c r="G10" s="29" t="s">
        <v>1260</v>
      </c>
    </row>
    <row r="11" spans="1:16">
      <c r="A11" s="24" t="s">
        <v>1011</v>
      </c>
      <c r="B11" s="24" t="s">
        <v>1261</v>
      </c>
      <c r="C11" s="24">
        <v>4</v>
      </c>
      <c r="D11" s="24">
        <v>6</v>
      </c>
      <c r="E11" s="31"/>
      <c r="F11" s="28" t="s">
        <v>1020</v>
      </c>
      <c r="G11" s="24" t="s">
        <v>1015</v>
      </c>
    </row>
    <row r="12" spans="1:16">
      <c r="A12" s="24" t="s">
        <v>1262</v>
      </c>
      <c r="B12" s="24" t="s">
        <v>1263</v>
      </c>
      <c r="C12" s="24">
        <v>6</v>
      </c>
      <c r="D12" s="24">
        <v>6</v>
      </c>
      <c r="E12" s="31"/>
      <c r="F12" s="28" t="s">
        <v>1020</v>
      </c>
      <c r="G12" s="24" t="s">
        <v>1015</v>
      </c>
    </row>
    <row r="13" spans="1:16">
      <c r="A13" s="24" t="s">
        <v>1013</v>
      </c>
      <c r="B13" s="24" t="s">
        <v>1264</v>
      </c>
      <c r="C13" s="24">
        <v>10</v>
      </c>
      <c r="D13" s="24">
        <v>6</v>
      </c>
      <c r="E13" s="31"/>
      <c r="F13" s="28" t="s">
        <v>1020</v>
      </c>
      <c r="G13" s="24" t="s">
        <v>1015</v>
      </c>
    </row>
    <row r="14" spans="1:16">
      <c r="A14" s="24" t="s">
        <v>1265</v>
      </c>
      <c r="B14" s="24"/>
      <c r="C14" s="24"/>
      <c r="D14" s="24"/>
      <c r="E14" s="32"/>
      <c r="F14" s="28" t="s">
        <v>1015</v>
      </c>
      <c r="G14" s="24" t="s">
        <v>1015</v>
      </c>
    </row>
    <row r="15" spans="1:16">
      <c r="A15" s="24" t="s">
        <v>1266</v>
      </c>
      <c r="B15" s="24" t="s">
        <v>1267</v>
      </c>
      <c r="C15" s="24">
        <v>4</v>
      </c>
      <c r="D15" s="24">
        <v>7</v>
      </c>
      <c r="E15" s="31"/>
      <c r="F15" s="28" t="s">
        <v>1020</v>
      </c>
      <c r="G15" s="24" t="s">
        <v>1015</v>
      </c>
    </row>
    <row r="16" spans="1:16">
      <c r="A16" s="24" t="s">
        <v>1269</v>
      </c>
      <c r="B16" s="24" t="s">
        <v>1270</v>
      </c>
      <c r="C16" s="24">
        <v>6</v>
      </c>
      <c r="D16" s="24">
        <v>7</v>
      </c>
      <c r="E16" s="31"/>
      <c r="F16" s="28" t="s">
        <v>1020</v>
      </c>
      <c r="G16" s="24" t="s">
        <v>1015</v>
      </c>
    </row>
    <row r="17" spans="1:7">
      <c r="A17" s="24" t="s">
        <v>1271</v>
      </c>
      <c r="B17" s="24" t="s">
        <v>1272</v>
      </c>
      <c r="C17" s="24">
        <v>4</v>
      </c>
      <c r="D17" s="24">
        <v>8</v>
      </c>
      <c r="E17" s="31"/>
      <c r="F17" s="28" t="s">
        <v>1020</v>
      </c>
      <c r="G17" s="24" t="s">
        <v>1015</v>
      </c>
    </row>
    <row r="18" spans="1:7">
      <c r="A18" s="24" t="s">
        <v>1273</v>
      </c>
      <c r="B18" s="24" t="s">
        <v>1274</v>
      </c>
      <c r="C18" s="24">
        <v>4</v>
      </c>
      <c r="D18" s="24">
        <v>9</v>
      </c>
      <c r="E18" s="31"/>
      <c r="F18" s="28" t="s">
        <v>1020</v>
      </c>
      <c r="G18" s="24" t="s">
        <v>1015</v>
      </c>
    </row>
    <row r="19" spans="1:7">
      <c r="A19" s="24" t="s">
        <v>1275</v>
      </c>
      <c r="B19" s="24" t="s">
        <v>1276</v>
      </c>
      <c r="C19" s="24">
        <v>10</v>
      </c>
      <c r="D19" s="24">
        <v>9</v>
      </c>
      <c r="E19" s="31"/>
      <c r="F19" s="28" t="s">
        <v>1015</v>
      </c>
      <c r="G19" s="24">
        <v>0.01</v>
      </c>
    </row>
    <row r="20" spans="1:7">
      <c r="A20" s="24" t="s">
        <v>1277</v>
      </c>
      <c r="B20" s="24" t="s">
        <v>1278</v>
      </c>
      <c r="C20" s="24">
        <v>10</v>
      </c>
      <c r="D20" s="24">
        <v>10</v>
      </c>
      <c r="E20" s="32"/>
      <c r="F20" s="28" t="s">
        <v>1015</v>
      </c>
      <c r="G20" s="24" t="s">
        <v>1015</v>
      </c>
    </row>
    <row r="21" spans="1:7">
      <c r="A21" s="24" t="s">
        <v>1279</v>
      </c>
      <c r="B21" s="24" t="s">
        <v>1280</v>
      </c>
      <c r="C21" s="24">
        <v>10</v>
      </c>
      <c r="D21" s="24">
        <v>11</v>
      </c>
      <c r="E21" s="31"/>
      <c r="F21" s="28" t="s">
        <v>1015</v>
      </c>
      <c r="G21" s="24" t="s">
        <v>1015</v>
      </c>
    </row>
    <row r="22" spans="1:7">
      <c r="A22" s="24" t="s">
        <v>1281</v>
      </c>
      <c r="B22" s="24" t="s">
        <v>1282</v>
      </c>
      <c r="C22" s="24">
        <v>10</v>
      </c>
      <c r="D22" s="24">
        <v>12</v>
      </c>
      <c r="E22" s="31"/>
      <c r="F22" s="28" t="s">
        <v>1015</v>
      </c>
      <c r="G22" s="24" t="s">
        <v>1015</v>
      </c>
    </row>
    <row r="23" spans="1:7">
      <c r="A23" s="24" t="s">
        <v>1283</v>
      </c>
      <c r="B23" s="24" t="s">
        <v>1284</v>
      </c>
      <c r="C23" s="24">
        <v>10</v>
      </c>
      <c r="D23" s="24">
        <v>14</v>
      </c>
      <c r="E23" s="31"/>
      <c r="F23" s="28" t="s">
        <v>1015</v>
      </c>
      <c r="G23" s="24">
        <v>0.01</v>
      </c>
    </row>
    <row r="24" spans="1:7">
      <c r="A24" s="24" t="s">
        <v>1285</v>
      </c>
      <c r="B24" s="24" t="s">
        <v>1286</v>
      </c>
      <c r="C24" s="24">
        <v>10</v>
      </c>
      <c r="D24" s="24">
        <v>15</v>
      </c>
      <c r="E24" s="32"/>
      <c r="F24" s="28" t="s">
        <v>1015</v>
      </c>
      <c r="G24" s="24" t="s">
        <v>1015</v>
      </c>
    </row>
    <row r="25" spans="1:7">
      <c r="A25" s="24" t="s">
        <v>1287</v>
      </c>
      <c r="B25" s="24" t="s">
        <v>1288</v>
      </c>
      <c r="C25" s="24">
        <v>10</v>
      </c>
      <c r="D25" s="24">
        <v>16</v>
      </c>
      <c r="E25" s="31"/>
      <c r="F25" s="28" t="s">
        <v>1015</v>
      </c>
      <c r="G25" s="24" t="s">
        <v>1015</v>
      </c>
    </row>
    <row r="26" spans="1:7">
      <c r="A26" s="24" t="s">
        <v>1289</v>
      </c>
      <c r="B26" s="24" t="s">
        <v>1290</v>
      </c>
      <c r="C26" s="24">
        <v>10</v>
      </c>
      <c r="D26" s="24">
        <v>17</v>
      </c>
      <c r="E26" s="31"/>
      <c r="F26" s="28" t="s">
        <v>1015</v>
      </c>
      <c r="G26" s="24" t="s">
        <v>1015</v>
      </c>
    </row>
    <row r="27" spans="1:7">
      <c r="A27" s="24" t="s">
        <v>1291</v>
      </c>
      <c r="B27" s="24" t="s">
        <v>1292</v>
      </c>
      <c r="C27" s="24">
        <v>10</v>
      </c>
      <c r="D27" s="24">
        <v>13</v>
      </c>
      <c r="E27" s="32"/>
      <c r="F27" s="28" t="s">
        <v>1015</v>
      </c>
      <c r="G27" s="24" t="s">
        <v>1015</v>
      </c>
    </row>
    <row r="28" spans="1:7">
      <c r="A28" s="33" t="s">
        <v>1293</v>
      </c>
      <c r="B28" s="33" t="s">
        <v>1294</v>
      </c>
      <c r="C28" s="24">
        <v>10</v>
      </c>
      <c r="D28" s="33">
        <v>18</v>
      </c>
      <c r="E28" s="32"/>
      <c r="F28" s="34" t="s">
        <v>1015</v>
      </c>
      <c r="G28" s="24" t="s">
        <v>1015</v>
      </c>
    </row>
    <row r="29" spans="1:7">
      <c r="A29" s="33" t="s">
        <v>1049</v>
      </c>
      <c r="B29" s="33" t="s">
        <v>1295</v>
      </c>
      <c r="C29" s="24">
        <v>10</v>
      </c>
      <c r="D29" s="33">
        <v>24</v>
      </c>
      <c r="E29" s="32"/>
      <c r="F29" s="34" t="s">
        <v>1015</v>
      </c>
      <c r="G29" s="24" t="s">
        <v>1015</v>
      </c>
    </row>
    <row r="30" spans="1:7">
      <c r="A30" s="33" t="s">
        <v>1296</v>
      </c>
      <c r="B30" s="33" t="s">
        <v>1297</v>
      </c>
      <c r="C30" s="24">
        <v>10</v>
      </c>
      <c r="D30" s="33">
        <v>7</v>
      </c>
      <c r="E30" s="31"/>
      <c r="F30" s="34" t="s">
        <v>1020</v>
      </c>
      <c r="G30" s="24" t="s">
        <v>1015</v>
      </c>
    </row>
    <row r="31" spans="1:7">
      <c r="A31" s="33" t="s">
        <v>1298</v>
      </c>
      <c r="B31" s="33" t="s">
        <v>1299</v>
      </c>
      <c r="C31" s="24">
        <v>10</v>
      </c>
      <c r="D31" s="33">
        <v>26</v>
      </c>
      <c r="E31" s="31"/>
      <c r="F31" s="34" t="s">
        <v>1015</v>
      </c>
      <c r="G31" s="24" t="s">
        <v>1015</v>
      </c>
    </row>
    <row r="32" spans="1:7">
      <c r="A32" s="33" t="s">
        <v>1300</v>
      </c>
      <c r="B32" s="33" t="s">
        <v>1301</v>
      </c>
      <c r="C32" s="24">
        <v>10</v>
      </c>
      <c r="D32" s="33">
        <v>27</v>
      </c>
      <c r="E32" s="31"/>
      <c r="F32" s="34" t="s">
        <v>1015</v>
      </c>
      <c r="G32" s="24" t="s">
        <v>1015</v>
      </c>
    </row>
    <row r="33" spans="1:7">
      <c r="A33" s="33" t="s">
        <v>1302</v>
      </c>
      <c r="B33" s="33" t="s">
        <v>1303</v>
      </c>
      <c r="C33" s="24">
        <v>10</v>
      </c>
      <c r="D33" s="33">
        <v>28</v>
      </c>
      <c r="E33" s="31"/>
      <c r="F33" s="34" t="s">
        <v>1015</v>
      </c>
      <c r="G33" s="24" t="s">
        <v>1015</v>
      </c>
    </row>
    <row r="34" spans="1:7">
      <c r="A34" s="33" t="s">
        <v>1304</v>
      </c>
      <c r="B34" s="33" t="s">
        <v>1305</v>
      </c>
      <c r="C34" s="24">
        <v>10</v>
      </c>
      <c r="D34" s="33">
        <v>29</v>
      </c>
      <c r="E34" s="31"/>
      <c r="F34" s="34" t="s">
        <v>1015</v>
      </c>
      <c r="G34" s="24" t="s">
        <v>1015</v>
      </c>
    </row>
    <row r="35" spans="1:7">
      <c r="A35" s="33" t="s">
        <v>1306</v>
      </c>
      <c r="B35" s="33" t="s">
        <v>1307</v>
      </c>
      <c r="C35" s="24">
        <v>10</v>
      </c>
      <c r="D35" s="33">
        <v>30</v>
      </c>
      <c r="E35" s="31"/>
      <c r="F35" s="34" t="s">
        <v>1015</v>
      </c>
      <c r="G35" s="24" t="s">
        <v>1015</v>
      </c>
    </row>
    <row r="36" spans="1:7">
      <c r="A36" s="33" t="s">
        <v>1059</v>
      </c>
      <c r="B36" s="33" t="s">
        <v>1309</v>
      </c>
      <c r="C36" s="24">
        <v>10</v>
      </c>
      <c r="D36" s="33">
        <v>32</v>
      </c>
      <c r="E36" s="31"/>
      <c r="F36" s="34" t="s">
        <v>1015</v>
      </c>
      <c r="G36" s="24" t="s">
        <v>1015</v>
      </c>
    </row>
    <row r="37" spans="1:7">
      <c r="A37" s="33" t="s">
        <v>1061</v>
      </c>
      <c r="B37" s="33" t="s">
        <v>1310</v>
      </c>
      <c r="C37" s="24">
        <v>10</v>
      </c>
      <c r="D37" s="33">
        <v>33</v>
      </c>
      <c r="E37" s="31"/>
      <c r="F37" s="34" t="s">
        <v>1015</v>
      </c>
      <c r="G37" s="24" t="s">
        <v>1015</v>
      </c>
    </row>
    <row r="38" spans="1:7">
      <c r="A38" s="33" t="s">
        <v>1063</v>
      </c>
      <c r="B38" s="33" t="s">
        <v>1311</v>
      </c>
      <c r="C38" s="24">
        <v>10</v>
      </c>
      <c r="D38" s="33">
        <v>34</v>
      </c>
      <c r="E38" s="31"/>
      <c r="F38" s="34" t="s">
        <v>1015</v>
      </c>
      <c r="G38" s="24" t="s">
        <v>1015</v>
      </c>
    </row>
    <row r="39" spans="1:7">
      <c r="A39" s="33" t="s">
        <v>1312</v>
      </c>
      <c r="B39" s="33" t="s">
        <v>1313</v>
      </c>
      <c r="C39" s="24">
        <v>13</v>
      </c>
      <c r="D39" s="33">
        <v>6</v>
      </c>
      <c r="E39" s="35"/>
      <c r="F39" s="34" t="s">
        <v>1020</v>
      </c>
      <c r="G39" s="24" t="s">
        <v>1015</v>
      </c>
    </row>
    <row r="40" spans="1:7">
      <c r="A40" s="33" t="s">
        <v>1314</v>
      </c>
      <c r="B40" s="33" t="s">
        <v>1315</v>
      </c>
      <c r="C40" s="24">
        <v>13</v>
      </c>
      <c r="D40" s="33">
        <v>7</v>
      </c>
      <c r="E40" s="35"/>
      <c r="F40" s="34" t="s">
        <v>1020</v>
      </c>
      <c r="G40" s="24" t="s">
        <v>1015</v>
      </c>
    </row>
    <row r="41" spans="1:7">
      <c r="A41" s="33" t="s">
        <v>1316</v>
      </c>
      <c r="B41" s="33" t="s">
        <v>1317</v>
      </c>
      <c r="C41" s="24">
        <v>13</v>
      </c>
      <c r="D41" s="33">
        <v>8</v>
      </c>
      <c r="E41" s="35"/>
      <c r="F41" s="34" t="s">
        <v>1020</v>
      </c>
      <c r="G41" s="24" t="s">
        <v>1015</v>
      </c>
    </row>
    <row r="42" spans="1:7">
      <c r="A42" s="33" t="s">
        <v>1318</v>
      </c>
      <c r="B42" s="33" t="s">
        <v>1319</v>
      </c>
      <c r="C42" s="24">
        <v>10</v>
      </c>
      <c r="D42" s="33">
        <v>19</v>
      </c>
      <c r="E42" s="35"/>
      <c r="F42" s="34" t="s">
        <v>1015</v>
      </c>
      <c r="G42" s="24" t="s">
        <v>1015</v>
      </c>
    </row>
    <row r="43" spans="1:7">
      <c r="A43" s="33" t="s">
        <v>1320</v>
      </c>
      <c r="B43" s="33" t="s">
        <v>1321</v>
      </c>
      <c r="C43" s="24">
        <v>10</v>
      </c>
      <c r="D43" s="33">
        <v>20</v>
      </c>
      <c r="E43" s="35"/>
      <c r="F43" s="34" t="s">
        <v>1020</v>
      </c>
      <c r="G43" s="24" t="s">
        <v>1015</v>
      </c>
    </row>
    <row r="44" spans="1:7">
      <c r="A44" s="24" t="s">
        <v>1047</v>
      </c>
      <c r="B44" s="24" t="s">
        <v>1322</v>
      </c>
      <c r="C44" s="24">
        <v>10</v>
      </c>
      <c r="D44" s="24">
        <v>21</v>
      </c>
      <c r="E44" s="35"/>
      <c r="F44" s="28" t="s">
        <v>1015</v>
      </c>
      <c r="G44" s="24" t="s">
        <v>1015</v>
      </c>
    </row>
    <row r="45" spans="1:7">
      <c r="A45" s="24" t="s">
        <v>1048</v>
      </c>
      <c r="B45" s="24" t="s">
        <v>1323</v>
      </c>
      <c r="C45" s="24">
        <v>10</v>
      </c>
      <c r="D45" s="24">
        <v>22</v>
      </c>
      <c r="E45" s="35"/>
      <c r="F45" s="28" t="s">
        <v>1015</v>
      </c>
      <c r="G45" s="24" t="s">
        <v>1015</v>
      </c>
    </row>
    <row r="46" spans="1:7" s="24" customFormat="1" ht="11.25">
      <c r="A46" s="24" t="s">
        <v>1324</v>
      </c>
      <c r="B46" s="24" t="s">
        <v>1325</v>
      </c>
      <c r="C46" s="24">
        <v>6</v>
      </c>
      <c r="D46" s="24">
        <v>11</v>
      </c>
      <c r="E46" s="36"/>
      <c r="F46" s="28" t="s">
        <v>1020</v>
      </c>
      <c r="G46" s="24" t="s">
        <v>1015</v>
      </c>
    </row>
    <row r="47" spans="1:7" s="24" customFormat="1" ht="11.25">
      <c r="A47" s="24" t="s">
        <v>1069</v>
      </c>
      <c r="B47" s="24" t="s">
        <v>1326</v>
      </c>
      <c r="C47" s="24">
        <v>10</v>
      </c>
      <c r="D47" s="24">
        <v>38</v>
      </c>
      <c r="E47" s="31"/>
      <c r="F47" s="28" t="s">
        <v>1015</v>
      </c>
      <c r="G47" s="24">
        <v>0.01</v>
      </c>
    </row>
    <row r="48" spans="1:7" s="24" customFormat="1" ht="11.25">
      <c r="A48" s="24" t="s">
        <v>1071</v>
      </c>
      <c r="B48" s="24" t="s">
        <v>1327</v>
      </c>
      <c r="C48" s="24">
        <v>10</v>
      </c>
      <c r="D48" s="24">
        <v>39</v>
      </c>
      <c r="E48" s="31"/>
      <c r="F48" s="28" t="s">
        <v>1015</v>
      </c>
      <c r="G48" s="24">
        <v>0.01</v>
      </c>
    </row>
    <row r="49" spans="1:7" s="24" customFormat="1" ht="11.25">
      <c r="A49" s="24" t="s">
        <v>1328</v>
      </c>
      <c r="B49" s="24" t="s">
        <v>1329</v>
      </c>
      <c r="C49" s="24">
        <v>10</v>
      </c>
      <c r="D49" s="24">
        <v>40</v>
      </c>
      <c r="E49" s="31"/>
      <c r="F49" s="28" t="s">
        <v>1015</v>
      </c>
      <c r="G49" s="24" t="s">
        <v>1015</v>
      </c>
    </row>
    <row r="50" spans="1:7" s="24" customFormat="1" ht="11.25">
      <c r="A50" s="24" t="s">
        <v>1330</v>
      </c>
      <c r="B50" s="24" t="s">
        <v>1331</v>
      </c>
      <c r="C50" s="24">
        <v>10</v>
      </c>
      <c r="D50" s="24">
        <v>41</v>
      </c>
      <c r="E50" s="31"/>
      <c r="F50" s="28" t="s">
        <v>1015</v>
      </c>
      <c r="G50" s="24" t="s">
        <v>1015</v>
      </c>
    </row>
    <row r="51" spans="1:7" s="24" customFormat="1" ht="11.25">
      <c r="A51" s="24" t="s">
        <v>1332</v>
      </c>
      <c r="B51" s="24" t="s">
        <v>1333</v>
      </c>
      <c r="C51" s="24">
        <v>10</v>
      </c>
      <c r="D51" s="24">
        <v>42</v>
      </c>
      <c r="E51" s="31"/>
      <c r="F51" s="28" t="s">
        <v>1015</v>
      </c>
      <c r="G51" s="24" t="s">
        <v>1015</v>
      </c>
    </row>
    <row r="52" spans="1:7" s="24" customFormat="1" ht="11.25">
      <c r="A52" s="24" t="s">
        <v>1334</v>
      </c>
      <c r="B52" s="24" t="s">
        <v>1335</v>
      </c>
      <c r="C52" s="24">
        <v>10</v>
      </c>
      <c r="D52" s="24">
        <v>43</v>
      </c>
      <c r="E52" s="31"/>
      <c r="F52" s="28" t="s">
        <v>1015</v>
      </c>
      <c r="G52" s="24" t="s">
        <v>1015</v>
      </c>
    </row>
    <row r="53" spans="1:7" s="24" customFormat="1" ht="11.25">
      <c r="A53" s="24" t="s">
        <v>1336</v>
      </c>
      <c r="B53" s="24" t="s">
        <v>1339</v>
      </c>
      <c r="C53" s="24">
        <v>10</v>
      </c>
      <c r="D53" s="24">
        <v>44</v>
      </c>
      <c r="E53" s="31"/>
      <c r="F53" s="28" t="s">
        <v>1015</v>
      </c>
      <c r="G53" s="24" t="s">
        <v>1015</v>
      </c>
    </row>
    <row r="54" spans="1:7" s="24" customFormat="1" ht="11.25">
      <c r="A54" s="24" t="s">
        <v>1340</v>
      </c>
      <c r="B54" s="24" t="s">
        <v>1341</v>
      </c>
      <c r="C54" s="24">
        <v>10</v>
      </c>
      <c r="D54" s="24">
        <v>45</v>
      </c>
      <c r="E54" s="31"/>
      <c r="F54" s="28" t="s">
        <v>1015</v>
      </c>
      <c r="G54" s="24" t="s">
        <v>1015</v>
      </c>
    </row>
    <row r="55" spans="1:7" s="24" customFormat="1" ht="11.25">
      <c r="A55" s="24" t="s">
        <v>1342</v>
      </c>
      <c r="B55" s="24" t="s">
        <v>1343</v>
      </c>
      <c r="C55" s="24">
        <v>10</v>
      </c>
      <c r="D55" s="24">
        <v>46</v>
      </c>
      <c r="E55" s="31"/>
      <c r="F55" s="28" t="s">
        <v>1015</v>
      </c>
      <c r="G55" s="24" t="s">
        <v>1015</v>
      </c>
    </row>
    <row r="56" spans="1:7" s="24" customFormat="1" ht="11.25">
      <c r="A56" s="24" t="s">
        <v>1344</v>
      </c>
      <c r="B56" s="24" t="s">
        <v>1345</v>
      </c>
      <c r="C56" s="24">
        <v>10</v>
      </c>
      <c r="D56" s="24">
        <v>47</v>
      </c>
      <c r="E56" s="31"/>
      <c r="F56" s="28" t="s">
        <v>1015</v>
      </c>
      <c r="G56" s="24" t="s">
        <v>1015</v>
      </c>
    </row>
    <row r="57" spans="1:7" s="24" customFormat="1" ht="11.25">
      <c r="A57" s="24" t="s">
        <v>1346</v>
      </c>
      <c r="B57" s="24" t="s">
        <v>1347</v>
      </c>
      <c r="C57" s="24">
        <v>10</v>
      </c>
      <c r="D57" s="24">
        <v>48</v>
      </c>
      <c r="E57" s="31"/>
      <c r="F57" s="28" t="s">
        <v>1015</v>
      </c>
      <c r="G57" s="24" t="s">
        <v>1015</v>
      </c>
    </row>
    <row r="58" spans="1:7" s="24" customFormat="1" ht="11.25">
      <c r="A58" s="24" t="s">
        <v>1348</v>
      </c>
      <c r="B58" s="24" t="s">
        <v>1349</v>
      </c>
      <c r="C58" s="24">
        <v>10</v>
      </c>
      <c r="D58" s="24">
        <v>49</v>
      </c>
      <c r="E58" s="31"/>
      <c r="F58" s="28" t="s">
        <v>1015</v>
      </c>
      <c r="G58" s="24">
        <v>1000000</v>
      </c>
    </row>
    <row r="59" spans="1:7" s="24" customFormat="1" ht="11.25">
      <c r="A59" s="24" t="s">
        <v>1350</v>
      </c>
      <c r="B59" s="24" t="s">
        <v>1351</v>
      </c>
      <c r="C59" s="24">
        <v>10</v>
      </c>
      <c r="D59" s="24">
        <v>50</v>
      </c>
      <c r="E59" s="31"/>
      <c r="F59" s="28" t="s">
        <v>1015</v>
      </c>
      <c r="G59" s="24">
        <v>1000000</v>
      </c>
    </row>
    <row r="60" spans="1:7" s="24" customFormat="1" ht="11.25">
      <c r="A60" s="24" t="s">
        <v>1352</v>
      </c>
      <c r="B60" s="24" t="s">
        <v>1353</v>
      </c>
      <c r="C60" s="24">
        <v>10</v>
      </c>
      <c r="D60" s="24">
        <v>51</v>
      </c>
      <c r="E60" s="31"/>
      <c r="F60" s="28" t="s">
        <v>1015</v>
      </c>
      <c r="G60" s="24">
        <v>1000000</v>
      </c>
    </row>
    <row r="61" spans="1:7" s="24" customFormat="1" ht="11.25">
      <c r="A61" s="24" t="s">
        <v>1090</v>
      </c>
      <c r="B61" s="24" t="s">
        <v>1354</v>
      </c>
      <c r="C61" s="24">
        <v>10</v>
      </c>
      <c r="D61" s="24">
        <v>52</v>
      </c>
      <c r="E61" s="28"/>
      <c r="F61" s="28" t="s">
        <v>1015</v>
      </c>
      <c r="G61" s="24" t="s">
        <v>1015</v>
      </c>
    </row>
    <row r="62" spans="1:7" s="24" customFormat="1" ht="11.25">
      <c r="A62" s="24" t="s">
        <v>1092</v>
      </c>
      <c r="B62" s="24" t="s">
        <v>1355</v>
      </c>
      <c r="C62" s="24">
        <v>10</v>
      </c>
      <c r="D62" s="24">
        <v>53</v>
      </c>
      <c r="E62" s="28"/>
      <c r="F62" s="28" t="s">
        <v>1015</v>
      </c>
      <c r="G62" s="24" t="s">
        <v>1015</v>
      </c>
    </row>
    <row r="63" spans="1:7" s="24" customFormat="1">
      <c r="A63" s="25" t="s">
        <v>1094</v>
      </c>
      <c r="B63" s="25" t="s">
        <v>1356</v>
      </c>
      <c r="C63" s="24">
        <v>10</v>
      </c>
      <c r="D63" s="24">
        <v>54</v>
      </c>
      <c r="E63" s="28"/>
      <c r="F63" s="28" t="s">
        <v>1015</v>
      </c>
      <c r="G63" s="24" t="s">
        <v>1015</v>
      </c>
    </row>
    <row r="64" spans="1:7" s="24" customFormat="1">
      <c r="A64" s="25" t="s">
        <v>1357</v>
      </c>
      <c r="B64" s="25" t="s">
        <v>1358</v>
      </c>
      <c r="C64" s="24">
        <v>10</v>
      </c>
      <c r="D64" s="24">
        <v>55</v>
      </c>
      <c r="E64" s="28"/>
      <c r="F64" s="28" t="s">
        <v>1015</v>
      </c>
      <c r="G64" s="24" t="s">
        <v>1015</v>
      </c>
    </row>
    <row r="65" spans="1:7" s="24" customFormat="1">
      <c r="A65" s="149" t="s">
        <v>1469</v>
      </c>
      <c r="B65" s="149" t="s">
        <v>1469</v>
      </c>
      <c r="C65" s="24">
        <v>4</v>
      </c>
      <c r="D65" s="24">
        <v>11</v>
      </c>
      <c r="E65" s="28"/>
      <c r="F65" s="28" t="s">
        <v>1015</v>
      </c>
      <c r="G65" s="24" t="s">
        <v>1015</v>
      </c>
    </row>
    <row r="66" spans="1:7" s="24" customFormat="1">
      <c r="A66" s="149" t="s">
        <v>20</v>
      </c>
      <c r="B66" s="25" t="s">
        <v>21</v>
      </c>
      <c r="C66" s="24">
        <v>4</v>
      </c>
      <c r="D66" s="24">
        <v>12</v>
      </c>
      <c r="E66" s="28"/>
      <c r="F66" s="28" t="s">
        <v>1020</v>
      </c>
      <c r="G66" s="24" t="s">
        <v>1015</v>
      </c>
    </row>
    <row r="67" spans="1:7" s="24" customFormat="1">
      <c r="A67" s="160" t="s">
        <v>482</v>
      </c>
      <c r="B67" s="25" t="s">
        <v>483</v>
      </c>
      <c r="C67" s="24">
        <v>6</v>
      </c>
      <c r="D67" s="24">
        <v>12</v>
      </c>
      <c r="E67" s="28"/>
      <c r="F67" s="28" t="s">
        <v>1015</v>
      </c>
      <c r="G67" s="24" t="s">
        <v>1015</v>
      </c>
    </row>
    <row r="68" spans="1:7" s="24" customFormat="1">
      <c r="A68" t="s">
        <v>478</v>
      </c>
      <c r="B68" t="s">
        <v>478</v>
      </c>
      <c r="C68" s="24">
        <v>10</v>
      </c>
      <c r="D68" s="24">
        <v>56</v>
      </c>
      <c r="E68"/>
      <c r="F68" s="28" t="s">
        <v>1015</v>
      </c>
      <c r="G68" s="164" t="s">
        <v>1015</v>
      </c>
    </row>
    <row r="69" spans="1:7" s="24" customFormat="1">
      <c r="A69" t="s">
        <v>793</v>
      </c>
      <c r="B69" t="s">
        <v>793</v>
      </c>
      <c r="C69" s="24">
        <v>10</v>
      </c>
      <c r="D69" s="24">
        <v>57</v>
      </c>
      <c r="E69"/>
      <c r="F69" s="28" t="s">
        <v>1015</v>
      </c>
      <c r="G69" s="164" t="s">
        <v>1015</v>
      </c>
    </row>
    <row r="70" spans="1:7" s="24" customFormat="1" ht="11.25">
      <c r="E70" s="28"/>
      <c r="F70" s="28"/>
    </row>
    <row r="71" spans="1:7" s="24" customFormat="1" ht="11.25">
      <c r="E71" s="28"/>
      <c r="F71" s="28"/>
    </row>
    <row r="72" spans="1:7" s="24" customFormat="1" ht="11.25">
      <c r="E72" s="28"/>
      <c r="F72" s="28"/>
    </row>
    <row r="73" spans="1:7" s="24" customFormat="1" ht="11.25">
      <c r="E73" s="28"/>
      <c r="F73" s="28"/>
    </row>
    <row r="74" spans="1:7" s="24" customFormat="1" ht="11.25">
      <c r="E74" s="28"/>
      <c r="F74" s="28"/>
    </row>
    <row r="75" spans="1:7" s="24" customFormat="1" ht="11.25">
      <c r="E75" s="28"/>
      <c r="F75" s="28"/>
    </row>
    <row r="76" spans="1:7" s="24" customFormat="1" ht="11.25">
      <c r="E76" s="28"/>
      <c r="F76" s="28"/>
    </row>
    <row r="77" spans="1:7" s="24" customFormat="1" ht="11.25">
      <c r="E77" s="28"/>
      <c r="F77" s="28"/>
    </row>
    <row r="78" spans="1:7" s="24" customFormat="1" ht="11.25">
      <c r="E78" s="28"/>
      <c r="F78" s="28"/>
    </row>
    <row r="79" spans="1:7" s="24" customFormat="1" ht="11.25">
      <c r="E79" s="28"/>
      <c r="F79" s="28"/>
    </row>
    <row r="80" spans="1:7" s="24" customFormat="1" ht="11.25">
      <c r="E80" s="28"/>
      <c r="F80" s="28"/>
    </row>
    <row r="81" spans="1:6" s="24" customFormat="1" ht="11.25">
      <c r="E81" s="28"/>
      <c r="F81" s="28"/>
    </row>
    <row r="82" spans="1:6" s="24" customFormat="1" ht="11.25">
      <c r="E82" s="28"/>
      <c r="F82" s="28"/>
    </row>
    <row r="83" spans="1:6" s="24" customFormat="1" ht="11.25">
      <c r="E83" s="28"/>
      <c r="F83" s="28"/>
    </row>
    <row r="84" spans="1:6" s="24" customFormat="1" ht="11.25">
      <c r="E84" s="28"/>
      <c r="F84" s="28"/>
    </row>
    <row r="85" spans="1:6" s="24" customFormat="1" ht="11.25">
      <c r="E85" s="28"/>
      <c r="F85" s="28"/>
    </row>
    <row r="86" spans="1:6" s="24" customFormat="1" ht="11.25">
      <c r="E86" s="28"/>
      <c r="F86" s="28"/>
    </row>
    <row r="87" spans="1:6" s="24" customFormat="1" ht="11.25">
      <c r="E87" s="28"/>
      <c r="F87" s="28"/>
    </row>
    <row r="88" spans="1:6" s="24" customFormat="1" ht="11.25">
      <c r="E88" s="28"/>
      <c r="F88" s="28"/>
    </row>
    <row r="89" spans="1:6" s="24" customFormat="1" ht="11.25">
      <c r="E89" s="28"/>
      <c r="F89" s="28"/>
    </row>
    <row r="90" spans="1:6" s="24" customFormat="1" ht="11.25">
      <c r="E90" s="28"/>
      <c r="F90" s="28"/>
    </row>
    <row r="91" spans="1:6" s="24" customFormat="1" ht="11.25">
      <c r="E91" s="28"/>
      <c r="F91" s="28"/>
    </row>
    <row r="92" spans="1:6" s="24" customFormat="1" ht="11.25">
      <c r="E92" s="28"/>
      <c r="F92" s="28"/>
    </row>
    <row r="93" spans="1:6" s="24" customFormat="1" ht="11.25">
      <c r="E93" s="28"/>
      <c r="F93" s="28"/>
    </row>
    <row r="95" spans="1:6">
      <c r="A95" s="25" t="s">
        <v>1360</v>
      </c>
    </row>
    <row r="96" spans="1:6">
      <c r="A96" s="25" t="s">
        <v>1361</v>
      </c>
    </row>
    <row r="97" spans="1:4">
      <c r="A97" s="25" t="s">
        <v>1362</v>
      </c>
    </row>
    <row r="98" spans="1:4" ht="13.5" thickBot="1">
      <c r="A98" s="26" t="s">
        <v>1363</v>
      </c>
      <c r="B98" s="26"/>
      <c r="C98" s="26"/>
      <c r="D98" s="26"/>
    </row>
    <row r="99" spans="1:4">
      <c r="A99" s="28" t="s">
        <v>1364</v>
      </c>
      <c r="B99" s="37" t="s">
        <v>1365</v>
      </c>
      <c r="C99" s="37" t="s">
        <v>1366</v>
      </c>
      <c r="D99" s="37" t="s">
        <v>1367</v>
      </c>
    </row>
    <row r="100" spans="1:4">
      <c r="A100" s="38" t="s">
        <v>1368</v>
      </c>
      <c r="B100" s="150">
        <v>1000000</v>
      </c>
      <c r="C100" s="150">
        <v>999999999999.98999</v>
      </c>
      <c r="D100" s="151" t="s">
        <v>1020</v>
      </c>
    </row>
    <row r="101" spans="1:4">
      <c r="A101" s="38" t="s">
        <v>22</v>
      </c>
      <c r="B101" s="41">
        <v>1000000</v>
      </c>
      <c r="C101" s="39">
        <v>999999999999.98999</v>
      </c>
      <c r="D101" s="42" t="s">
        <v>1020</v>
      </c>
    </row>
    <row r="102" spans="1:4">
      <c r="A102" s="38" t="s">
        <v>1369</v>
      </c>
      <c r="B102" s="150">
        <v>0.01</v>
      </c>
      <c r="C102" s="150">
        <v>99999.99</v>
      </c>
      <c r="D102" s="151" t="s">
        <v>1020</v>
      </c>
    </row>
    <row r="103" spans="1:4">
      <c r="A103" s="38" t="s">
        <v>23</v>
      </c>
      <c r="B103" s="39">
        <v>0.01</v>
      </c>
      <c r="C103" s="39">
        <v>99999.99</v>
      </c>
      <c r="D103" s="40" t="s">
        <v>1020</v>
      </c>
    </row>
    <row r="104" spans="1:4">
      <c r="A104" s="38" t="s">
        <v>24</v>
      </c>
      <c r="B104" s="39">
        <v>0.01</v>
      </c>
      <c r="C104" s="41">
        <v>99999.99</v>
      </c>
      <c r="D104" s="40" t="s">
        <v>1020</v>
      </c>
    </row>
    <row r="105" spans="1:4">
      <c r="A105" s="38" t="s">
        <v>25</v>
      </c>
      <c r="B105" s="39">
        <v>0.01</v>
      </c>
      <c r="C105" s="39">
        <v>99999.99</v>
      </c>
      <c r="D105" s="40" t="s">
        <v>1020</v>
      </c>
    </row>
    <row r="106" spans="1:4">
      <c r="A106" s="38" t="s">
        <v>1370</v>
      </c>
      <c r="B106" s="150">
        <v>0.01</v>
      </c>
      <c r="C106" s="150">
        <v>99999.999989999997</v>
      </c>
      <c r="D106" s="151" t="s">
        <v>1020</v>
      </c>
    </row>
    <row r="107" spans="1:4">
      <c r="A107" s="38"/>
      <c r="B107" s="150"/>
      <c r="C107" s="150"/>
      <c r="D107" s="151"/>
    </row>
    <row r="108" spans="1:4">
      <c r="A108" s="38" t="s">
        <v>1371</v>
      </c>
      <c r="B108" s="150">
        <v>1</v>
      </c>
      <c r="C108" s="150">
        <v>999.99</v>
      </c>
      <c r="D108" s="151" t="s">
        <v>1020</v>
      </c>
    </row>
    <row r="109" spans="1:4">
      <c r="A109" s="38" t="s">
        <v>26</v>
      </c>
      <c r="B109" s="39">
        <v>0.01</v>
      </c>
      <c r="C109" s="39">
        <v>999999999999.98999</v>
      </c>
      <c r="D109" s="40" t="s">
        <v>1020</v>
      </c>
    </row>
    <row r="110" spans="1:4">
      <c r="A110" s="38" t="s">
        <v>27</v>
      </c>
      <c r="B110" s="39">
        <v>0.01</v>
      </c>
      <c r="C110" s="39">
        <v>999999999999.98999</v>
      </c>
      <c r="D110" s="40" t="s">
        <v>1020</v>
      </c>
    </row>
    <row r="111" spans="1:4">
      <c r="A111" s="38" t="s">
        <v>1372</v>
      </c>
      <c r="B111" s="150">
        <v>1</v>
      </c>
      <c r="C111" s="150">
        <v>999.99</v>
      </c>
      <c r="D111" s="151" t="s">
        <v>1015</v>
      </c>
    </row>
    <row r="112" spans="1:4">
      <c r="A112" s="38" t="s">
        <v>1373</v>
      </c>
      <c r="B112" s="150">
        <v>0.01</v>
      </c>
      <c r="C112" s="150">
        <v>99999.999989999997</v>
      </c>
      <c r="D112" s="151" t="s">
        <v>1015</v>
      </c>
    </row>
    <row r="113" spans="1:4">
      <c r="A113" s="38" t="s">
        <v>1062</v>
      </c>
      <c r="B113" s="150">
        <v>1000000</v>
      </c>
      <c r="C113" s="150">
        <v>999999999999.98999</v>
      </c>
      <c r="D113" s="151" t="s">
        <v>1020</v>
      </c>
    </row>
    <row r="114" spans="1:4">
      <c r="A114" s="38" t="s">
        <v>1375</v>
      </c>
      <c r="B114" s="150">
        <v>1000000</v>
      </c>
      <c r="C114" s="150">
        <v>999999999999.98999</v>
      </c>
      <c r="D114" s="151" t="s">
        <v>1020</v>
      </c>
    </row>
    <row r="115" spans="1:4">
      <c r="A115" s="38"/>
      <c r="B115" s="150"/>
      <c r="C115" s="150"/>
      <c r="D115" s="151"/>
    </row>
    <row r="116" spans="1:4">
      <c r="A116" s="38"/>
      <c r="B116" s="152"/>
      <c r="C116" s="150"/>
      <c r="D116" s="153"/>
    </row>
    <row r="117" spans="1:4">
      <c r="A117" s="38"/>
      <c r="B117" s="152"/>
      <c r="C117" s="150"/>
      <c r="D117" s="153"/>
    </row>
    <row r="118" spans="1:4">
      <c r="A118" s="38"/>
      <c r="B118" s="152"/>
      <c r="C118" s="150"/>
      <c r="D118" s="153"/>
    </row>
    <row r="119" spans="1:4">
      <c r="A119" s="38"/>
      <c r="B119" s="152"/>
      <c r="C119" s="150"/>
      <c r="D119" s="153"/>
    </row>
    <row r="120" spans="1:4">
      <c r="A120" s="25" t="s">
        <v>1376</v>
      </c>
      <c r="B120" s="25">
        <v>1000000</v>
      </c>
      <c r="C120" s="25">
        <v>999999999999.98999</v>
      </c>
      <c r="D120" s="25" t="s">
        <v>1020</v>
      </c>
    </row>
    <row r="121" spans="1:4">
      <c r="A121" s="38" t="s">
        <v>1377</v>
      </c>
      <c r="B121" s="152">
        <v>1000000</v>
      </c>
      <c r="C121" s="150">
        <v>999999999999.98999</v>
      </c>
      <c r="D121" s="42" t="s">
        <v>1020</v>
      </c>
    </row>
    <row r="122" spans="1:4">
      <c r="A122" s="38" t="s">
        <v>1378</v>
      </c>
      <c r="B122" s="152">
        <v>1</v>
      </c>
      <c r="C122" s="150">
        <v>99999999999.999893</v>
      </c>
      <c r="D122" s="42" t="s">
        <v>1015</v>
      </c>
    </row>
    <row r="123" spans="1:4">
      <c r="A123" s="38" t="s">
        <v>1379</v>
      </c>
      <c r="B123" s="152">
        <v>1</v>
      </c>
      <c r="C123" s="150">
        <v>99999999999.999893</v>
      </c>
      <c r="D123" s="42" t="s">
        <v>1015</v>
      </c>
    </row>
    <row r="124" spans="1:4">
      <c r="A124" s="38" t="s">
        <v>1380</v>
      </c>
      <c r="B124" s="152">
        <v>1</v>
      </c>
      <c r="C124" s="150">
        <v>99999999999.999893</v>
      </c>
      <c r="D124" s="42" t="s">
        <v>1015</v>
      </c>
    </row>
    <row r="125" spans="1:4">
      <c r="A125" s="38" t="s">
        <v>1381</v>
      </c>
      <c r="B125" s="152">
        <v>1</v>
      </c>
      <c r="C125" s="150">
        <v>99999999999.999893</v>
      </c>
      <c r="D125" s="42" t="s">
        <v>1015</v>
      </c>
    </row>
    <row r="126" spans="1:4">
      <c r="A126" s="38" t="s">
        <v>1382</v>
      </c>
      <c r="B126" s="152">
        <v>1</v>
      </c>
      <c r="C126" s="150">
        <v>99999999999.999893</v>
      </c>
      <c r="D126" s="42" t="s">
        <v>1015</v>
      </c>
    </row>
    <row r="127" spans="1:4">
      <c r="A127" s="38"/>
      <c r="B127" s="152"/>
      <c r="C127" s="152"/>
      <c r="D127" s="153"/>
    </row>
    <row r="128" spans="1:4">
      <c r="B128" s="152"/>
      <c r="C128" s="152"/>
      <c r="D128" s="153"/>
    </row>
    <row r="129" spans="1:4">
      <c r="B129" s="152"/>
      <c r="C129" s="152"/>
      <c r="D129" s="153"/>
    </row>
    <row r="130" spans="1:4">
      <c r="B130" s="152"/>
      <c r="C130" s="152"/>
      <c r="D130" s="153"/>
    </row>
    <row r="131" spans="1:4">
      <c r="A131" s="38" t="s">
        <v>1383</v>
      </c>
      <c r="B131" s="152">
        <v>1000000</v>
      </c>
      <c r="C131" s="150">
        <v>999999999999.98999</v>
      </c>
      <c r="D131" s="42" t="s">
        <v>1020</v>
      </c>
    </row>
    <row r="132" spans="1:4">
      <c r="A132" s="38" t="s">
        <v>1384</v>
      </c>
      <c r="B132" s="152">
        <v>1000000</v>
      </c>
      <c r="C132" s="150">
        <v>999999999999.98999</v>
      </c>
      <c r="D132" s="42" t="s">
        <v>1020</v>
      </c>
    </row>
    <row r="133" spans="1:4">
      <c r="A133" s="38" t="s">
        <v>1385</v>
      </c>
      <c r="B133" s="152">
        <v>1000000</v>
      </c>
      <c r="C133" s="150">
        <v>999999999999.98999</v>
      </c>
      <c r="D133" s="42" t="s">
        <v>1020</v>
      </c>
    </row>
    <row r="134" spans="1:4">
      <c r="A134" s="38" t="s">
        <v>1386</v>
      </c>
      <c r="B134" s="152">
        <v>1000000</v>
      </c>
      <c r="C134" s="150">
        <v>999999999999.98999</v>
      </c>
      <c r="D134" s="42" t="s">
        <v>1020</v>
      </c>
    </row>
    <row r="135" spans="1:4">
      <c r="A135" s="43" t="s">
        <v>1387</v>
      </c>
      <c r="B135" s="152">
        <v>1000000</v>
      </c>
      <c r="C135" s="150">
        <v>999999999999.98999</v>
      </c>
      <c r="D135" s="42" t="s">
        <v>1020</v>
      </c>
    </row>
    <row r="136" spans="1:4">
      <c r="A136" s="38" t="s">
        <v>1388</v>
      </c>
      <c r="B136" s="152">
        <v>1000000</v>
      </c>
      <c r="C136" s="150">
        <v>999999999999.98999</v>
      </c>
      <c r="D136" s="42" t="s">
        <v>1020</v>
      </c>
    </row>
    <row r="137" spans="1:4">
      <c r="A137" s="38"/>
      <c r="B137" s="152"/>
      <c r="C137" s="150"/>
      <c r="D137" s="42"/>
    </row>
    <row r="138" spans="1:4">
      <c r="A138" s="38"/>
      <c r="B138" s="152"/>
      <c r="C138" s="150"/>
      <c r="D138" s="42"/>
    </row>
    <row r="139" spans="1:4">
      <c r="A139" s="38" t="s">
        <v>28</v>
      </c>
      <c r="B139" s="152">
        <v>1000000</v>
      </c>
      <c r="C139" s="150">
        <v>999999999999.98999</v>
      </c>
      <c r="D139" s="153" t="s">
        <v>1015</v>
      </c>
    </row>
    <row r="140" spans="1:4">
      <c r="A140" s="38" t="s">
        <v>29</v>
      </c>
      <c r="B140" s="152">
        <v>1000000</v>
      </c>
      <c r="C140" s="150">
        <v>999999999999.98999</v>
      </c>
      <c r="D140" s="153" t="s">
        <v>1015</v>
      </c>
    </row>
    <row r="141" spans="1:4">
      <c r="A141" s="38" t="s">
        <v>30</v>
      </c>
      <c r="B141" s="152">
        <v>1000000</v>
      </c>
      <c r="C141" s="150">
        <v>999999999999.98999</v>
      </c>
      <c r="D141" s="153" t="s">
        <v>1015</v>
      </c>
    </row>
    <row r="142" spans="1:4">
      <c r="A142" s="38" t="s">
        <v>31</v>
      </c>
      <c r="B142" s="152">
        <v>1000000</v>
      </c>
      <c r="C142" s="150">
        <v>999999999999.98999</v>
      </c>
      <c r="D142" s="153" t="s">
        <v>1015</v>
      </c>
    </row>
    <row r="143" spans="1:4">
      <c r="A143" s="38" t="s">
        <v>32</v>
      </c>
      <c r="B143" s="152">
        <v>1000000</v>
      </c>
      <c r="C143" s="150">
        <v>999999999999.98999</v>
      </c>
      <c r="D143" s="153" t="s">
        <v>1015</v>
      </c>
    </row>
    <row r="144" spans="1:4">
      <c r="A144" s="38" t="s">
        <v>33</v>
      </c>
      <c r="B144" s="152">
        <v>1000000</v>
      </c>
      <c r="C144" s="150">
        <v>999999999999.98999</v>
      </c>
      <c r="D144" s="153" t="s">
        <v>1015</v>
      </c>
    </row>
    <row r="145" spans="1:4">
      <c r="A145" s="38" t="s">
        <v>34</v>
      </c>
      <c r="B145" s="152">
        <v>1000000</v>
      </c>
      <c r="C145" s="150">
        <v>999999999999.98999</v>
      </c>
      <c r="D145" s="153" t="s">
        <v>1015</v>
      </c>
    </row>
    <row r="146" spans="1:4">
      <c r="A146" s="43" t="s">
        <v>35</v>
      </c>
      <c r="B146" s="152">
        <v>1000000</v>
      </c>
      <c r="C146" s="150">
        <v>999999999999.98999</v>
      </c>
      <c r="D146" s="153" t="s">
        <v>1015</v>
      </c>
    </row>
    <row r="147" spans="1:4">
      <c r="A147" s="38" t="s">
        <v>1389</v>
      </c>
      <c r="B147" s="152">
        <v>1000000</v>
      </c>
      <c r="C147" s="150">
        <v>999999999999.98999</v>
      </c>
      <c r="D147" s="42" t="s">
        <v>1020</v>
      </c>
    </row>
    <row r="148" spans="1:4">
      <c r="A148" s="38"/>
      <c r="B148" s="152"/>
      <c r="C148" s="152"/>
      <c r="D148" s="153"/>
    </row>
    <row r="149" spans="1:4">
      <c r="A149" s="38" t="s">
        <v>1390</v>
      </c>
      <c r="B149" s="152">
        <v>1000000</v>
      </c>
      <c r="C149" s="150">
        <v>999999999999.98999</v>
      </c>
      <c r="D149" s="42" t="s">
        <v>1020</v>
      </c>
    </row>
    <row r="150" spans="1:4">
      <c r="A150" s="38"/>
      <c r="B150" s="152"/>
      <c r="C150" s="150"/>
      <c r="D150" s="42"/>
    </row>
    <row r="151" spans="1:4">
      <c r="A151" s="38" t="s">
        <v>1391</v>
      </c>
      <c r="B151" s="152">
        <v>1000000</v>
      </c>
      <c r="C151" s="150">
        <v>999999999999.98999</v>
      </c>
      <c r="D151" s="42" t="s">
        <v>1015</v>
      </c>
    </row>
    <row r="152" spans="1:4">
      <c r="A152" s="38"/>
      <c r="B152" s="152"/>
      <c r="C152" s="152"/>
      <c r="D152" s="153"/>
    </row>
    <row r="153" spans="1:4">
      <c r="A153" s="43" t="s">
        <v>1067</v>
      </c>
      <c r="B153" s="152">
        <v>1000000</v>
      </c>
      <c r="C153" s="150">
        <v>999999999999.98999</v>
      </c>
      <c r="D153" s="42" t="s">
        <v>1020</v>
      </c>
    </row>
    <row r="154" spans="1:4">
      <c r="A154" s="38"/>
      <c r="B154" s="152"/>
      <c r="C154" s="152"/>
      <c r="D154" s="153"/>
    </row>
    <row r="155" spans="1:4">
      <c r="A155" s="43"/>
      <c r="B155" s="41"/>
      <c r="C155" s="41"/>
      <c r="D155" s="42"/>
    </row>
    <row r="156" spans="1:4">
      <c r="A156" s="43" t="s">
        <v>1392</v>
      </c>
      <c r="B156" s="152">
        <v>1000000</v>
      </c>
      <c r="C156" s="150">
        <v>999999999999.98999</v>
      </c>
      <c r="D156" s="42" t="s">
        <v>1020</v>
      </c>
    </row>
    <row r="157" spans="1:4">
      <c r="A157" s="38" t="s">
        <v>1393</v>
      </c>
      <c r="B157" s="152">
        <v>1000000</v>
      </c>
      <c r="C157" s="150">
        <v>999999999999.98999</v>
      </c>
      <c r="D157" s="42" t="s">
        <v>1020</v>
      </c>
    </row>
    <row r="158" spans="1:4">
      <c r="A158" s="38" t="s">
        <v>1394</v>
      </c>
      <c r="B158" s="152">
        <v>1000000</v>
      </c>
      <c r="C158" s="150">
        <v>999999999999.98999</v>
      </c>
      <c r="D158" s="42" t="s">
        <v>1020</v>
      </c>
    </row>
    <row r="159" spans="1:4">
      <c r="A159" s="38" t="s">
        <v>1395</v>
      </c>
      <c r="B159" s="152">
        <v>1000000</v>
      </c>
      <c r="C159" s="150">
        <v>999999999999.98999</v>
      </c>
      <c r="D159" s="42" t="s">
        <v>1020</v>
      </c>
    </row>
    <row r="160" spans="1:4">
      <c r="A160" s="43"/>
      <c r="B160" s="41"/>
      <c r="C160" s="41"/>
      <c r="D160" s="42"/>
    </row>
    <row r="161" spans="1:4">
      <c r="A161" s="38" t="s">
        <v>1107</v>
      </c>
      <c r="B161" s="152">
        <v>1000000</v>
      </c>
      <c r="C161" s="150">
        <v>999999999999.98999</v>
      </c>
      <c r="D161" s="42" t="s">
        <v>1020</v>
      </c>
    </row>
    <row r="162" spans="1:4">
      <c r="A162" s="43"/>
      <c r="B162" s="41" t="s">
        <v>1027</v>
      </c>
      <c r="C162" s="41"/>
      <c r="D162" s="42"/>
    </row>
    <row r="163" spans="1:4">
      <c r="A163" s="38" t="s">
        <v>1396</v>
      </c>
      <c r="B163" s="152">
        <v>1000000</v>
      </c>
      <c r="C163" s="150">
        <v>999999999999.98999</v>
      </c>
      <c r="D163" s="42" t="s">
        <v>1020</v>
      </c>
    </row>
    <row r="164" spans="1:4">
      <c r="A164" s="38" t="s">
        <v>1397</v>
      </c>
      <c r="B164" s="152">
        <v>1000000</v>
      </c>
      <c r="C164" s="150">
        <v>999999999999.98999</v>
      </c>
      <c r="D164" s="42" t="s">
        <v>1020</v>
      </c>
    </row>
    <row r="165" spans="1:4">
      <c r="A165" s="38"/>
      <c r="B165" s="152"/>
      <c r="C165" s="150"/>
      <c r="D165" s="42"/>
    </row>
    <row r="166" spans="1:4">
      <c r="A166" s="38" t="s">
        <v>1398</v>
      </c>
      <c r="B166" s="152">
        <v>1000000</v>
      </c>
      <c r="C166" s="150">
        <v>999999999999.98999</v>
      </c>
      <c r="D166" s="42" t="s">
        <v>1020</v>
      </c>
    </row>
    <row r="167" spans="1:4">
      <c r="A167" s="38" t="s">
        <v>1399</v>
      </c>
      <c r="B167" s="152">
        <v>1000000</v>
      </c>
      <c r="C167" s="150">
        <v>999999999999.98999</v>
      </c>
      <c r="D167" s="42" t="s">
        <v>1020</v>
      </c>
    </row>
    <row r="168" spans="1:4">
      <c r="A168" s="43" t="s">
        <v>1400</v>
      </c>
      <c r="B168" s="152">
        <v>1000000</v>
      </c>
      <c r="C168" s="150">
        <v>999999999999.98999</v>
      </c>
      <c r="D168" s="42" t="s">
        <v>1020</v>
      </c>
    </row>
    <row r="169" spans="1:4">
      <c r="A169" s="43"/>
      <c r="B169" s="152"/>
      <c r="C169" s="150"/>
      <c r="D169" s="42"/>
    </row>
    <row r="170" spans="1:4">
      <c r="A170" s="38" t="s">
        <v>1401</v>
      </c>
      <c r="B170" s="152">
        <v>1000000</v>
      </c>
      <c r="C170" s="150">
        <v>999999999999.98999</v>
      </c>
      <c r="D170" s="42" t="s">
        <v>1015</v>
      </c>
    </row>
    <row r="171" spans="1:4">
      <c r="A171" s="38"/>
      <c r="B171" s="152"/>
      <c r="C171" s="150"/>
      <c r="D171" s="42"/>
    </row>
    <row r="172" spans="1:4">
      <c r="A172" s="38" t="s">
        <v>1402</v>
      </c>
      <c r="B172" s="152">
        <v>1000000</v>
      </c>
      <c r="C172" s="150">
        <v>999999999999.98999</v>
      </c>
      <c r="D172" s="42" t="s">
        <v>1020</v>
      </c>
    </row>
    <row r="173" spans="1:4">
      <c r="A173" s="43" t="s">
        <v>1403</v>
      </c>
      <c r="B173" s="152">
        <v>1000000</v>
      </c>
      <c r="C173" s="150">
        <v>999999999999.98999</v>
      </c>
      <c r="D173" s="42" t="s">
        <v>1020</v>
      </c>
    </row>
    <row r="174" spans="1:4">
      <c r="A174" s="38" t="s">
        <v>1404</v>
      </c>
      <c r="B174" s="152">
        <v>1000000</v>
      </c>
      <c r="C174" s="150">
        <v>999999999999.98999</v>
      </c>
      <c r="D174" s="42" t="s">
        <v>1020</v>
      </c>
    </row>
    <row r="175" spans="1:4">
      <c r="A175" s="38"/>
      <c r="B175" s="152"/>
      <c r="C175" s="150"/>
      <c r="D175" s="42"/>
    </row>
    <row r="176" spans="1:4">
      <c r="A176" s="38"/>
      <c r="B176" s="152"/>
      <c r="C176" s="150"/>
      <c r="D176" s="42"/>
    </row>
    <row r="177" spans="1:4">
      <c r="A177" s="44" t="s">
        <v>36</v>
      </c>
      <c r="B177" s="41">
        <v>1000000</v>
      </c>
      <c r="C177" s="39">
        <v>999999999999.98999</v>
      </c>
      <c r="D177" s="42" t="s">
        <v>1015</v>
      </c>
    </row>
    <row r="178" spans="1:4">
      <c r="A178" s="44" t="s">
        <v>37</v>
      </c>
      <c r="B178" s="41">
        <v>1000000</v>
      </c>
      <c r="C178" s="39">
        <v>999999999999.98999</v>
      </c>
      <c r="D178" s="42" t="s">
        <v>1015</v>
      </c>
    </row>
    <row r="179" spans="1:4">
      <c r="A179" s="44" t="s">
        <v>38</v>
      </c>
      <c r="B179" s="41">
        <v>1000000</v>
      </c>
      <c r="C179" s="39">
        <v>999999999999.98999</v>
      </c>
      <c r="D179" s="42" t="s">
        <v>1015</v>
      </c>
    </row>
    <row r="180" spans="1:4">
      <c r="A180" s="44" t="s">
        <v>39</v>
      </c>
      <c r="B180" s="41">
        <v>1000000</v>
      </c>
      <c r="C180" s="39">
        <v>999999999999.98999</v>
      </c>
      <c r="D180" s="42" t="s">
        <v>1015</v>
      </c>
    </row>
    <row r="181" spans="1:4">
      <c r="A181" s="44" t="s">
        <v>40</v>
      </c>
      <c r="B181" s="41">
        <v>1000000</v>
      </c>
      <c r="C181" s="39">
        <v>999999999999.98999</v>
      </c>
      <c r="D181" s="42" t="s">
        <v>1015</v>
      </c>
    </row>
    <row r="182" spans="1:4">
      <c r="A182" s="44" t="s">
        <v>41</v>
      </c>
      <c r="B182" s="41">
        <v>1000000</v>
      </c>
      <c r="C182" s="39">
        <v>999999999999.98999</v>
      </c>
      <c r="D182" s="42" t="s">
        <v>1020</v>
      </c>
    </row>
    <row r="183" spans="1:4">
      <c r="A183" s="44"/>
      <c r="B183" s="41"/>
      <c r="C183" s="39"/>
      <c r="D183" s="42"/>
    </row>
    <row r="184" spans="1:4">
      <c r="A184" s="44"/>
      <c r="B184" s="41"/>
      <c r="C184" s="39"/>
      <c r="D184" s="42"/>
    </row>
    <row r="185" spans="1:4">
      <c r="A185" s="44" t="s">
        <v>42</v>
      </c>
      <c r="B185" s="41">
        <v>1000000</v>
      </c>
      <c r="C185" s="39">
        <v>999999999999.98999</v>
      </c>
      <c r="D185" s="42" t="s">
        <v>1015</v>
      </c>
    </row>
    <row r="186" spans="1:4">
      <c r="A186" s="44" t="s">
        <v>43</v>
      </c>
      <c r="B186" s="41">
        <v>1000000</v>
      </c>
      <c r="C186" s="39">
        <v>999999999999.98999</v>
      </c>
      <c r="D186" s="42" t="s">
        <v>1015</v>
      </c>
    </row>
    <row r="187" spans="1:4">
      <c r="A187" s="44" t="s">
        <v>44</v>
      </c>
      <c r="B187" s="41">
        <v>1000000</v>
      </c>
      <c r="C187" s="39">
        <v>999999999999.98999</v>
      </c>
      <c r="D187" s="42" t="s">
        <v>1015</v>
      </c>
    </row>
    <row r="188" spans="1:4">
      <c r="A188" s="44" t="s">
        <v>45</v>
      </c>
      <c r="B188" s="41">
        <v>1000000</v>
      </c>
      <c r="C188" s="39">
        <v>999999999999.98999</v>
      </c>
      <c r="D188" s="42" t="s">
        <v>1015</v>
      </c>
    </row>
    <row r="189" spans="1:4">
      <c r="A189" s="44" t="s">
        <v>46</v>
      </c>
      <c r="B189" s="41">
        <v>1000000</v>
      </c>
      <c r="C189" s="39">
        <v>999999999999.98999</v>
      </c>
      <c r="D189" s="42" t="s">
        <v>1015</v>
      </c>
    </row>
    <row r="190" spans="1:4">
      <c r="A190" s="44" t="s">
        <v>47</v>
      </c>
      <c r="B190" s="41">
        <v>1000000</v>
      </c>
      <c r="C190" s="39">
        <v>999999999999.98999</v>
      </c>
      <c r="D190" s="42" t="s">
        <v>1020</v>
      </c>
    </row>
    <row r="191" spans="1:4">
      <c r="A191" s="38"/>
      <c r="B191" s="41"/>
      <c r="C191" s="41"/>
      <c r="D191" s="42"/>
    </row>
    <row r="192" spans="1:4">
      <c r="A192" s="38" t="s">
        <v>1405</v>
      </c>
      <c r="B192" s="152">
        <v>1000000</v>
      </c>
      <c r="C192" s="150">
        <v>999999999999.98999</v>
      </c>
      <c r="D192" s="42" t="s">
        <v>1020</v>
      </c>
    </row>
    <row r="193" spans="1:4">
      <c r="A193" s="43" t="s">
        <v>1406</v>
      </c>
      <c r="B193" s="152">
        <v>1000000</v>
      </c>
      <c r="C193" s="150">
        <v>999999999999.98999</v>
      </c>
      <c r="D193" s="42" t="s">
        <v>1020</v>
      </c>
    </row>
    <row r="194" spans="1:4">
      <c r="A194" s="43" t="s">
        <v>1407</v>
      </c>
      <c r="B194" s="152">
        <v>1000000</v>
      </c>
      <c r="C194" s="150">
        <v>999999999999.98999</v>
      </c>
      <c r="D194" s="42" t="s">
        <v>1020</v>
      </c>
    </row>
    <row r="195" spans="1:4">
      <c r="A195" s="38"/>
      <c r="B195" s="41"/>
      <c r="C195" s="41"/>
      <c r="D195" s="42"/>
    </row>
    <row r="196" spans="1:4">
      <c r="A196" s="38" t="s">
        <v>1408</v>
      </c>
      <c r="B196" s="152">
        <v>1000000</v>
      </c>
      <c r="C196" s="150">
        <v>999999999999.98999</v>
      </c>
      <c r="D196" s="42" t="s">
        <v>1020</v>
      </c>
    </row>
    <row r="197" spans="1:4">
      <c r="A197" s="43" t="s">
        <v>1409</v>
      </c>
      <c r="B197" s="152">
        <v>1000000</v>
      </c>
      <c r="C197" s="150">
        <v>999999999999.98999</v>
      </c>
      <c r="D197" s="42" t="s">
        <v>1020</v>
      </c>
    </row>
    <row r="198" spans="1:4">
      <c r="A198" s="38" t="s">
        <v>1410</v>
      </c>
      <c r="B198" s="152">
        <v>1000000</v>
      </c>
      <c r="C198" s="150">
        <v>999999999999.98999</v>
      </c>
      <c r="D198" s="42" t="s">
        <v>1020</v>
      </c>
    </row>
    <row r="199" spans="1:4">
      <c r="A199" s="43"/>
      <c r="B199" s="41"/>
      <c r="C199" s="41"/>
      <c r="D199" s="42"/>
    </row>
    <row r="200" spans="1:4">
      <c r="A200" s="38" t="s">
        <v>1411</v>
      </c>
      <c r="B200" s="152">
        <v>1000000</v>
      </c>
      <c r="C200" s="150">
        <v>999999999999.98999</v>
      </c>
      <c r="D200" s="42" t="s">
        <v>1020</v>
      </c>
    </row>
    <row r="201" spans="1:4">
      <c r="A201" s="38"/>
      <c r="B201" s="41"/>
      <c r="C201" s="41"/>
      <c r="D201" s="42"/>
    </row>
    <row r="202" spans="1:4">
      <c r="A202" s="38" t="s">
        <v>1412</v>
      </c>
      <c r="B202" s="152">
        <v>1000000</v>
      </c>
      <c r="C202" s="150">
        <v>999999999999.98999</v>
      </c>
      <c r="D202" s="42" t="s">
        <v>1020</v>
      </c>
    </row>
    <row r="203" spans="1:4">
      <c r="A203" s="38" t="s">
        <v>1413</v>
      </c>
      <c r="B203" s="152">
        <v>1000000</v>
      </c>
      <c r="C203" s="150">
        <v>999999999999.98999</v>
      </c>
      <c r="D203" s="42" t="s">
        <v>1020</v>
      </c>
    </row>
    <row r="204" spans="1:4">
      <c r="A204" s="43"/>
      <c r="B204" s="41"/>
      <c r="C204" s="41"/>
      <c r="D204" s="42"/>
    </row>
    <row r="205" spans="1:4">
      <c r="A205" s="43" t="s">
        <v>1415</v>
      </c>
      <c r="B205" s="152">
        <v>1000000</v>
      </c>
      <c r="C205" s="150">
        <v>999999999999.98999</v>
      </c>
      <c r="D205" s="42" t="s">
        <v>1020</v>
      </c>
    </row>
    <row r="206" spans="1:4">
      <c r="A206" s="43"/>
      <c r="B206" s="41"/>
      <c r="C206" s="41"/>
      <c r="D206" s="42"/>
    </row>
    <row r="207" spans="1:4">
      <c r="A207" s="38" t="s">
        <v>1416</v>
      </c>
      <c r="B207" s="152">
        <v>1000000</v>
      </c>
      <c r="C207" s="150">
        <v>999999999999.98999</v>
      </c>
      <c r="D207" s="42" t="s">
        <v>1015</v>
      </c>
    </row>
    <row r="208" spans="1:4">
      <c r="A208" s="38" t="s">
        <v>1417</v>
      </c>
      <c r="B208" s="152">
        <v>1000000</v>
      </c>
      <c r="C208" s="150">
        <v>999999999999.98999</v>
      </c>
      <c r="D208" s="42" t="s">
        <v>1015</v>
      </c>
    </row>
    <row r="209" spans="1:4">
      <c r="A209" s="38" t="s">
        <v>1418</v>
      </c>
      <c r="B209" s="152">
        <v>1000000</v>
      </c>
      <c r="C209" s="150">
        <v>999999999999.98999</v>
      </c>
      <c r="D209" s="42" t="s">
        <v>1015</v>
      </c>
    </row>
    <row r="210" spans="1:4">
      <c r="A210" s="38"/>
      <c r="B210" s="41"/>
      <c r="C210" s="41"/>
      <c r="D210" s="42"/>
    </row>
    <row r="211" spans="1:4">
      <c r="A211" s="38" t="s">
        <v>1419</v>
      </c>
      <c r="B211" s="152">
        <v>1000000</v>
      </c>
      <c r="C211" s="150">
        <v>999999999999.98999</v>
      </c>
      <c r="D211" s="42" t="s">
        <v>1015</v>
      </c>
    </row>
    <row r="212" spans="1:4">
      <c r="A212" s="43" t="s">
        <v>1420</v>
      </c>
      <c r="B212" s="150">
        <v>1</v>
      </c>
      <c r="C212" s="150">
        <v>999.99</v>
      </c>
      <c r="D212" s="42" t="s">
        <v>1015</v>
      </c>
    </row>
    <row r="213" spans="1:4">
      <c r="A213" s="43" t="s">
        <v>1421</v>
      </c>
      <c r="B213" s="152">
        <v>1000000</v>
      </c>
      <c r="C213" s="150">
        <v>999999999999.98999</v>
      </c>
      <c r="D213" s="42" t="s">
        <v>1015</v>
      </c>
    </row>
    <row r="214" spans="1:4">
      <c r="A214" s="43" t="s">
        <v>1422</v>
      </c>
      <c r="B214" s="152">
        <v>1000000</v>
      </c>
      <c r="C214" s="150">
        <v>999999999999.98999</v>
      </c>
      <c r="D214" s="42" t="s">
        <v>1015</v>
      </c>
    </row>
    <row r="215" spans="1:4">
      <c r="A215" s="38"/>
      <c r="B215" s="41"/>
      <c r="C215" s="41"/>
      <c r="D215" s="42"/>
    </row>
    <row r="216" spans="1:4">
      <c r="A216" s="38" t="s">
        <v>1423</v>
      </c>
      <c r="B216" s="152">
        <v>1000000</v>
      </c>
      <c r="C216" s="150">
        <v>999999999999.98999</v>
      </c>
      <c r="D216" s="42" t="s">
        <v>1015</v>
      </c>
    </row>
    <row r="217" spans="1:4">
      <c r="A217" s="38"/>
      <c r="B217" s="41"/>
      <c r="C217" s="41"/>
      <c r="D217" s="42"/>
    </row>
    <row r="218" spans="1:4">
      <c r="A218" s="43" t="s">
        <v>1424</v>
      </c>
      <c r="B218" s="152">
        <v>1000000</v>
      </c>
      <c r="C218" s="150">
        <v>999999999999.98999</v>
      </c>
      <c r="D218" s="42" t="s">
        <v>1020</v>
      </c>
    </row>
    <row r="219" spans="1:4">
      <c r="A219" s="43"/>
      <c r="B219" s="41"/>
      <c r="C219" s="41"/>
      <c r="D219" s="42"/>
    </row>
    <row r="220" spans="1:4">
      <c r="A220" s="154"/>
      <c r="B220" s="41"/>
      <c r="C220" s="41"/>
      <c r="D220" s="42"/>
    </row>
    <row r="221" spans="1:4">
      <c r="A221" s="154" t="s">
        <v>48</v>
      </c>
      <c r="B221" s="152">
        <v>1000000</v>
      </c>
      <c r="C221" s="150">
        <v>999999999999.98999</v>
      </c>
      <c r="D221" s="42" t="s">
        <v>1015</v>
      </c>
    </row>
    <row r="222" spans="1:4">
      <c r="A222" s="154" t="s">
        <v>49</v>
      </c>
      <c r="B222" s="152">
        <v>1000000</v>
      </c>
      <c r="C222" s="150">
        <v>999999999999.98999</v>
      </c>
      <c r="D222" s="42" t="s">
        <v>1015</v>
      </c>
    </row>
    <row r="223" spans="1:4">
      <c r="A223" s="154" t="s">
        <v>50</v>
      </c>
      <c r="B223" s="152">
        <v>1000000</v>
      </c>
      <c r="C223" s="150">
        <v>999999999999.98999</v>
      </c>
      <c r="D223" s="42" t="s">
        <v>1015</v>
      </c>
    </row>
    <row r="224" spans="1:4">
      <c r="A224" s="154" t="s">
        <v>51</v>
      </c>
      <c r="B224" s="152">
        <v>1000000</v>
      </c>
      <c r="C224" s="150">
        <v>999999999999.98999</v>
      </c>
      <c r="D224" s="42" t="s">
        <v>1015</v>
      </c>
    </row>
    <row r="225" spans="1:4">
      <c r="A225" s="154" t="s">
        <v>52</v>
      </c>
      <c r="B225" s="152">
        <v>1000000</v>
      </c>
      <c r="C225" s="150">
        <v>999999999999.98999</v>
      </c>
      <c r="D225" s="42" t="s">
        <v>1015</v>
      </c>
    </row>
    <row r="226" spans="1:4">
      <c r="A226" s="154"/>
      <c r="B226" s="152"/>
      <c r="C226" s="150"/>
      <c r="D226" s="42"/>
    </row>
    <row r="227" spans="1:4">
      <c r="A227" s="154"/>
      <c r="B227" s="152"/>
      <c r="C227" s="150"/>
      <c r="D227" s="42"/>
    </row>
    <row r="228" spans="1:4">
      <c r="B228" s="41"/>
      <c r="C228" s="41"/>
      <c r="D228" s="42"/>
    </row>
    <row r="229" spans="1:4">
      <c r="B229" s="41"/>
      <c r="C229" s="41"/>
      <c r="D229" s="42"/>
    </row>
    <row r="230" spans="1:4">
      <c r="A230" s="43" t="s">
        <v>1425</v>
      </c>
      <c r="B230" s="152">
        <v>1000000</v>
      </c>
      <c r="C230" s="150">
        <v>999999999999.98999</v>
      </c>
      <c r="D230" s="42" t="s">
        <v>1015</v>
      </c>
    </row>
    <row r="231" spans="1:4">
      <c r="A231" s="43" t="s">
        <v>1426</v>
      </c>
      <c r="B231" s="152">
        <v>1000000</v>
      </c>
      <c r="C231" s="150">
        <v>999999999999.98999</v>
      </c>
      <c r="D231" s="42" t="s">
        <v>1015</v>
      </c>
    </row>
    <row r="232" spans="1:4">
      <c r="A232" s="43" t="s">
        <v>1427</v>
      </c>
      <c r="B232" s="152">
        <v>1000000</v>
      </c>
      <c r="C232" s="150">
        <v>999999999999.98999</v>
      </c>
      <c r="D232" s="42" t="s">
        <v>1015</v>
      </c>
    </row>
    <row r="233" spans="1:4">
      <c r="A233" s="38" t="s">
        <v>1428</v>
      </c>
      <c r="B233" s="152">
        <v>1000000</v>
      </c>
      <c r="C233" s="150">
        <v>999999999999.98999</v>
      </c>
      <c r="D233" s="42" t="s">
        <v>1015</v>
      </c>
    </row>
    <row r="234" spans="1:4">
      <c r="A234" s="38" t="s">
        <v>1429</v>
      </c>
      <c r="B234" s="152">
        <v>1000000</v>
      </c>
      <c r="C234" s="150">
        <v>999999999999.98999</v>
      </c>
      <c r="D234" s="42" t="s">
        <v>1015</v>
      </c>
    </row>
    <row r="235" spans="1:4">
      <c r="A235" s="38" t="s">
        <v>53</v>
      </c>
      <c r="B235" s="152">
        <v>1000000</v>
      </c>
      <c r="C235" s="150">
        <v>999999999999.98999</v>
      </c>
      <c r="D235" s="42" t="s">
        <v>1015</v>
      </c>
    </row>
    <row r="236" spans="1:4">
      <c r="A236" s="38" t="s">
        <v>1430</v>
      </c>
      <c r="B236" s="152">
        <v>1000000</v>
      </c>
      <c r="C236" s="150">
        <v>999999999999.98999</v>
      </c>
      <c r="D236" s="42" t="s">
        <v>1015</v>
      </c>
    </row>
    <row r="237" spans="1:4">
      <c r="A237" s="38" t="s">
        <v>1431</v>
      </c>
      <c r="B237" s="152">
        <v>1000000</v>
      </c>
      <c r="C237" s="150">
        <v>999999999999.98999</v>
      </c>
      <c r="D237" s="42" t="s">
        <v>1015</v>
      </c>
    </row>
    <row r="238" spans="1:4">
      <c r="A238" s="43"/>
      <c r="B238" s="41"/>
      <c r="C238" s="41"/>
      <c r="D238" s="42"/>
    </row>
    <row r="239" spans="1:4">
      <c r="A239" s="38"/>
      <c r="B239" s="41"/>
      <c r="C239" s="41"/>
      <c r="D239" s="42"/>
    </row>
    <row r="240" spans="1:4">
      <c r="A240" s="43" t="s">
        <v>1432</v>
      </c>
      <c r="B240" s="152">
        <v>1000000</v>
      </c>
      <c r="C240" s="150">
        <v>999999999999.98999</v>
      </c>
      <c r="D240" s="42" t="s">
        <v>1015</v>
      </c>
    </row>
    <row r="241" spans="1:4">
      <c r="A241" s="38" t="s">
        <v>1433</v>
      </c>
      <c r="B241" s="152">
        <v>1000000</v>
      </c>
      <c r="C241" s="150">
        <v>999999999999.98999</v>
      </c>
      <c r="D241" s="42" t="s">
        <v>1015</v>
      </c>
    </row>
    <row r="242" spans="1:4">
      <c r="A242" s="38" t="s">
        <v>1434</v>
      </c>
      <c r="B242" s="152">
        <v>1000000</v>
      </c>
      <c r="C242" s="150">
        <v>999999999999.98999</v>
      </c>
      <c r="D242" s="42" t="s">
        <v>1015</v>
      </c>
    </row>
    <row r="243" spans="1:4">
      <c r="A243" s="38" t="s">
        <v>1435</v>
      </c>
      <c r="B243" s="152">
        <v>1000000</v>
      </c>
      <c r="C243" s="150">
        <v>999999999999.98999</v>
      </c>
      <c r="D243" s="42" t="s">
        <v>1015</v>
      </c>
    </row>
    <row r="244" spans="1:4">
      <c r="A244" s="38" t="s">
        <v>1437</v>
      </c>
      <c r="B244" s="152">
        <v>1000000</v>
      </c>
      <c r="C244" s="150">
        <v>999999999999.98999</v>
      </c>
      <c r="D244" s="42" t="s">
        <v>1015</v>
      </c>
    </row>
    <row r="245" spans="1:4">
      <c r="A245" s="38" t="s">
        <v>1438</v>
      </c>
      <c r="B245" s="152">
        <v>1000000</v>
      </c>
      <c r="C245" s="150">
        <v>999999999999.98999</v>
      </c>
      <c r="D245" s="42" t="s">
        <v>1015</v>
      </c>
    </row>
    <row r="246" spans="1:4">
      <c r="A246" s="38" t="s">
        <v>54</v>
      </c>
      <c r="B246" s="152">
        <v>1000000</v>
      </c>
      <c r="C246" s="150">
        <v>999999999999.98999</v>
      </c>
      <c r="D246" s="42" t="s">
        <v>1015</v>
      </c>
    </row>
    <row r="247" spans="1:4">
      <c r="A247" s="38" t="s">
        <v>1439</v>
      </c>
      <c r="B247" s="152">
        <v>1000000</v>
      </c>
      <c r="C247" s="150">
        <v>999999999999.98999</v>
      </c>
      <c r="D247" s="42" t="s">
        <v>1015</v>
      </c>
    </row>
    <row r="248" spans="1:4">
      <c r="A248" s="38" t="s">
        <v>55</v>
      </c>
      <c r="B248" s="152">
        <v>1000000</v>
      </c>
      <c r="C248" s="150">
        <v>999999999999.98999</v>
      </c>
      <c r="D248" s="42" t="s">
        <v>1015</v>
      </c>
    </row>
    <row r="249" spans="1:4">
      <c r="A249" s="38" t="s">
        <v>56</v>
      </c>
      <c r="B249" s="152">
        <v>1000000</v>
      </c>
      <c r="C249" s="150">
        <v>999999999999.98999</v>
      </c>
      <c r="D249" s="42" t="s">
        <v>1015</v>
      </c>
    </row>
    <row r="250" spans="1:4">
      <c r="A250" s="38" t="s">
        <v>57</v>
      </c>
      <c r="B250" s="152">
        <v>1000000</v>
      </c>
      <c r="C250" s="150">
        <v>999999999999.98999</v>
      </c>
      <c r="D250" s="42" t="s">
        <v>1015</v>
      </c>
    </row>
    <row r="251" spans="1:4">
      <c r="A251" s="38" t="s">
        <v>58</v>
      </c>
      <c r="B251" s="152">
        <v>1000000</v>
      </c>
      <c r="C251" s="150">
        <v>999999999999.98999</v>
      </c>
      <c r="D251" s="42" t="s">
        <v>1015</v>
      </c>
    </row>
    <row r="252" spans="1:4">
      <c r="A252" s="38" t="s">
        <v>1440</v>
      </c>
      <c r="B252" s="152">
        <v>1000000</v>
      </c>
      <c r="C252" s="150">
        <v>999999999999.98999</v>
      </c>
      <c r="D252" s="42" t="s">
        <v>1015</v>
      </c>
    </row>
    <row r="253" spans="1:4">
      <c r="A253" s="38" t="s">
        <v>1441</v>
      </c>
      <c r="B253" s="152">
        <v>1000000</v>
      </c>
      <c r="C253" s="150">
        <v>999999999999.98999</v>
      </c>
      <c r="D253" s="42" t="s">
        <v>1015</v>
      </c>
    </row>
    <row r="254" spans="1:4">
      <c r="A254" s="43"/>
      <c r="B254" s="41"/>
      <c r="C254" s="41"/>
      <c r="D254" s="42"/>
    </row>
    <row r="255" spans="1:4">
      <c r="A255" s="38" t="s">
        <v>1442</v>
      </c>
      <c r="B255" s="152">
        <v>1000000</v>
      </c>
      <c r="C255" s="150">
        <v>999999999999.98999</v>
      </c>
      <c r="D255" s="42" t="s">
        <v>1015</v>
      </c>
    </row>
    <row r="256" spans="1:4">
      <c r="A256" s="43"/>
      <c r="B256" s="41"/>
      <c r="C256" s="41"/>
      <c r="D256" s="42" t="s">
        <v>1027</v>
      </c>
    </row>
    <row r="257" spans="1:4">
      <c r="A257" s="38"/>
      <c r="B257" s="41"/>
      <c r="C257" s="41"/>
      <c r="D257" s="42"/>
    </row>
    <row r="258" spans="1:4">
      <c r="A258" s="38" t="s">
        <v>1443</v>
      </c>
      <c r="B258" s="152">
        <v>1000000</v>
      </c>
      <c r="C258" s="150">
        <v>999999999999.98999</v>
      </c>
      <c r="D258" s="42" t="s">
        <v>1015</v>
      </c>
    </row>
    <row r="259" spans="1:4">
      <c r="A259" s="38" t="s">
        <v>1444</v>
      </c>
      <c r="B259" s="152">
        <v>1000000</v>
      </c>
      <c r="C259" s="150">
        <v>999999999999.98999</v>
      </c>
      <c r="D259" s="42" t="s">
        <v>1015</v>
      </c>
    </row>
    <row r="260" spans="1:4">
      <c r="A260" s="38" t="s">
        <v>1445</v>
      </c>
      <c r="B260" s="152">
        <v>1000000</v>
      </c>
      <c r="C260" s="150">
        <v>999999999999.98999</v>
      </c>
      <c r="D260" s="42" t="s">
        <v>1015</v>
      </c>
    </row>
    <row r="261" spans="1:4">
      <c r="A261" s="38" t="s">
        <v>1446</v>
      </c>
      <c r="B261" s="152">
        <v>1000000</v>
      </c>
      <c r="C261" s="150">
        <v>999999999999.98999</v>
      </c>
      <c r="D261" s="42" t="s">
        <v>1015</v>
      </c>
    </row>
    <row r="262" spans="1:4">
      <c r="A262" s="38" t="s">
        <v>1447</v>
      </c>
      <c r="B262" s="152">
        <v>1000000</v>
      </c>
      <c r="C262" s="150">
        <v>999999999999.98999</v>
      </c>
      <c r="D262" s="42" t="s">
        <v>1015</v>
      </c>
    </row>
    <row r="263" spans="1:4">
      <c r="A263" s="38" t="s">
        <v>59</v>
      </c>
      <c r="B263" s="152">
        <v>1000000</v>
      </c>
      <c r="C263" s="150">
        <v>999999999999.98999</v>
      </c>
      <c r="D263" s="42" t="s">
        <v>1015</v>
      </c>
    </row>
    <row r="264" spans="1:4">
      <c r="A264" s="43" t="s">
        <v>1448</v>
      </c>
      <c r="B264" s="152">
        <v>1000000</v>
      </c>
      <c r="C264" s="150">
        <v>999999999999.98999</v>
      </c>
      <c r="D264" s="42" t="s">
        <v>1015</v>
      </c>
    </row>
    <row r="265" spans="1:4">
      <c r="A265" s="38" t="s">
        <v>1452</v>
      </c>
      <c r="B265" s="152">
        <v>1000000</v>
      </c>
      <c r="C265" s="150">
        <v>999999999999.98999</v>
      </c>
      <c r="D265" s="42" t="s">
        <v>1015</v>
      </c>
    </row>
    <row r="266" spans="1:4">
      <c r="A266" s="43"/>
      <c r="B266" s="41"/>
      <c r="C266" s="41"/>
      <c r="D266" s="42"/>
    </row>
    <row r="267" spans="1:4">
      <c r="A267" s="38"/>
      <c r="B267" s="41"/>
      <c r="C267" s="41"/>
      <c r="D267" s="42"/>
    </row>
    <row r="268" spans="1:4">
      <c r="A268" s="38" t="s">
        <v>1453</v>
      </c>
      <c r="B268" s="152">
        <v>1000000</v>
      </c>
      <c r="C268" s="150">
        <v>999999999999.98999</v>
      </c>
      <c r="D268" s="42" t="s">
        <v>1015</v>
      </c>
    </row>
    <row r="269" spans="1:4">
      <c r="A269" s="38" t="s">
        <v>1454</v>
      </c>
      <c r="B269" s="152">
        <v>1000000</v>
      </c>
      <c r="C269" s="150">
        <v>999999999999.98999</v>
      </c>
      <c r="D269" s="42" t="s">
        <v>1015</v>
      </c>
    </row>
    <row r="270" spans="1:4">
      <c r="A270" s="38" t="s">
        <v>1455</v>
      </c>
      <c r="B270" s="152">
        <v>1000000</v>
      </c>
      <c r="C270" s="150">
        <v>999999999999.98999</v>
      </c>
      <c r="D270" s="42" t="s">
        <v>1015</v>
      </c>
    </row>
    <row r="271" spans="1:4">
      <c r="A271" s="38" t="s">
        <v>1456</v>
      </c>
      <c r="B271" s="152">
        <v>1000000</v>
      </c>
      <c r="C271" s="150">
        <v>999999999999.98999</v>
      </c>
      <c r="D271" s="42" t="s">
        <v>1015</v>
      </c>
    </row>
    <row r="272" spans="1:4">
      <c r="A272" s="38" t="s">
        <v>60</v>
      </c>
      <c r="B272" s="152">
        <v>1000000</v>
      </c>
      <c r="C272" s="150">
        <v>999999999999.98999</v>
      </c>
      <c r="D272" s="42" t="s">
        <v>1015</v>
      </c>
    </row>
    <row r="273" spans="1:4">
      <c r="A273" s="38" t="s">
        <v>61</v>
      </c>
      <c r="B273" s="152">
        <v>1000000</v>
      </c>
      <c r="C273" s="150">
        <v>999999999999.98999</v>
      </c>
      <c r="D273" s="42" t="s">
        <v>1015</v>
      </c>
    </row>
    <row r="274" spans="1:4">
      <c r="A274" s="43" t="s">
        <v>1457</v>
      </c>
      <c r="B274" s="152">
        <v>1000000</v>
      </c>
      <c r="C274" s="150">
        <v>999999999999.98999</v>
      </c>
      <c r="D274" s="42" t="s">
        <v>1015</v>
      </c>
    </row>
    <row r="275" spans="1:4">
      <c r="A275" s="38" t="s">
        <v>1458</v>
      </c>
      <c r="B275" s="152">
        <v>1000000</v>
      </c>
      <c r="C275" s="150">
        <v>999999999999.98999</v>
      </c>
      <c r="D275" s="42" t="s">
        <v>1015</v>
      </c>
    </row>
    <row r="276" spans="1:4">
      <c r="A276" s="43"/>
      <c r="B276" s="41"/>
      <c r="C276" s="41"/>
      <c r="D276" s="42"/>
    </row>
    <row r="277" spans="1:4">
      <c r="A277" s="38" t="s">
        <v>1459</v>
      </c>
      <c r="B277" s="152">
        <v>1000000</v>
      </c>
      <c r="C277" s="150">
        <v>999999999999.98999</v>
      </c>
      <c r="D277" s="42" t="s">
        <v>1015</v>
      </c>
    </row>
    <row r="278" spans="1:4">
      <c r="A278" s="38"/>
      <c r="B278" s="41"/>
      <c r="C278" s="41"/>
      <c r="D278" s="42"/>
    </row>
    <row r="279" spans="1:4">
      <c r="A279" s="38" t="s">
        <v>1460</v>
      </c>
      <c r="B279" s="152">
        <v>1000000</v>
      </c>
      <c r="C279" s="150">
        <v>999999999999.98999</v>
      </c>
      <c r="D279" s="42" t="s">
        <v>1015</v>
      </c>
    </row>
    <row r="280" spans="1:4">
      <c r="A280" s="38"/>
      <c r="B280" s="41"/>
      <c r="C280" s="41"/>
      <c r="D280" s="42"/>
    </row>
    <row r="281" spans="1:4">
      <c r="A281" s="43" t="s">
        <v>1461</v>
      </c>
      <c r="B281" s="152">
        <v>1000000</v>
      </c>
      <c r="C281" s="150">
        <v>999999999999.98999</v>
      </c>
      <c r="D281" s="42" t="s">
        <v>1015</v>
      </c>
    </row>
    <row r="282" spans="1:4">
      <c r="A282" s="38"/>
      <c r="B282" s="41"/>
      <c r="C282" s="41"/>
      <c r="D282" s="42"/>
    </row>
    <row r="283" spans="1:4">
      <c r="A283" s="43"/>
      <c r="B283" s="41"/>
      <c r="C283" s="41"/>
      <c r="D283" s="42"/>
    </row>
    <row r="284" spans="1:4">
      <c r="A284" s="43" t="s">
        <v>1462</v>
      </c>
      <c r="B284" s="152">
        <v>1000000</v>
      </c>
      <c r="C284" s="150">
        <v>999999999999.98999</v>
      </c>
      <c r="D284" s="42" t="s">
        <v>1015</v>
      </c>
    </row>
    <row r="285" spans="1:4">
      <c r="A285" s="43" t="s">
        <v>1463</v>
      </c>
      <c r="B285" s="152">
        <v>1000000</v>
      </c>
      <c r="C285" s="150">
        <v>999999999999.98999</v>
      </c>
      <c r="D285" s="42" t="s">
        <v>1015</v>
      </c>
    </row>
    <row r="286" spans="1:4">
      <c r="A286" s="38" t="s">
        <v>1464</v>
      </c>
      <c r="B286" s="152">
        <v>1000000</v>
      </c>
      <c r="C286" s="150">
        <v>999999999999.98999</v>
      </c>
      <c r="D286" s="42" t="s">
        <v>1015</v>
      </c>
    </row>
    <row r="287" spans="1:4">
      <c r="A287" s="38" t="s">
        <v>1465</v>
      </c>
      <c r="B287" s="152">
        <v>1000000</v>
      </c>
      <c r="C287" s="150">
        <v>999999999999.98999</v>
      </c>
      <c r="D287" s="42" t="s">
        <v>1015</v>
      </c>
    </row>
    <row r="288" spans="1:4">
      <c r="A288" s="38" t="s">
        <v>1466</v>
      </c>
      <c r="B288" s="152">
        <v>1000000</v>
      </c>
      <c r="C288" s="150">
        <v>999999999999.98999</v>
      </c>
      <c r="D288" s="42" t="s">
        <v>1015</v>
      </c>
    </row>
    <row r="289" spans="1:4">
      <c r="A289" s="38" t="s">
        <v>1467</v>
      </c>
      <c r="B289" s="152">
        <v>1000000</v>
      </c>
      <c r="C289" s="150">
        <v>999999999999.98999</v>
      </c>
      <c r="D289" s="42" t="s">
        <v>1015</v>
      </c>
    </row>
    <row r="290" spans="1:4">
      <c r="A290" s="38" t="s">
        <v>1468</v>
      </c>
      <c r="B290" s="152">
        <v>1000000</v>
      </c>
      <c r="C290" s="150">
        <v>999999999999.98999</v>
      </c>
      <c r="D290" s="42" t="s">
        <v>1015</v>
      </c>
    </row>
    <row r="291" spans="1:4">
      <c r="A291" s="38"/>
      <c r="B291" s="152"/>
      <c r="C291" s="150"/>
      <c r="D291" s="42"/>
    </row>
    <row r="292" spans="1:4">
      <c r="A292" s="38"/>
      <c r="B292" s="152"/>
      <c r="C292" s="150"/>
      <c r="D292" s="42"/>
    </row>
    <row r="293" spans="1:4">
      <c r="A293" s="38"/>
      <c r="B293" s="152"/>
      <c r="C293" s="150"/>
      <c r="D293" s="42"/>
    </row>
    <row r="294" spans="1:4">
      <c r="A294" s="38"/>
      <c r="B294" s="152"/>
      <c r="C294" s="150"/>
      <c r="D294" s="42"/>
    </row>
    <row r="295" spans="1:4">
      <c r="A295" s="38" t="s">
        <v>65</v>
      </c>
      <c r="B295" s="152">
        <v>1000000</v>
      </c>
      <c r="C295" s="150">
        <v>999999999999.98999</v>
      </c>
      <c r="D295" s="42" t="s">
        <v>1015</v>
      </c>
    </row>
    <row r="296" spans="1:4">
      <c r="A296" s="38" t="s">
        <v>66</v>
      </c>
      <c r="B296" s="152">
        <v>1000000</v>
      </c>
      <c r="C296" s="150">
        <v>999999999999.98999</v>
      </c>
      <c r="D296" s="42" t="s">
        <v>1015</v>
      </c>
    </row>
    <row r="297" spans="1:4">
      <c r="A297" s="38" t="s">
        <v>67</v>
      </c>
      <c r="B297" s="152">
        <v>1000000</v>
      </c>
      <c r="C297" s="150">
        <v>999999999999.98999</v>
      </c>
      <c r="D297" s="42" t="s">
        <v>1015</v>
      </c>
    </row>
    <row r="298" spans="1:4">
      <c r="A298" s="38" t="s">
        <v>68</v>
      </c>
      <c r="B298" s="152">
        <v>1000000</v>
      </c>
      <c r="C298" s="150">
        <v>999999999999.98999</v>
      </c>
      <c r="D298" s="42" t="s">
        <v>1015</v>
      </c>
    </row>
    <row r="299" spans="1:4">
      <c r="A299" s="38" t="s">
        <v>69</v>
      </c>
      <c r="B299" s="152">
        <v>1000000</v>
      </c>
      <c r="C299" s="150">
        <v>999999999999.98999</v>
      </c>
      <c r="D299" s="42" t="s">
        <v>1015</v>
      </c>
    </row>
    <row r="300" spans="1:4">
      <c r="A300" s="38" t="s">
        <v>70</v>
      </c>
      <c r="B300" s="152">
        <v>1000000</v>
      </c>
      <c r="C300" s="150">
        <v>999999999999.98999</v>
      </c>
      <c r="D300" s="42" t="s">
        <v>1015</v>
      </c>
    </row>
    <row r="301" spans="1:4">
      <c r="A301" s="38" t="s">
        <v>71</v>
      </c>
      <c r="B301" s="152">
        <v>1000000</v>
      </c>
      <c r="C301" s="150">
        <v>999999999999.98999</v>
      </c>
      <c r="D301" s="42" t="s">
        <v>1015</v>
      </c>
    </row>
    <row r="302" spans="1:4">
      <c r="A302" s="38"/>
      <c r="B302" s="41"/>
      <c r="C302" s="41"/>
      <c r="D302" s="42"/>
    </row>
    <row r="303" spans="1:4">
      <c r="A303" s="38"/>
      <c r="B303" s="41"/>
      <c r="C303" s="41"/>
      <c r="D303" s="42"/>
    </row>
    <row r="304" spans="1:4">
      <c r="A304" s="38" t="s">
        <v>72</v>
      </c>
      <c r="B304" s="152">
        <v>1</v>
      </c>
      <c r="C304" s="150">
        <v>999999999999.98999</v>
      </c>
      <c r="D304" s="42" t="s">
        <v>1015</v>
      </c>
    </row>
    <row r="305" spans="1:4">
      <c r="A305" s="38" t="s">
        <v>73</v>
      </c>
      <c r="B305" s="152">
        <v>1000000</v>
      </c>
      <c r="C305" s="150">
        <v>999999999999.98999</v>
      </c>
      <c r="D305" s="42" t="s">
        <v>1015</v>
      </c>
    </row>
    <row r="306" spans="1:4">
      <c r="A306" s="38" t="s">
        <v>74</v>
      </c>
      <c r="B306" s="152">
        <v>1000000</v>
      </c>
      <c r="C306" s="150">
        <v>999999999999.98999</v>
      </c>
      <c r="D306" s="42" t="s">
        <v>1015</v>
      </c>
    </row>
    <row r="307" spans="1:4">
      <c r="A307" s="38" t="s">
        <v>75</v>
      </c>
      <c r="B307" s="152">
        <v>1000000</v>
      </c>
      <c r="C307" s="150">
        <v>999999999999.98999</v>
      </c>
      <c r="D307" s="42" t="s">
        <v>1015</v>
      </c>
    </row>
    <row r="308" spans="1:4">
      <c r="A308" s="38" t="s">
        <v>76</v>
      </c>
      <c r="B308" s="152">
        <v>1000000</v>
      </c>
      <c r="C308" s="150">
        <v>999999999999.98999</v>
      </c>
      <c r="D308" s="42" t="s">
        <v>1015</v>
      </c>
    </row>
    <row r="309" spans="1:4">
      <c r="A309" s="38" t="s">
        <v>77</v>
      </c>
      <c r="B309" s="152">
        <v>1000000</v>
      </c>
      <c r="C309" s="150">
        <v>999999999999.98999</v>
      </c>
      <c r="D309" s="42" t="s">
        <v>1015</v>
      </c>
    </row>
    <row r="310" spans="1:4">
      <c r="A310" s="38" t="s">
        <v>78</v>
      </c>
      <c r="B310" s="152">
        <v>1000000</v>
      </c>
      <c r="C310" s="150">
        <v>999999999999.98999</v>
      </c>
      <c r="D310" s="42" t="s">
        <v>1015</v>
      </c>
    </row>
    <row r="311" spans="1:4">
      <c r="A311" s="38" t="s">
        <v>79</v>
      </c>
      <c r="B311" s="152">
        <v>1000000</v>
      </c>
      <c r="C311" s="150">
        <v>999999999999.98999</v>
      </c>
      <c r="D311" s="42" t="s">
        <v>1015</v>
      </c>
    </row>
    <row r="312" spans="1:4">
      <c r="A312" s="38" t="s">
        <v>80</v>
      </c>
      <c r="B312" s="152">
        <v>1000000</v>
      </c>
      <c r="C312" s="150">
        <v>999999999999.98999</v>
      </c>
      <c r="D312" s="42" t="s">
        <v>1015</v>
      </c>
    </row>
    <row r="313" spans="1:4">
      <c r="A313" s="38" t="s">
        <v>81</v>
      </c>
      <c r="B313" s="152">
        <v>1000000</v>
      </c>
      <c r="C313" s="150">
        <v>999999999999.98999</v>
      </c>
      <c r="D313" s="42" t="s">
        <v>1015</v>
      </c>
    </row>
    <row r="314" spans="1:4">
      <c r="A314" s="38" t="s">
        <v>82</v>
      </c>
      <c r="B314" s="152">
        <v>1000000</v>
      </c>
      <c r="C314" s="150">
        <v>999999999999.98999</v>
      </c>
      <c r="D314" s="42" t="s">
        <v>1015</v>
      </c>
    </row>
    <row r="315" spans="1:4">
      <c r="A315" s="38" t="s">
        <v>83</v>
      </c>
      <c r="B315" s="152">
        <v>1000000</v>
      </c>
      <c r="C315" s="150">
        <v>999999999999.98999</v>
      </c>
      <c r="D315" s="42" t="s">
        <v>1015</v>
      </c>
    </row>
    <row r="316" spans="1:4">
      <c r="A316" s="38"/>
      <c r="B316" s="152"/>
      <c r="C316" s="150"/>
      <c r="D316" s="42"/>
    </row>
    <row r="317" spans="1:4">
      <c r="A317" s="38"/>
      <c r="B317" s="152"/>
      <c r="C317" s="150"/>
      <c r="D317" s="42"/>
    </row>
    <row r="318" spans="1:4">
      <c r="A318" s="38" t="s">
        <v>84</v>
      </c>
      <c r="B318" s="152">
        <v>1000000</v>
      </c>
      <c r="C318" s="150">
        <v>999999999999.98999</v>
      </c>
      <c r="D318" s="42" t="s">
        <v>1015</v>
      </c>
    </row>
    <row r="319" spans="1:4">
      <c r="A319" s="38" t="s">
        <v>85</v>
      </c>
      <c r="B319" s="152">
        <v>1000000</v>
      </c>
      <c r="C319" s="150">
        <v>999999999999.98999</v>
      </c>
      <c r="D319" s="42" t="s">
        <v>1015</v>
      </c>
    </row>
    <row r="320" spans="1:4">
      <c r="A320" s="38" t="s">
        <v>86</v>
      </c>
      <c r="B320" s="152">
        <v>1000000</v>
      </c>
      <c r="C320" s="150">
        <v>999999999999.98999</v>
      </c>
      <c r="D320" s="42" t="s">
        <v>1015</v>
      </c>
    </row>
    <row r="321" spans="1:4">
      <c r="A321" s="38" t="s">
        <v>87</v>
      </c>
      <c r="B321" s="152">
        <v>1000000</v>
      </c>
      <c r="C321" s="150">
        <v>999999999999.98999</v>
      </c>
      <c r="D321" s="42" t="s">
        <v>1015</v>
      </c>
    </row>
    <row r="322" spans="1:4">
      <c r="A322" s="38"/>
      <c r="B322" s="152"/>
      <c r="C322" s="150"/>
      <c r="D322" s="42"/>
    </row>
    <row r="323" spans="1:4">
      <c r="A323" s="38"/>
      <c r="B323" s="152"/>
      <c r="C323" s="150"/>
      <c r="D323" s="42"/>
    </row>
    <row r="324" spans="1:4">
      <c r="A324" s="38"/>
      <c r="B324" s="152"/>
      <c r="C324" s="150"/>
      <c r="D324" s="42"/>
    </row>
    <row r="325" spans="1:4">
      <c r="A325" s="38" t="s">
        <v>88</v>
      </c>
      <c r="B325" s="152">
        <v>1000000</v>
      </c>
      <c r="C325" s="150">
        <v>999999999999.98999</v>
      </c>
      <c r="D325" s="42" t="s">
        <v>1015</v>
      </c>
    </row>
    <row r="326" spans="1:4">
      <c r="A326" s="38" t="s">
        <v>89</v>
      </c>
      <c r="B326" s="152">
        <v>1000000</v>
      </c>
      <c r="C326" s="150">
        <v>999999999999.98999</v>
      </c>
      <c r="D326" s="42" t="s">
        <v>1015</v>
      </c>
    </row>
    <row r="327" spans="1:4">
      <c r="A327" s="38" t="s">
        <v>1385</v>
      </c>
      <c r="B327" s="152">
        <v>1000000</v>
      </c>
      <c r="C327" s="150">
        <v>999999999999.98999</v>
      </c>
      <c r="D327" s="42" t="s">
        <v>1015</v>
      </c>
    </row>
    <row r="328" spans="1:4">
      <c r="A328" s="38" t="s">
        <v>90</v>
      </c>
      <c r="B328" s="152">
        <v>1000000</v>
      </c>
      <c r="C328" s="150">
        <v>999999999999.98999</v>
      </c>
      <c r="D328" s="42" t="s">
        <v>1015</v>
      </c>
    </row>
    <row r="329" spans="1:4">
      <c r="A329" s="38" t="s">
        <v>91</v>
      </c>
      <c r="B329" s="152">
        <v>1000000</v>
      </c>
      <c r="C329" s="150">
        <v>999999999999.98999</v>
      </c>
      <c r="D329" s="42" t="s">
        <v>1015</v>
      </c>
    </row>
    <row r="330" spans="1:4">
      <c r="A330" s="38" t="s">
        <v>92</v>
      </c>
      <c r="B330" s="152">
        <v>1000000</v>
      </c>
      <c r="C330" s="150">
        <v>999999999999.98999</v>
      </c>
      <c r="D330" s="42" t="s">
        <v>1015</v>
      </c>
    </row>
    <row r="331" spans="1:4">
      <c r="A331" s="43" t="s">
        <v>93</v>
      </c>
      <c r="B331" s="152">
        <v>1000000</v>
      </c>
      <c r="C331" s="150">
        <v>999999999999.98999</v>
      </c>
      <c r="D331" s="42" t="s">
        <v>1015</v>
      </c>
    </row>
    <row r="332" spans="1:4">
      <c r="A332" s="38" t="s">
        <v>94</v>
      </c>
      <c r="B332" s="152">
        <v>1000000</v>
      </c>
      <c r="C332" s="150">
        <v>999999999999.98999</v>
      </c>
      <c r="D332" s="42" t="s">
        <v>1015</v>
      </c>
    </row>
    <row r="333" spans="1:4">
      <c r="A333" s="43"/>
      <c r="B333" s="41"/>
      <c r="C333" s="41"/>
      <c r="D333" s="42" t="s">
        <v>1027</v>
      </c>
    </row>
    <row r="334" spans="1:4">
      <c r="A334" s="38"/>
      <c r="B334" s="41"/>
      <c r="C334" s="41"/>
      <c r="D334" s="42" t="s">
        <v>1027</v>
      </c>
    </row>
    <row r="335" spans="1:4">
      <c r="A335" s="38" t="s">
        <v>95</v>
      </c>
      <c r="B335" s="152">
        <v>1000000</v>
      </c>
      <c r="C335" s="150">
        <v>999999999999.98999</v>
      </c>
      <c r="D335" s="42" t="s">
        <v>1015</v>
      </c>
    </row>
    <row r="336" spans="1:4">
      <c r="A336" s="38" t="s">
        <v>96</v>
      </c>
      <c r="B336" s="152">
        <v>1000000</v>
      </c>
      <c r="C336" s="150">
        <v>999999999999.98999</v>
      </c>
      <c r="D336" s="42" t="s">
        <v>1015</v>
      </c>
    </row>
    <row r="337" spans="1:4">
      <c r="A337" s="38" t="s">
        <v>97</v>
      </c>
      <c r="B337" s="152">
        <v>1000000</v>
      </c>
      <c r="C337" s="150">
        <v>999999999999.98999</v>
      </c>
      <c r="D337" s="42" t="s">
        <v>1015</v>
      </c>
    </row>
    <row r="338" spans="1:4">
      <c r="A338" s="38" t="s">
        <v>62</v>
      </c>
      <c r="B338" s="152">
        <v>1000000</v>
      </c>
      <c r="C338" s="150">
        <v>999999999999.98999</v>
      </c>
      <c r="D338" s="42" t="s">
        <v>1015</v>
      </c>
    </row>
    <row r="339" spans="1:4">
      <c r="A339" s="38" t="s">
        <v>63</v>
      </c>
      <c r="B339" s="152">
        <v>1000000</v>
      </c>
      <c r="C339" s="150">
        <v>999999999999.98999</v>
      </c>
      <c r="D339" s="42" t="s">
        <v>1015</v>
      </c>
    </row>
    <row r="340" spans="1:4">
      <c r="A340" s="38" t="s">
        <v>64</v>
      </c>
      <c r="B340" s="152">
        <v>1000000</v>
      </c>
      <c r="C340" s="150">
        <v>999999999999.98999</v>
      </c>
      <c r="D340" s="42" t="s">
        <v>1015</v>
      </c>
    </row>
    <row r="341" spans="1:4">
      <c r="A341" s="38" t="s">
        <v>98</v>
      </c>
      <c r="B341" s="152">
        <v>1000000</v>
      </c>
      <c r="C341" s="150">
        <v>999999999999.98999</v>
      </c>
      <c r="D341" s="42" t="s">
        <v>1015</v>
      </c>
    </row>
    <row r="342" spans="1:4">
      <c r="A342" s="38" t="s">
        <v>99</v>
      </c>
      <c r="B342" s="152">
        <v>1000000</v>
      </c>
      <c r="C342" s="150">
        <v>999999999999.98999</v>
      </c>
      <c r="D342" s="42" t="s">
        <v>1015</v>
      </c>
    </row>
    <row r="343" spans="1:4">
      <c r="A343" s="38" t="s">
        <v>100</v>
      </c>
      <c r="B343" s="152">
        <v>1000000</v>
      </c>
      <c r="C343" s="150">
        <v>999999999999.98999</v>
      </c>
      <c r="D343" s="42" t="s">
        <v>1015</v>
      </c>
    </row>
    <row r="344" spans="1:4">
      <c r="A344" s="38" t="s">
        <v>101</v>
      </c>
      <c r="B344" s="152">
        <v>1000000</v>
      </c>
      <c r="C344" s="150">
        <v>999999999999.98999</v>
      </c>
      <c r="D344" s="42" t="s">
        <v>1015</v>
      </c>
    </row>
    <row r="345" spans="1:4">
      <c r="A345" s="38" t="s">
        <v>106</v>
      </c>
      <c r="B345" s="152">
        <v>1000000</v>
      </c>
      <c r="C345" s="150">
        <v>999999999999.98999</v>
      </c>
      <c r="D345" s="42" t="s">
        <v>1015</v>
      </c>
    </row>
    <row r="346" spans="1:4">
      <c r="A346" s="38"/>
      <c r="B346" s="41"/>
      <c r="C346" s="41"/>
      <c r="D346" s="42"/>
    </row>
    <row r="347" spans="1:4">
      <c r="A347" s="38"/>
      <c r="B347" s="41"/>
      <c r="C347" s="41"/>
      <c r="D347" s="42"/>
    </row>
    <row r="348" spans="1:4">
      <c r="A348" s="38" t="s">
        <v>107</v>
      </c>
      <c r="B348" s="152">
        <v>1000000</v>
      </c>
      <c r="C348" s="150">
        <v>999999999999.98999</v>
      </c>
      <c r="D348" s="42" t="s">
        <v>1015</v>
      </c>
    </row>
    <row r="349" spans="1:4">
      <c r="A349" s="38" t="s">
        <v>108</v>
      </c>
      <c r="B349" s="152">
        <v>1000000</v>
      </c>
      <c r="C349" s="150">
        <v>999999999999.98999</v>
      </c>
      <c r="D349" s="42" t="s">
        <v>1015</v>
      </c>
    </row>
    <row r="350" spans="1:4">
      <c r="A350" s="38" t="s">
        <v>109</v>
      </c>
      <c r="B350" s="152">
        <v>1000000</v>
      </c>
      <c r="C350" s="150">
        <v>999999999999.98999</v>
      </c>
      <c r="D350" s="42" t="s">
        <v>1015</v>
      </c>
    </row>
    <row r="351" spans="1:4">
      <c r="A351" s="38" t="s">
        <v>110</v>
      </c>
      <c r="B351" s="152">
        <v>1000000</v>
      </c>
      <c r="C351" s="150">
        <v>999999999999.98999</v>
      </c>
      <c r="D351" s="42" t="s">
        <v>1015</v>
      </c>
    </row>
    <row r="352" spans="1:4">
      <c r="A352" s="38" t="s">
        <v>111</v>
      </c>
      <c r="B352" s="152">
        <v>1000000</v>
      </c>
      <c r="C352" s="150">
        <v>999999999999.98999</v>
      </c>
      <c r="D352" s="42" t="s">
        <v>1015</v>
      </c>
    </row>
    <row r="353" spans="1:4">
      <c r="A353" s="38" t="s">
        <v>112</v>
      </c>
      <c r="B353" s="152">
        <v>1000000</v>
      </c>
      <c r="C353" s="150">
        <v>999999999999.98999</v>
      </c>
      <c r="D353" s="42" t="s">
        <v>1015</v>
      </c>
    </row>
    <row r="354" spans="1:4">
      <c r="A354" s="38"/>
      <c r="B354" s="41"/>
      <c r="C354" s="41"/>
      <c r="D354" s="42"/>
    </row>
    <row r="355" spans="1:4">
      <c r="A355" s="38" t="s">
        <v>392</v>
      </c>
      <c r="B355" s="152">
        <v>1000000</v>
      </c>
      <c r="C355" s="150">
        <v>999999999999.98999</v>
      </c>
      <c r="D355" s="42" t="s">
        <v>1015</v>
      </c>
    </row>
    <row r="356" spans="1:4">
      <c r="B356" s="41"/>
      <c r="C356" s="41"/>
      <c r="D356" s="42"/>
    </row>
    <row r="357" spans="1:4">
      <c r="A357" s="38" t="s">
        <v>393</v>
      </c>
      <c r="B357" s="152">
        <v>1000000</v>
      </c>
      <c r="C357" s="150">
        <v>999999999999.98999</v>
      </c>
      <c r="D357" s="42" t="s">
        <v>1015</v>
      </c>
    </row>
    <row r="358" spans="1:4">
      <c r="B358" s="41"/>
      <c r="C358" s="41"/>
      <c r="D358" s="42"/>
    </row>
    <row r="359" spans="1:4">
      <c r="B359" s="41"/>
      <c r="C359" s="41"/>
      <c r="D359" s="42"/>
    </row>
    <row r="360" spans="1:4">
      <c r="B360" s="41"/>
      <c r="C360" s="41"/>
      <c r="D360" s="42"/>
    </row>
    <row r="361" spans="1:4">
      <c r="B361" s="41"/>
      <c r="C361" s="41"/>
      <c r="D361" s="42"/>
    </row>
    <row r="362" spans="1:4">
      <c r="A362" s="154" t="s">
        <v>394</v>
      </c>
      <c r="B362" s="152">
        <v>1000000</v>
      </c>
      <c r="C362" s="150">
        <v>999999999999.98999</v>
      </c>
      <c r="D362" s="42" t="s">
        <v>1015</v>
      </c>
    </row>
    <row r="363" spans="1:4">
      <c r="A363" s="154" t="s">
        <v>394</v>
      </c>
      <c r="B363" s="152">
        <v>1000000</v>
      </c>
      <c r="C363" s="150">
        <v>999999999999.98999</v>
      </c>
      <c r="D363" s="42" t="s">
        <v>1015</v>
      </c>
    </row>
    <row r="364" spans="1:4">
      <c r="A364" s="154" t="s">
        <v>394</v>
      </c>
      <c r="B364" s="152">
        <v>1000000</v>
      </c>
      <c r="C364" s="150">
        <v>999999999999.98999</v>
      </c>
      <c r="D364" s="42" t="s">
        <v>1015</v>
      </c>
    </row>
    <row r="365" spans="1:4">
      <c r="A365" s="154" t="s">
        <v>394</v>
      </c>
      <c r="B365" s="152">
        <v>1000000</v>
      </c>
      <c r="C365" s="150">
        <v>999999999999.98999</v>
      </c>
      <c r="D365" s="42" t="s">
        <v>1015</v>
      </c>
    </row>
    <row r="366" spans="1:4">
      <c r="A366" s="154" t="s">
        <v>394</v>
      </c>
      <c r="B366" s="152">
        <v>1000000</v>
      </c>
      <c r="C366" s="150">
        <v>999999999999.98999</v>
      </c>
      <c r="D366" s="42" t="s">
        <v>1015</v>
      </c>
    </row>
    <row r="367" spans="1:4">
      <c r="A367" s="154" t="s">
        <v>394</v>
      </c>
      <c r="B367" s="152">
        <v>1000000</v>
      </c>
      <c r="C367" s="150">
        <v>999999999999.98999</v>
      </c>
      <c r="D367" s="42" t="s">
        <v>1015</v>
      </c>
    </row>
    <row r="368" spans="1:4">
      <c r="A368" s="154" t="s">
        <v>394</v>
      </c>
      <c r="B368" s="152">
        <v>1000000</v>
      </c>
      <c r="C368" s="150">
        <v>999999999999.98999</v>
      </c>
      <c r="D368" s="42" t="s">
        <v>1015</v>
      </c>
    </row>
    <row r="369" spans="1:4">
      <c r="A369" s="154" t="s">
        <v>394</v>
      </c>
      <c r="B369" s="152">
        <v>1000000</v>
      </c>
      <c r="C369" s="150">
        <v>999999999999.98999</v>
      </c>
      <c r="D369" s="42" t="s">
        <v>1015</v>
      </c>
    </row>
    <row r="370" spans="1:4">
      <c r="A370" s="154" t="s">
        <v>394</v>
      </c>
      <c r="B370" s="152">
        <v>1000000</v>
      </c>
      <c r="C370" s="150">
        <v>999999999999.98999</v>
      </c>
      <c r="D370" s="42" t="s">
        <v>1015</v>
      </c>
    </row>
    <row r="371" spans="1:4">
      <c r="A371" s="154" t="s">
        <v>394</v>
      </c>
      <c r="B371" s="152">
        <v>1000000</v>
      </c>
      <c r="C371" s="150">
        <v>999999999999.98999</v>
      </c>
      <c r="D371" s="42" t="s">
        <v>1015</v>
      </c>
    </row>
    <row r="372" spans="1:4">
      <c r="A372" s="154" t="s">
        <v>394</v>
      </c>
      <c r="B372" s="152">
        <v>1000000</v>
      </c>
      <c r="C372" s="150">
        <v>999999999999.98999</v>
      </c>
      <c r="D372" s="42" t="s">
        <v>1015</v>
      </c>
    </row>
    <row r="373" spans="1:4">
      <c r="A373" s="154" t="s">
        <v>394</v>
      </c>
      <c r="B373" s="152">
        <v>1000000</v>
      </c>
      <c r="C373" s="150">
        <v>999999999999.98999</v>
      </c>
      <c r="D373" s="42" t="s">
        <v>1015</v>
      </c>
    </row>
    <row r="374" spans="1:4">
      <c r="A374" s="154" t="s">
        <v>394</v>
      </c>
      <c r="B374" s="152">
        <v>1000000</v>
      </c>
      <c r="C374" s="150">
        <v>999999999999.98999</v>
      </c>
      <c r="D374" s="42" t="s">
        <v>1015</v>
      </c>
    </row>
    <row r="375" spans="1:4">
      <c r="A375" s="154" t="s">
        <v>394</v>
      </c>
      <c r="B375" s="152">
        <v>1000000</v>
      </c>
      <c r="C375" s="150">
        <v>999999999999.98999</v>
      </c>
      <c r="D375" s="42" t="s">
        <v>1015</v>
      </c>
    </row>
    <row r="376" spans="1:4">
      <c r="A376" s="154" t="s">
        <v>394</v>
      </c>
      <c r="B376" s="152">
        <v>1000000</v>
      </c>
      <c r="C376" s="150">
        <v>999999999999.98999</v>
      </c>
      <c r="D376" s="42" t="s">
        <v>1015</v>
      </c>
    </row>
    <row r="377" spans="1:4">
      <c r="A377" s="154" t="s">
        <v>394</v>
      </c>
      <c r="B377" s="152">
        <v>1000000</v>
      </c>
      <c r="C377" s="150">
        <v>999999999999.98999</v>
      </c>
      <c r="D377" s="42" t="s">
        <v>1015</v>
      </c>
    </row>
    <row r="378" spans="1:4">
      <c r="A378" s="154" t="s">
        <v>394</v>
      </c>
      <c r="B378" s="152">
        <v>1000000</v>
      </c>
      <c r="C378" s="150">
        <v>999999999999.98999</v>
      </c>
      <c r="D378" s="42" t="s">
        <v>1015</v>
      </c>
    </row>
    <row r="379" spans="1:4">
      <c r="A379" s="154" t="s">
        <v>394</v>
      </c>
      <c r="B379" s="152">
        <v>1000000</v>
      </c>
      <c r="C379" s="150">
        <v>999999999999.98999</v>
      </c>
      <c r="D379" s="42" t="s">
        <v>1015</v>
      </c>
    </row>
    <row r="380" spans="1:4">
      <c r="A380" s="154" t="s">
        <v>394</v>
      </c>
      <c r="B380" s="152">
        <v>1000000</v>
      </c>
      <c r="C380" s="150">
        <v>999999999999.98999</v>
      </c>
      <c r="D380" s="42" t="s">
        <v>1015</v>
      </c>
    </row>
    <row r="381" spans="1:4">
      <c r="A381" s="154" t="s">
        <v>394</v>
      </c>
      <c r="B381" s="152">
        <v>1000000</v>
      </c>
      <c r="C381" s="150">
        <v>999999999999.98999</v>
      </c>
      <c r="D381" s="42" t="s">
        <v>1015</v>
      </c>
    </row>
    <row r="382" spans="1:4">
      <c r="A382" s="154"/>
      <c r="B382" s="41"/>
      <c r="C382" s="41"/>
      <c r="D382" s="42" t="s">
        <v>1027</v>
      </c>
    </row>
    <row r="383" spans="1:4">
      <c r="A383" s="154"/>
      <c r="B383" s="41"/>
      <c r="C383" s="41"/>
      <c r="D383" s="42"/>
    </row>
    <row r="384" spans="1:4">
      <c r="A384" s="154" t="s">
        <v>1107</v>
      </c>
      <c r="B384" s="152">
        <v>1000000</v>
      </c>
      <c r="C384" s="150">
        <v>999999999999.98999</v>
      </c>
      <c r="D384" s="42" t="s">
        <v>1015</v>
      </c>
    </row>
    <row r="385" spans="1:4">
      <c r="A385" s="154" t="s">
        <v>1107</v>
      </c>
      <c r="B385" s="152">
        <v>1000000</v>
      </c>
      <c r="C385" s="150">
        <v>999999999999.98999</v>
      </c>
      <c r="D385" s="42" t="s">
        <v>1015</v>
      </c>
    </row>
    <row r="386" spans="1:4">
      <c r="A386" s="154" t="s">
        <v>1107</v>
      </c>
      <c r="B386" s="152">
        <v>1000000</v>
      </c>
      <c r="C386" s="150">
        <v>999999999999.98999</v>
      </c>
      <c r="D386" s="42" t="s">
        <v>1015</v>
      </c>
    </row>
    <row r="387" spans="1:4">
      <c r="A387" s="154" t="s">
        <v>1107</v>
      </c>
      <c r="B387" s="152">
        <v>1000000</v>
      </c>
      <c r="C387" s="150">
        <v>999999999999.98999</v>
      </c>
      <c r="D387" s="42" t="s">
        <v>1015</v>
      </c>
    </row>
    <row r="388" spans="1:4">
      <c r="A388" s="154" t="s">
        <v>1107</v>
      </c>
      <c r="B388" s="152">
        <v>1000000</v>
      </c>
      <c r="C388" s="150">
        <v>999999999999.98999</v>
      </c>
      <c r="D388" s="42" t="s">
        <v>1015</v>
      </c>
    </row>
    <row r="389" spans="1:4">
      <c r="A389" s="154" t="s">
        <v>1107</v>
      </c>
      <c r="B389" s="152">
        <v>1000000</v>
      </c>
      <c r="C389" s="150">
        <v>999999999999.98999</v>
      </c>
      <c r="D389" s="42" t="s">
        <v>1015</v>
      </c>
    </row>
    <row r="390" spans="1:4">
      <c r="A390" s="154" t="s">
        <v>1107</v>
      </c>
      <c r="B390" s="152">
        <v>1000000</v>
      </c>
      <c r="C390" s="150">
        <v>999999999999.98999</v>
      </c>
      <c r="D390" s="42" t="s">
        <v>1015</v>
      </c>
    </row>
    <row r="391" spans="1:4">
      <c r="A391" s="154" t="s">
        <v>1107</v>
      </c>
      <c r="B391" s="152">
        <v>1000000</v>
      </c>
      <c r="C391" s="150">
        <v>999999999999.98999</v>
      </c>
      <c r="D391" s="42" t="s">
        <v>1015</v>
      </c>
    </row>
    <row r="392" spans="1:4">
      <c r="A392" s="154" t="s">
        <v>1107</v>
      </c>
      <c r="B392" s="152">
        <v>1000000</v>
      </c>
      <c r="C392" s="150">
        <v>999999999999.98999</v>
      </c>
      <c r="D392" s="42" t="s">
        <v>1015</v>
      </c>
    </row>
    <row r="393" spans="1:4">
      <c r="A393" s="154" t="s">
        <v>1107</v>
      </c>
      <c r="B393" s="152">
        <v>1000000</v>
      </c>
      <c r="C393" s="150">
        <v>999999999999.98999</v>
      </c>
      <c r="D393" s="42" t="s">
        <v>1015</v>
      </c>
    </row>
    <row r="394" spans="1:4">
      <c r="A394" s="154" t="s">
        <v>1107</v>
      </c>
      <c r="B394" s="152">
        <v>1000000</v>
      </c>
      <c r="C394" s="150">
        <v>999999999999.98999</v>
      </c>
      <c r="D394" s="42" t="s">
        <v>1015</v>
      </c>
    </row>
    <row r="395" spans="1:4">
      <c r="A395" s="154" t="s">
        <v>1107</v>
      </c>
      <c r="B395" s="152">
        <v>1000000</v>
      </c>
      <c r="C395" s="150">
        <v>999999999999.98999</v>
      </c>
      <c r="D395" s="42" t="s">
        <v>1015</v>
      </c>
    </row>
    <row r="396" spans="1:4">
      <c r="A396" s="154" t="s">
        <v>1107</v>
      </c>
      <c r="B396" s="152">
        <v>1000000</v>
      </c>
      <c r="C396" s="150">
        <v>999999999999.98999</v>
      </c>
      <c r="D396" s="42" t="s">
        <v>1015</v>
      </c>
    </row>
    <row r="397" spans="1:4">
      <c r="A397" s="154" t="s">
        <v>1107</v>
      </c>
      <c r="B397" s="152">
        <v>1000000</v>
      </c>
      <c r="C397" s="150">
        <v>999999999999.98999</v>
      </c>
      <c r="D397" s="42" t="s">
        <v>1015</v>
      </c>
    </row>
    <row r="398" spans="1:4">
      <c r="A398" s="154" t="s">
        <v>1107</v>
      </c>
      <c r="B398" s="152">
        <v>1000000</v>
      </c>
      <c r="C398" s="150">
        <v>999999999999.98999</v>
      </c>
      <c r="D398" s="42" t="s">
        <v>1015</v>
      </c>
    </row>
    <row r="399" spans="1:4">
      <c r="A399" s="154" t="s">
        <v>1107</v>
      </c>
      <c r="B399" s="152">
        <v>1000000</v>
      </c>
      <c r="C399" s="150">
        <v>999999999999.98999</v>
      </c>
      <c r="D399" s="42" t="s">
        <v>1015</v>
      </c>
    </row>
    <row r="400" spans="1:4">
      <c r="A400" s="154" t="s">
        <v>1107</v>
      </c>
      <c r="B400" s="152">
        <v>1000000</v>
      </c>
      <c r="C400" s="150">
        <v>999999999999.98999</v>
      </c>
      <c r="D400" s="42" t="s">
        <v>1015</v>
      </c>
    </row>
    <row r="401" spans="1:4">
      <c r="A401" s="154" t="s">
        <v>1107</v>
      </c>
      <c r="B401" s="152">
        <v>1000000</v>
      </c>
      <c r="C401" s="150">
        <v>999999999999.98999</v>
      </c>
      <c r="D401" s="42" t="s">
        <v>1015</v>
      </c>
    </row>
    <row r="402" spans="1:4">
      <c r="A402" s="154" t="s">
        <v>1107</v>
      </c>
      <c r="B402" s="152">
        <v>1000000</v>
      </c>
      <c r="C402" s="150">
        <v>999999999999.98999</v>
      </c>
      <c r="D402" s="42" t="s">
        <v>1015</v>
      </c>
    </row>
    <row r="403" spans="1:4">
      <c r="A403" s="154" t="s">
        <v>1107</v>
      </c>
      <c r="B403" s="152">
        <v>1000000</v>
      </c>
      <c r="C403" s="150">
        <v>999999999999.98999</v>
      </c>
      <c r="D403" s="42" t="s">
        <v>1015</v>
      </c>
    </row>
    <row r="404" spans="1:4">
      <c r="A404" s="154"/>
      <c r="B404" s="41"/>
      <c r="C404" s="41"/>
      <c r="D404" s="42"/>
    </row>
    <row r="405" spans="1:4">
      <c r="A405" s="154"/>
      <c r="B405" s="41"/>
      <c r="C405" s="41"/>
      <c r="D405" s="42"/>
    </row>
    <row r="406" spans="1:4">
      <c r="A406" s="154" t="s">
        <v>395</v>
      </c>
      <c r="B406" s="152">
        <v>1000000</v>
      </c>
      <c r="C406" s="150">
        <v>999999999999.98999</v>
      </c>
      <c r="D406" s="42" t="s">
        <v>1015</v>
      </c>
    </row>
    <row r="407" spans="1:4">
      <c r="A407" s="154" t="s">
        <v>395</v>
      </c>
      <c r="B407" s="152">
        <v>1000000</v>
      </c>
      <c r="C407" s="150">
        <v>999999999999.98999</v>
      </c>
      <c r="D407" s="42" t="s">
        <v>1015</v>
      </c>
    </row>
    <row r="408" spans="1:4">
      <c r="A408" s="154" t="s">
        <v>395</v>
      </c>
      <c r="B408" s="152">
        <v>1000000</v>
      </c>
      <c r="C408" s="150">
        <v>999999999999.98999</v>
      </c>
      <c r="D408" s="42" t="s">
        <v>1015</v>
      </c>
    </row>
    <row r="409" spans="1:4">
      <c r="A409" s="154" t="s">
        <v>395</v>
      </c>
      <c r="B409" s="152">
        <v>1000000</v>
      </c>
      <c r="C409" s="150">
        <v>999999999999.98999</v>
      </c>
      <c r="D409" s="42" t="s">
        <v>1015</v>
      </c>
    </row>
    <row r="410" spans="1:4">
      <c r="A410" s="154" t="s">
        <v>395</v>
      </c>
      <c r="B410" s="152">
        <v>1000000</v>
      </c>
      <c r="C410" s="150">
        <v>999999999999.98999</v>
      </c>
      <c r="D410" s="42" t="s">
        <v>1015</v>
      </c>
    </row>
    <row r="411" spans="1:4">
      <c r="A411" s="154" t="s">
        <v>395</v>
      </c>
      <c r="B411" s="152">
        <v>1000000</v>
      </c>
      <c r="C411" s="150">
        <v>999999999999.98999</v>
      </c>
      <c r="D411" s="42" t="s">
        <v>1015</v>
      </c>
    </row>
    <row r="412" spans="1:4">
      <c r="A412" s="154" t="s">
        <v>395</v>
      </c>
      <c r="B412" s="152">
        <v>1000000</v>
      </c>
      <c r="C412" s="150">
        <v>999999999999.98999</v>
      </c>
      <c r="D412" s="42" t="s">
        <v>1015</v>
      </c>
    </row>
    <row r="413" spans="1:4">
      <c r="A413" s="154" t="s">
        <v>395</v>
      </c>
      <c r="B413" s="152">
        <v>1000000</v>
      </c>
      <c r="C413" s="150">
        <v>999999999999.98999</v>
      </c>
      <c r="D413" s="42" t="s">
        <v>1015</v>
      </c>
    </row>
    <row r="414" spans="1:4">
      <c r="A414" s="154" t="s">
        <v>395</v>
      </c>
      <c r="B414" s="152">
        <v>1000000</v>
      </c>
      <c r="C414" s="150">
        <v>999999999999.98999</v>
      </c>
      <c r="D414" s="42" t="s">
        <v>1015</v>
      </c>
    </row>
    <row r="415" spans="1:4">
      <c r="A415" s="154" t="s">
        <v>395</v>
      </c>
      <c r="B415" s="152">
        <v>1000000</v>
      </c>
      <c r="C415" s="150">
        <v>999999999999.98999</v>
      </c>
      <c r="D415" s="42" t="s">
        <v>1015</v>
      </c>
    </row>
    <row r="416" spans="1:4">
      <c r="A416" s="154" t="s">
        <v>395</v>
      </c>
      <c r="B416" s="152">
        <v>1000000</v>
      </c>
      <c r="C416" s="150">
        <v>999999999999.98999</v>
      </c>
      <c r="D416" s="42" t="s">
        <v>1015</v>
      </c>
    </row>
    <row r="417" spans="1:4">
      <c r="A417" s="154" t="s">
        <v>395</v>
      </c>
      <c r="B417" s="152">
        <v>1000000</v>
      </c>
      <c r="C417" s="150">
        <v>999999999999.98999</v>
      </c>
      <c r="D417" s="42" t="s">
        <v>1015</v>
      </c>
    </row>
    <row r="418" spans="1:4">
      <c r="A418" s="154" t="s">
        <v>395</v>
      </c>
      <c r="B418" s="152">
        <v>1000000</v>
      </c>
      <c r="C418" s="150">
        <v>999999999999.98999</v>
      </c>
      <c r="D418" s="42" t="s">
        <v>1015</v>
      </c>
    </row>
    <row r="419" spans="1:4">
      <c r="A419" s="154" t="s">
        <v>395</v>
      </c>
      <c r="B419" s="152">
        <v>1000000</v>
      </c>
      <c r="C419" s="150">
        <v>999999999999.98999</v>
      </c>
      <c r="D419" s="42" t="s">
        <v>1015</v>
      </c>
    </row>
    <row r="420" spans="1:4">
      <c r="A420" s="154" t="s">
        <v>395</v>
      </c>
      <c r="B420" s="152">
        <v>1000000</v>
      </c>
      <c r="C420" s="150">
        <v>999999999999.98999</v>
      </c>
      <c r="D420" s="42" t="s">
        <v>1015</v>
      </c>
    </row>
    <row r="421" spans="1:4">
      <c r="A421" s="154" t="s">
        <v>395</v>
      </c>
      <c r="B421" s="152">
        <v>1000000</v>
      </c>
      <c r="C421" s="150">
        <v>999999999999.98999</v>
      </c>
      <c r="D421" s="42" t="s">
        <v>1015</v>
      </c>
    </row>
    <row r="422" spans="1:4">
      <c r="A422" s="154" t="s">
        <v>395</v>
      </c>
      <c r="B422" s="152">
        <v>1000000</v>
      </c>
      <c r="C422" s="150">
        <v>999999999999.98999</v>
      </c>
      <c r="D422" s="42" t="s">
        <v>1015</v>
      </c>
    </row>
    <row r="423" spans="1:4">
      <c r="A423" s="154" t="s">
        <v>395</v>
      </c>
      <c r="B423" s="152">
        <v>1000000</v>
      </c>
      <c r="C423" s="150">
        <v>999999999999.98999</v>
      </c>
      <c r="D423" s="42" t="s">
        <v>1015</v>
      </c>
    </row>
    <row r="424" spans="1:4">
      <c r="A424" s="154" t="s">
        <v>395</v>
      </c>
      <c r="B424" s="152">
        <v>1000000</v>
      </c>
      <c r="C424" s="150">
        <v>999999999999.98999</v>
      </c>
      <c r="D424" s="42" t="s">
        <v>1015</v>
      </c>
    </row>
    <row r="425" spans="1:4">
      <c r="A425" s="154" t="s">
        <v>395</v>
      </c>
      <c r="B425" s="152">
        <v>1000000</v>
      </c>
      <c r="C425" s="150">
        <v>999999999999.98999</v>
      </c>
      <c r="D425" s="42" t="s">
        <v>1015</v>
      </c>
    </row>
    <row r="426" spans="1:4">
      <c r="A426" s="154"/>
      <c r="B426" s="41"/>
      <c r="C426" s="41"/>
      <c r="D426" s="42" t="s">
        <v>1027</v>
      </c>
    </row>
    <row r="427" spans="1:4">
      <c r="A427" s="154"/>
      <c r="B427" s="41"/>
      <c r="C427" s="41"/>
      <c r="D427" s="42"/>
    </row>
    <row r="428" spans="1:4">
      <c r="A428" s="154"/>
      <c r="B428" s="41"/>
      <c r="C428" s="41"/>
      <c r="D428" s="42"/>
    </row>
    <row r="429" spans="1:4">
      <c r="A429" s="154"/>
      <c r="B429" s="41"/>
      <c r="C429" s="41"/>
      <c r="D429" s="42"/>
    </row>
    <row r="430" spans="1:4">
      <c r="B430" s="41"/>
      <c r="C430" s="41"/>
      <c r="D430" s="42"/>
    </row>
    <row r="431" spans="1:4">
      <c r="B431" s="41"/>
      <c r="C431" s="41"/>
      <c r="D431" s="42"/>
    </row>
    <row r="432" spans="1:4">
      <c r="A432" s="154" t="s">
        <v>394</v>
      </c>
      <c r="B432" s="152">
        <v>1000000</v>
      </c>
      <c r="C432" s="150">
        <v>999999999999.98999</v>
      </c>
      <c r="D432" s="42" t="s">
        <v>1015</v>
      </c>
    </row>
    <row r="433" spans="1:4">
      <c r="A433" s="154" t="s">
        <v>394</v>
      </c>
      <c r="B433" s="152">
        <v>1000000</v>
      </c>
      <c r="C433" s="150">
        <v>999999999999.98999</v>
      </c>
      <c r="D433" s="42" t="s">
        <v>1015</v>
      </c>
    </row>
    <row r="434" spans="1:4">
      <c r="A434" s="154" t="s">
        <v>394</v>
      </c>
      <c r="B434" s="152">
        <v>1000000</v>
      </c>
      <c r="C434" s="150">
        <v>999999999999.98999</v>
      </c>
      <c r="D434" s="42" t="s">
        <v>1015</v>
      </c>
    </row>
    <row r="435" spans="1:4">
      <c r="A435" s="154" t="s">
        <v>394</v>
      </c>
      <c r="B435" s="152">
        <v>1000000</v>
      </c>
      <c r="C435" s="150">
        <v>999999999999.98999</v>
      </c>
      <c r="D435" s="42" t="s">
        <v>1015</v>
      </c>
    </row>
    <row r="436" spans="1:4">
      <c r="A436" s="154" t="s">
        <v>394</v>
      </c>
      <c r="B436" s="152">
        <v>1000000</v>
      </c>
      <c r="C436" s="150">
        <v>999999999999.98999</v>
      </c>
      <c r="D436" s="42" t="s">
        <v>1015</v>
      </c>
    </row>
    <row r="437" spans="1:4">
      <c r="A437" s="154" t="s">
        <v>394</v>
      </c>
      <c r="B437" s="152">
        <v>1000000</v>
      </c>
      <c r="C437" s="150">
        <v>999999999999.98999</v>
      </c>
      <c r="D437" s="42" t="s">
        <v>1015</v>
      </c>
    </row>
    <row r="438" spans="1:4">
      <c r="A438" s="154" t="s">
        <v>394</v>
      </c>
      <c r="B438" s="152">
        <v>1000000</v>
      </c>
      <c r="C438" s="150">
        <v>999999999999.98999</v>
      </c>
      <c r="D438" s="42" t="s">
        <v>1015</v>
      </c>
    </row>
    <row r="439" spans="1:4">
      <c r="A439" s="154" t="s">
        <v>394</v>
      </c>
      <c r="B439" s="152">
        <v>1000000</v>
      </c>
      <c r="C439" s="150">
        <v>999999999999.98999</v>
      </c>
      <c r="D439" s="42" t="s">
        <v>1015</v>
      </c>
    </row>
    <row r="440" spans="1:4">
      <c r="A440" s="154" t="s">
        <v>394</v>
      </c>
      <c r="B440" s="152">
        <v>1000000</v>
      </c>
      <c r="C440" s="150">
        <v>999999999999.98999</v>
      </c>
      <c r="D440" s="42" t="s">
        <v>1015</v>
      </c>
    </row>
    <row r="441" spans="1:4">
      <c r="A441" s="154" t="s">
        <v>394</v>
      </c>
      <c r="B441" s="152">
        <v>1000000</v>
      </c>
      <c r="C441" s="150">
        <v>999999999999.98999</v>
      </c>
      <c r="D441" s="42" t="s">
        <v>1015</v>
      </c>
    </row>
    <row r="442" spans="1:4">
      <c r="A442" s="154" t="s">
        <v>394</v>
      </c>
      <c r="B442" s="152">
        <v>1000000</v>
      </c>
      <c r="C442" s="150">
        <v>999999999999.98999</v>
      </c>
      <c r="D442" s="42" t="s">
        <v>1015</v>
      </c>
    </row>
    <row r="443" spans="1:4">
      <c r="A443" s="154" t="s">
        <v>394</v>
      </c>
      <c r="B443" s="152">
        <v>1000000</v>
      </c>
      <c r="C443" s="150">
        <v>999999999999.98999</v>
      </c>
      <c r="D443" s="42" t="s">
        <v>1015</v>
      </c>
    </row>
    <row r="444" spans="1:4">
      <c r="A444" s="154" t="s">
        <v>394</v>
      </c>
      <c r="B444" s="152">
        <v>1000000</v>
      </c>
      <c r="C444" s="150">
        <v>999999999999.98999</v>
      </c>
      <c r="D444" s="42" t="s">
        <v>1015</v>
      </c>
    </row>
    <row r="445" spans="1:4">
      <c r="A445" s="154" t="s">
        <v>394</v>
      </c>
      <c r="B445" s="152">
        <v>1000000</v>
      </c>
      <c r="C445" s="150">
        <v>999999999999.98999</v>
      </c>
      <c r="D445" s="42" t="s">
        <v>1015</v>
      </c>
    </row>
    <row r="446" spans="1:4">
      <c r="A446" s="154" t="s">
        <v>394</v>
      </c>
      <c r="B446" s="152">
        <v>1000000</v>
      </c>
      <c r="C446" s="150">
        <v>999999999999.98999</v>
      </c>
      <c r="D446" s="42" t="s">
        <v>1015</v>
      </c>
    </row>
    <row r="447" spans="1:4">
      <c r="A447" s="154" t="s">
        <v>394</v>
      </c>
      <c r="B447" s="152">
        <v>1000000</v>
      </c>
      <c r="C447" s="150">
        <v>999999999999.98999</v>
      </c>
      <c r="D447" s="42" t="s">
        <v>1015</v>
      </c>
    </row>
    <row r="448" spans="1:4">
      <c r="A448" s="154" t="s">
        <v>394</v>
      </c>
      <c r="B448" s="152">
        <v>1000000</v>
      </c>
      <c r="C448" s="150">
        <v>999999999999.98999</v>
      </c>
      <c r="D448" s="42" t="s">
        <v>1015</v>
      </c>
    </row>
    <row r="449" spans="1:4">
      <c r="A449" s="154" t="s">
        <v>394</v>
      </c>
      <c r="B449" s="152">
        <v>1000000</v>
      </c>
      <c r="C449" s="150">
        <v>999999999999.98999</v>
      </c>
      <c r="D449" s="42" t="s">
        <v>1015</v>
      </c>
    </row>
    <row r="450" spans="1:4">
      <c r="A450" s="154" t="s">
        <v>394</v>
      </c>
      <c r="B450" s="152">
        <v>1000000</v>
      </c>
      <c r="C450" s="150">
        <v>999999999999.98999</v>
      </c>
      <c r="D450" s="42" t="s">
        <v>1015</v>
      </c>
    </row>
    <row r="451" spans="1:4">
      <c r="A451" s="154" t="s">
        <v>394</v>
      </c>
      <c r="B451" s="152">
        <v>1000000</v>
      </c>
      <c r="C451" s="150">
        <v>999999999999.98999</v>
      </c>
      <c r="D451" s="42" t="s">
        <v>1015</v>
      </c>
    </row>
    <row r="452" spans="1:4">
      <c r="A452" s="154"/>
      <c r="B452" s="41"/>
      <c r="C452" s="41"/>
      <c r="D452" s="42"/>
    </row>
    <row r="453" spans="1:4">
      <c r="A453" s="154"/>
      <c r="B453" s="41"/>
      <c r="C453" s="41"/>
      <c r="D453" s="42"/>
    </row>
    <row r="454" spans="1:4">
      <c r="A454" s="154" t="s">
        <v>1107</v>
      </c>
      <c r="B454" s="152">
        <v>1000000</v>
      </c>
      <c r="C454" s="150">
        <v>999999999999.98999</v>
      </c>
      <c r="D454" s="42" t="s">
        <v>1015</v>
      </c>
    </row>
    <row r="455" spans="1:4">
      <c r="A455" s="154" t="s">
        <v>1107</v>
      </c>
      <c r="B455" s="152">
        <v>1000000</v>
      </c>
      <c r="C455" s="150">
        <v>999999999999.98999</v>
      </c>
      <c r="D455" s="42" t="s">
        <v>1015</v>
      </c>
    </row>
    <row r="456" spans="1:4">
      <c r="A456" s="154" t="s">
        <v>1107</v>
      </c>
      <c r="B456" s="152">
        <v>1000000</v>
      </c>
      <c r="C456" s="150">
        <v>999999999999.98999</v>
      </c>
      <c r="D456" s="42" t="s">
        <v>1015</v>
      </c>
    </row>
    <row r="457" spans="1:4">
      <c r="A457" s="154" t="s">
        <v>1107</v>
      </c>
      <c r="B457" s="152">
        <v>1000000</v>
      </c>
      <c r="C457" s="150">
        <v>999999999999.98999</v>
      </c>
      <c r="D457" s="42" t="s">
        <v>1015</v>
      </c>
    </row>
    <row r="458" spans="1:4">
      <c r="A458" s="154" t="s">
        <v>1107</v>
      </c>
      <c r="B458" s="152">
        <v>1000000</v>
      </c>
      <c r="C458" s="150">
        <v>999999999999.98999</v>
      </c>
      <c r="D458" s="42" t="s">
        <v>1015</v>
      </c>
    </row>
    <row r="459" spans="1:4">
      <c r="A459" s="154" t="s">
        <v>1107</v>
      </c>
      <c r="B459" s="152">
        <v>1000000</v>
      </c>
      <c r="C459" s="150">
        <v>999999999999.98999</v>
      </c>
      <c r="D459" s="42" t="s">
        <v>1015</v>
      </c>
    </row>
    <row r="460" spans="1:4">
      <c r="A460" s="154" t="s">
        <v>1107</v>
      </c>
      <c r="B460" s="152">
        <v>1000000</v>
      </c>
      <c r="C460" s="150">
        <v>999999999999.98999</v>
      </c>
      <c r="D460" s="42" t="s">
        <v>1015</v>
      </c>
    </row>
    <row r="461" spans="1:4">
      <c r="A461" s="154" t="s">
        <v>1107</v>
      </c>
      <c r="B461" s="152">
        <v>1000000</v>
      </c>
      <c r="C461" s="150">
        <v>999999999999.98999</v>
      </c>
      <c r="D461" s="42" t="s">
        <v>1015</v>
      </c>
    </row>
    <row r="462" spans="1:4">
      <c r="A462" s="154" t="s">
        <v>1107</v>
      </c>
      <c r="B462" s="152">
        <v>1000000</v>
      </c>
      <c r="C462" s="150">
        <v>999999999999.98999</v>
      </c>
      <c r="D462" s="42" t="s">
        <v>1015</v>
      </c>
    </row>
    <row r="463" spans="1:4">
      <c r="A463" s="154" t="s">
        <v>1107</v>
      </c>
      <c r="B463" s="152">
        <v>1000000</v>
      </c>
      <c r="C463" s="150">
        <v>999999999999.98999</v>
      </c>
      <c r="D463" s="42" t="s">
        <v>1015</v>
      </c>
    </row>
    <row r="464" spans="1:4">
      <c r="A464" s="154" t="s">
        <v>1107</v>
      </c>
      <c r="B464" s="152">
        <v>1000000</v>
      </c>
      <c r="C464" s="150">
        <v>999999999999.98999</v>
      </c>
      <c r="D464" s="42" t="s">
        <v>1015</v>
      </c>
    </row>
    <row r="465" spans="1:4">
      <c r="A465" s="154" t="s">
        <v>1107</v>
      </c>
      <c r="B465" s="152">
        <v>1000000</v>
      </c>
      <c r="C465" s="150">
        <v>999999999999.98999</v>
      </c>
      <c r="D465" s="42" t="s">
        <v>1015</v>
      </c>
    </row>
    <row r="466" spans="1:4">
      <c r="A466" s="154" t="s">
        <v>1107</v>
      </c>
      <c r="B466" s="152">
        <v>1000000</v>
      </c>
      <c r="C466" s="150">
        <v>999999999999.98999</v>
      </c>
      <c r="D466" s="42" t="s">
        <v>1015</v>
      </c>
    </row>
    <row r="467" spans="1:4">
      <c r="A467" s="154" t="s">
        <v>1107</v>
      </c>
      <c r="B467" s="152">
        <v>1000000</v>
      </c>
      <c r="C467" s="150">
        <v>999999999999.98999</v>
      </c>
      <c r="D467" s="42" t="s">
        <v>1015</v>
      </c>
    </row>
    <row r="468" spans="1:4">
      <c r="A468" s="154" t="s">
        <v>1107</v>
      </c>
      <c r="B468" s="152">
        <v>1000000</v>
      </c>
      <c r="C468" s="150">
        <v>999999999999.98999</v>
      </c>
      <c r="D468" s="42" t="s">
        <v>1015</v>
      </c>
    </row>
    <row r="469" spans="1:4">
      <c r="A469" s="154" t="s">
        <v>1107</v>
      </c>
      <c r="B469" s="152">
        <v>1000000</v>
      </c>
      <c r="C469" s="150">
        <v>999999999999.98999</v>
      </c>
      <c r="D469" s="42" t="s">
        <v>1015</v>
      </c>
    </row>
    <row r="470" spans="1:4">
      <c r="A470" s="154" t="s">
        <v>1107</v>
      </c>
      <c r="B470" s="152">
        <v>1000000</v>
      </c>
      <c r="C470" s="150">
        <v>999999999999.98999</v>
      </c>
      <c r="D470" s="42" t="s">
        <v>1015</v>
      </c>
    </row>
    <row r="471" spans="1:4">
      <c r="A471" s="154" t="s">
        <v>1107</v>
      </c>
      <c r="B471" s="152">
        <v>1000000</v>
      </c>
      <c r="C471" s="150">
        <v>999999999999.98999</v>
      </c>
      <c r="D471" s="42" t="s">
        <v>1015</v>
      </c>
    </row>
    <row r="472" spans="1:4">
      <c r="A472" s="154" t="s">
        <v>1107</v>
      </c>
      <c r="B472" s="152">
        <v>1000000</v>
      </c>
      <c r="C472" s="150">
        <v>999999999999.98999</v>
      </c>
      <c r="D472" s="42" t="s">
        <v>1015</v>
      </c>
    </row>
    <row r="473" spans="1:4">
      <c r="A473" s="154" t="s">
        <v>1107</v>
      </c>
      <c r="B473" s="152">
        <v>1000000</v>
      </c>
      <c r="C473" s="150">
        <v>999999999999.98999</v>
      </c>
      <c r="D473" s="42" t="s">
        <v>1015</v>
      </c>
    </row>
    <row r="474" spans="1:4">
      <c r="A474" s="154"/>
      <c r="B474" s="41"/>
      <c r="C474" s="41"/>
      <c r="D474" s="42"/>
    </row>
    <row r="475" spans="1:4">
      <c r="A475" s="154"/>
      <c r="B475" s="41"/>
      <c r="C475" s="41"/>
      <c r="D475" s="42"/>
    </row>
    <row r="476" spans="1:4">
      <c r="A476" s="154" t="s">
        <v>395</v>
      </c>
      <c r="B476" s="152">
        <v>1000000</v>
      </c>
      <c r="C476" s="150">
        <v>999999999999.98999</v>
      </c>
      <c r="D476" s="42" t="s">
        <v>1015</v>
      </c>
    </row>
    <row r="477" spans="1:4">
      <c r="A477" s="154" t="s">
        <v>395</v>
      </c>
      <c r="B477" s="152">
        <v>1000000</v>
      </c>
      <c r="C477" s="150">
        <v>999999999999.98999</v>
      </c>
      <c r="D477" s="42" t="s">
        <v>1015</v>
      </c>
    </row>
    <row r="478" spans="1:4">
      <c r="A478" s="154" t="s">
        <v>395</v>
      </c>
      <c r="B478" s="152">
        <v>1000000</v>
      </c>
      <c r="C478" s="150">
        <v>999999999999.98999</v>
      </c>
      <c r="D478" s="42" t="s">
        <v>1015</v>
      </c>
    </row>
    <row r="479" spans="1:4">
      <c r="A479" s="154" t="s">
        <v>395</v>
      </c>
      <c r="B479" s="152">
        <v>1000000</v>
      </c>
      <c r="C479" s="150">
        <v>999999999999.98999</v>
      </c>
      <c r="D479" s="42" t="s">
        <v>1015</v>
      </c>
    </row>
    <row r="480" spans="1:4">
      <c r="A480" s="154" t="s">
        <v>395</v>
      </c>
      <c r="B480" s="152">
        <v>1000000</v>
      </c>
      <c r="C480" s="150">
        <v>999999999999.98999</v>
      </c>
      <c r="D480" s="42" t="s">
        <v>1015</v>
      </c>
    </row>
    <row r="481" spans="1:4">
      <c r="A481" s="154" t="s">
        <v>395</v>
      </c>
      <c r="B481" s="152">
        <v>1000000</v>
      </c>
      <c r="C481" s="150">
        <v>999999999999.98999</v>
      </c>
      <c r="D481" s="42" t="s">
        <v>1015</v>
      </c>
    </row>
    <row r="482" spans="1:4">
      <c r="A482" s="154" t="s">
        <v>395</v>
      </c>
      <c r="B482" s="152">
        <v>1000000</v>
      </c>
      <c r="C482" s="150">
        <v>999999999999.98999</v>
      </c>
      <c r="D482" s="42" t="s">
        <v>1015</v>
      </c>
    </row>
    <row r="483" spans="1:4">
      <c r="A483" s="154" t="s">
        <v>395</v>
      </c>
      <c r="B483" s="152">
        <v>1000000</v>
      </c>
      <c r="C483" s="150">
        <v>999999999999.98999</v>
      </c>
      <c r="D483" s="42" t="s">
        <v>1015</v>
      </c>
    </row>
    <row r="484" spans="1:4">
      <c r="A484" s="154" t="s">
        <v>395</v>
      </c>
      <c r="B484" s="152">
        <v>1000000</v>
      </c>
      <c r="C484" s="150">
        <v>999999999999.98999</v>
      </c>
      <c r="D484" s="42" t="s">
        <v>1015</v>
      </c>
    </row>
    <row r="485" spans="1:4">
      <c r="A485" s="154" t="s">
        <v>395</v>
      </c>
      <c r="B485" s="152">
        <v>1000000</v>
      </c>
      <c r="C485" s="150">
        <v>999999999999.98999</v>
      </c>
      <c r="D485" s="42" t="s">
        <v>1015</v>
      </c>
    </row>
    <row r="486" spans="1:4">
      <c r="A486" s="154" t="s">
        <v>395</v>
      </c>
      <c r="B486" s="152">
        <v>1000000</v>
      </c>
      <c r="C486" s="150">
        <v>999999999999.98999</v>
      </c>
      <c r="D486" s="42" t="s">
        <v>1015</v>
      </c>
    </row>
    <row r="487" spans="1:4">
      <c r="A487" s="154" t="s">
        <v>395</v>
      </c>
      <c r="B487" s="152">
        <v>1000000</v>
      </c>
      <c r="C487" s="150">
        <v>999999999999.98999</v>
      </c>
      <c r="D487" s="42" t="s">
        <v>1015</v>
      </c>
    </row>
    <row r="488" spans="1:4">
      <c r="A488" s="154" t="s">
        <v>395</v>
      </c>
      <c r="B488" s="152">
        <v>1000000</v>
      </c>
      <c r="C488" s="150">
        <v>999999999999.98999</v>
      </c>
      <c r="D488" s="42" t="s">
        <v>1015</v>
      </c>
    </row>
    <row r="489" spans="1:4">
      <c r="A489" s="154" t="s">
        <v>395</v>
      </c>
      <c r="B489" s="152">
        <v>1000000</v>
      </c>
      <c r="C489" s="150">
        <v>999999999999.98999</v>
      </c>
      <c r="D489" s="42" t="s">
        <v>1015</v>
      </c>
    </row>
    <row r="490" spans="1:4">
      <c r="A490" s="154" t="s">
        <v>395</v>
      </c>
      <c r="B490" s="152">
        <v>1000000</v>
      </c>
      <c r="C490" s="150">
        <v>999999999999.98999</v>
      </c>
      <c r="D490" s="42" t="s">
        <v>1015</v>
      </c>
    </row>
    <row r="491" spans="1:4">
      <c r="A491" s="154" t="s">
        <v>395</v>
      </c>
      <c r="B491" s="152">
        <v>1000000</v>
      </c>
      <c r="C491" s="150">
        <v>999999999999.98999</v>
      </c>
      <c r="D491" s="42" t="s">
        <v>1015</v>
      </c>
    </row>
    <row r="492" spans="1:4">
      <c r="A492" s="154" t="s">
        <v>395</v>
      </c>
      <c r="B492" s="152">
        <v>1000000</v>
      </c>
      <c r="C492" s="150">
        <v>999999999999.98999</v>
      </c>
      <c r="D492" s="42" t="s">
        <v>1015</v>
      </c>
    </row>
    <row r="493" spans="1:4">
      <c r="A493" s="154" t="s">
        <v>395</v>
      </c>
      <c r="B493" s="152">
        <v>1000000</v>
      </c>
      <c r="C493" s="150">
        <v>999999999999.98999</v>
      </c>
      <c r="D493" s="42" t="s">
        <v>1015</v>
      </c>
    </row>
    <row r="494" spans="1:4">
      <c r="A494" s="154" t="s">
        <v>395</v>
      </c>
      <c r="B494" s="152">
        <v>1000000</v>
      </c>
      <c r="C494" s="150">
        <v>999999999999.98999</v>
      </c>
      <c r="D494" s="42" t="s">
        <v>1015</v>
      </c>
    </row>
    <row r="495" spans="1:4">
      <c r="A495" s="154" t="s">
        <v>395</v>
      </c>
      <c r="B495" s="152">
        <v>1000000</v>
      </c>
      <c r="C495" s="150">
        <v>999999999999.98999</v>
      </c>
      <c r="D495" s="42" t="s">
        <v>1015</v>
      </c>
    </row>
    <row r="496" spans="1:4">
      <c r="A496" s="154" t="s">
        <v>1027</v>
      </c>
      <c r="B496" s="41"/>
      <c r="C496" s="41"/>
      <c r="D496" s="42"/>
    </row>
    <row r="497" spans="1:4">
      <c r="A497" s="154" t="s">
        <v>1027</v>
      </c>
      <c r="B497" s="41"/>
      <c r="C497" s="41"/>
      <c r="D497" s="42"/>
    </row>
    <row r="498" spans="1:4">
      <c r="A498" s="154" t="s">
        <v>1027</v>
      </c>
      <c r="B498" s="41"/>
      <c r="C498" s="41"/>
      <c r="D498" s="42"/>
    </row>
    <row r="499" spans="1:4">
      <c r="A499" s="154" t="s">
        <v>1027</v>
      </c>
      <c r="B499" s="41"/>
      <c r="C499" s="41"/>
      <c r="D499" s="42"/>
    </row>
    <row r="500" spans="1:4">
      <c r="B500" s="41"/>
      <c r="C500" s="41"/>
      <c r="D500" s="42"/>
    </row>
    <row r="501" spans="1:4">
      <c r="A501" s="154"/>
      <c r="B501" s="41"/>
      <c r="C501" s="41"/>
      <c r="D501" s="42"/>
    </row>
    <row r="502" spans="1:4">
      <c r="A502" s="154"/>
      <c r="B502" s="41"/>
      <c r="C502" s="41"/>
      <c r="D502" s="42"/>
    </row>
    <row r="503" spans="1:4">
      <c r="A503" s="154"/>
      <c r="B503" s="41"/>
      <c r="C503" s="41"/>
      <c r="D503" s="42"/>
    </row>
    <row r="504" spans="1:4">
      <c r="A504" s="154"/>
      <c r="B504" s="41"/>
      <c r="C504" s="41"/>
      <c r="D504" s="42"/>
    </row>
    <row r="505" spans="1:4">
      <c r="A505" s="154"/>
      <c r="B505" s="41"/>
      <c r="C505" s="41"/>
      <c r="D505" s="42"/>
    </row>
    <row r="506" spans="1:4">
      <c r="B506" s="41"/>
      <c r="C506" s="41"/>
      <c r="D506" s="42"/>
    </row>
    <row r="507" spans="1:4">
      <c r="B507" s="41"/>
      <c r="C507" s="41"/>
      <c r="D507" s="42"/>
    </row>
    <row r="508" spans="1:4">
      <c r="B508" s="41"/>
      <c r="C508" s="41"/>
      <c r="D508" s="42"/>
    </row>
    <row r="509" spans="1:4">
      <c r="B509" s="41"/>
      <c r="C509" s="41"/>
      <c r="D509" s="42"/>
    </row>
    <row r="510" spans="1:4">
      <c r="A510" s="45"/>
      <c r="B510" s="41"/>
      <c r="C510" s="41"/>
      <c r="D510" s="42"/>
    </row>
    <row r="511" spans="1:4">
      <c r="A511" s="45"/>
      <c r="B511" s="41"/>
      <c r="C511" s="41"/>
      <c r="D511" s="42"/>
    </row>
    <row r="512" spans="1:4">
      <c r="A512" s="45"/>
      <c r="B512" s="41"/>
      <c r="C512" s="41"/>
      <c r="D512" s="42"/>
    </row>
    <row r="513" spans="1:4">
      <c r="A513" s="45"/>
      <c r="B513" s="41"/>
      <c r="C513" s="41"/>
      <c r="D513" s="42"/>
    </row>
    <row r="514" spans="1:4">
      <c r="A514" s="45"/>
      <c r="B514" s="41"/>
      <c r="C514" s="41"/>
      <c r="D514" s="42"/>
    </row>
    <row r="515" spans="1:4">
      <c r="A515" s="45"/>
      <c r="B515" s="41"/>
      <c r="C515" s="41"/>
      <c r="D515" s="42"/>
    </row>
    <row r="516" spans="1:4">
      <c r="A516" s="45"/>
      <c r="B516" s="41"/>
      <c r="C516" s="41"/>
      <c r="D516" s="42"/>
    </row>
    <row r="517" spans="1:4">
      <c r="A517" s="45"/>
      <c r="B517" s="41"/>
      <c r="C517" s="41"/>
      <c r="D517" s="42"/>
    </row>
    <row r="518" spans="1:4">
      <c r="A518" s="45"/>
      <c r="B518" s="41"/>
      <c r="C518" s="41"/>
      <c r="D518" s="42"/>
    </row>
    <row r="519" spans="1:4">
      <c r="A519" s="45"/>
      <c r="B519" s="41"/>
      <c r="C519" s="41"/>
      <c r="D519" s="42"/>
    </row>
    <row r="520" spans="1:4">
      <c r="A520" s="45"/>
      <c r="B520" s="41"/>
      <c r="C520" s="41"/>
      <c r="D520" s="42"/>
    </row>
    <row r="521" spans="1:4">
      <c r="A521" s="45"/>
      <c r="B521" s="41"/>
      <c r="C521" s="41"/>
      <c r="D521" s="42"/>
    </row>
    <row r="522" spans="1:4">
      <c r="A522" s="45"/>
      <c r="B522" s="41"/>
      <c r="C522" s="41"/>
      <c r="D522" s="42"/>
    </row>
    <row r="523" spans="1:4">
      <c r="A523" s="45"/>
      <c r="B523" s="41"/>
      <c r="C523" s="41"/>
      <c r="D523" s="42"/>
    </row>
    <row r="524" spans="1:4">
      <c r="A524" s="45"/>
      <c r="B524" s="41"/>
      <c r="C524" s="41"/>
      <c r="D524" s="42"/>
    </row>
    <row r="525" spans="1:4">
      <c r="A525" s="45"/>
      <c r="B525" s="41"/>
      <c r="C525" s="41"/>
      <c r="D525" s="42"/>
    </row>
    <row r="526" spans="1:4">
      <c r="A526" s="45"/>
      <c r="B526" s="41"/>
      <c r="C526" s="41"/>
      <c r="D526" s="42"/>
    </row>
    <row r="527" spans="1:4">
      <c r="A527" s="45"/>
      <c r="B527" s="41"/>
      <c r="C527" s="41"/>
      <c r="D527" s="42"/>
    </row>
    <row r="528" spans="1:4">
      <c r="A528" s="45"/>
      <c r="B528" s="41"/>
      <c r="C528" s="41"/>
      <c r="D528" s="42"/>
    </row>
    <row r="529" spans="1:4">
      <c r="A529" s="45"/>
      <c r="B529" s="41"/>
      <c r="C529" s="41"/>
      <c r="D529" s="42"/>
    </row>
    <row r="530" spans="1:4">
      <c r="A530" s="155"/>
      <c r="B530" s="41"/>
      <c r="C530" s="41"/>
      <c r="D530" s="42"/>
    </row>
    <row r="531" spans="1:4">
      <c r="A531" s="155"/>
      <c r="B531" s="41"/>
      <c r="C531" s="41"/>
      <c r="D531" s="42"/>
    </row>
    <row r="532" spans="1:4">
      <c r="A532" s="155"/>
      <c r="B532" s="41"/>
      <c r="C532" s="41"/>
      <c r="D532" s="42"/>
    </row>
    <row r="533" spans="1:4">
      <c r="A533" s="155"/>
      <c r="B533" s="41"/>
      <c r="C533" s="41"/>
      <c r="D533" s="42"/>
    </row>
    <row r="534" spans="1:4">
      <c r="A534" s="155"/>
      <c r="B534" s="41"/>
      <c r="C534" s="41"/>
      <c r="D534" s="42"/>
    </row>
    <row r="535" spans="1:4">
      <c r="A535" s="155"/>
      <c r="B535" s="41"/>
      <c r="C535" s="41"/>
      <c r="D535" s="42"/>
    </row>
    <row r="536" spans="1:4">
      <c r="A536" s="155"/>
      <c r="B536" s="41"/>
      <c r="C536" s="41"/>
      <c r="D536" s="42"/>
    </row>
    <row r="537" spans="1:4">
      <c r="A537" s="155"/>
      <c r="B537" s="41"/>
      <c r="C537" s="41"/>
      <c r="D537" s="42"/>
    </row>
    <row r="538" spans="1:4">
      <c r="A538" s="155"/>
      <c r="B538" s="41"/>
      <c r="C538" s="41"/>
      <c r="D538" s="42"/>
    </row>
    <row r="539" spans="1:4">
      <c r="A539" s="155"/>
      <c r="B539" s="41"/>
      <c r="C539" s="41"/>
      <c r="D539" s="42"/>
    </row>
    <row r="540" spans="1:4">
      <c r="A540" s="155"/>
      <c r="B540" s="41"/>
      <c r="C540" s="41"/>
      <c r="D540" s="42"/>
    </row>
    <row r="541" spans="1:4">
      <c r="A541" s="155"/>
      <c r="B541" s="41"/>
      <c r="C541" s="41"/>
      <c r="D541" s="42"/>
    </row>
    <row r="542" spans="1:4">
      <c r="A542" s="155"/>
      <c r="B542" s="41"/>
      <c r="C542" s="41"/>
      <c r="D542" s="42"/>
    </row>
    <row r="543" spans="1:4">
      <c r="A543" s="155"/>
      <c r="B543" s="152"/>
      <c r="C543" s="152"/>
      <c r="D543" s="153"/>
    </row>
    <row r="544" spans="1:4">
      <c r="A544" s="155"/>
      <c r="B544" s="152"/>
      <c r="C544" s="152"/>
      <c r="D544" s="153"/>
    </row>
    <row r="545" spans="1:4">
      <c r="A545" s="155"/>
      <c r="B545" s="152"/>
      <c r="C545" s="152"/>
      <c r="D545" s="153"/>
    </row>
    <row r="546" spans="1:4">
      <c r="A546" s="155"/>
      <c r="B546" s="152"/>
      <c r="C546" s="152"/>
      <c r="D546" s="153"/>
    </row>
    <row r="547" spans="1:4">
      <c r="A547" s="155"/>
      <c r="B547" s="152"/>
      <c r="C547" s="152"/>
      <c r="D547" s="153"/>
    </row>
    <row r="548" spans="1:4">
      <c r="A548" s="155"/>
      <c r="B548" s="152"/>
      <c r="C548" s="152"/>
      <c r="D548" s="153"/>
    </row>
    <row r="549" spans="1:4">
      <c r="A549" s="155"/>
      <c r="B549" s="152"/>
      <c r="C549" s="152"/>
      <c r="D549" s="153"/>
    </row>
    <row r="550" spans="1:4">
      <c r="A550" s="155"/>
      <c r="B550" s="152"/>
      <c r="C550" s="152"/>
      <c r="D550" s="153"/>
    </row>
    <row r="551" spans="1:4">
      <c r="A551" s="155"/>
      <c r="B551" s="152"/>
      <c r="C551" s="152"/>
      <c r="D551" s="153"/>
    </row>
    <row r="552" spans="1:4">
      <c r="A552" s="155"/>
      <c r="B552" s="152"/>
      <c r="C552" s="152"/>
      <c r="D552" s="153"/>
    </row>
    <row r="553" spans="1:4">
      <c r="A553" s="155"/>
      <c r="B553" s="152"/>
      <c r="C553" s="152"/>
      <c r="D553" s="153"/>
    </row>
    <row r="554" spans="1:4">
      <c r="A554" s="155"/>
      <c r="B554" s="152"/>
      <c r="C554" s="152"/>
      <c r="D554" s="153"/>
    </row>
    <row r="555" spans="1:4">
      <c r="A555" s="155"/>
      <c r="B555" s="152"/>
      <c r="C555" s="152"/>
      <c r="D555" s="153"/>
    </row>
    <row r="556" spans="1:4">
      <c r="A556" s="155"/>
      <c r="B556" s="152"/>
      <c r="C556" s="152"/>
      <c r="D556" s="153"/>
    </row>
    <row r="557" spans="1:4">
      <c r="A557" s="155"/>
      <c r="B557" s="152"/>
      <c r="C557" s="152"/>
      <c r="D557" s="153"/>
    </row>
    <row r="558" spans="1:4">
      <c r="A558" s="155"/>
      <c r="B558" s="152"/>
      <c r="C558" s="152"/>
      <c r="D558" s="153"/>
    </row>
    <row r="559" spans="1:4">
      <c r="A559" s="155"/>
      <c r="B559" s="152"/>
      <c r="C559" s="152"/>
      <c r="D559" s="153"/>
    </row>
    <row r="560" spans="1:4">
      <c r="A560" s="155"/>
      <c r="B560" s="152"/>
      <c r="C560" s="152"/>
      <c r="D560" s="153"/>
    </row>
    <row r="561" spans="1:4">
      <c r="A561" s="155"/>
      <c r="B561" s="152"/>
      <c r="C561" s="152"/>
      <c r="D561" s="153"/>
    </row>
    <row r="562" spans="1:4">
      <c r="A562" s="155"/>
      <c r="B562" s="152"/>
      <c r="C562" s="152"/>
      <c r="D562" s="153"/>
    </row>
    <row r="563" spans="1:4">
      <c r="A563" s="155"/>
      <c r="B563" s="152"/>
      <c r="C563" s="152"/>
      <c r="D563" s="153"/>
    </row>
    <row r="564" spans="1:4">
      <c r="A564" s="155"/>
      <c r="B564" s="152"/>
      <c r="C564" s="152"/>
      <c r="D564" s="153"/>
    </row>
    <row r="565" spans="1:4">
      <c r="A565" s="155"/>
      <c r="B565" s="152"/>
      <c r="C565" s="152"/>
      <c r="D565" s="153"/>
    </row>
    <row r="566" spans="1:4">
      <c r="A566" s="155"/>
      <c r="B566" s="152"/>
      <c r="C566" s="152"/>
      <c r="D566" s="153"/>
    </row>
    <row r="567" spans="1:4">
      <c r="A567" s="155"/>
      <c r="B567" s="152"/>
      <c r="C567" s="152"/>
      <c r="D567" s="153"/>
    </row>
    <row r="568" spans="1:4">
      <c r="A568" s="155"/>
      <c r="B568" s="152"/>
      <c r="C568" s="152"/>
      <c r="D568" s="153"/>
    </row>
    <row r="569" spans="1:4">
      <c r="A569" s="155"/>
      <c r="B569" s="152"/>
      <c r="C569" s="152"/>
      <c r="D569" s="153"/>
    </row>
    <row r="570" spans="1:4">
      <c r="A570" s="155"/>
      <c r="B570" s="152"/>
      <c r="C570" s="152"/>
      <c r="D570" s="153"/>
    </row>
    <row r="571" spans="1:4">
      <c r="A571" s="155"/>
      <c r="B571" s="152"/>
      <c r="C571" s="152"/>
      <c r="D571" s="153"/>
    </row>
    <row r="572" spans="1:4">
      <c r="A572" s="155"/>
      <c r="B572" s="152"/>
      <c r="C572" s="152"/>
      <c r="D572" s="153"/>
    </row>
    <row r="573" spans="1:4">
      <c r="A573" s="155"/>
      <c r="B573" s="152"/>
      <c r="C573" s="152"/>
      <c r="D573" s="153"/>
    </row>
    <row r="574" spans="1:4">
      <c r="A574" s="155"/>
      <c r="B574" s="152"/>
      <c r="C574" s="152"/>
      <c r="D574" s="153"/>
    </row>
    <row r="575" spans="1:4">
      <c r="A575" s="155"/>
      <c r="B575" s="152"/>
      <c r="C575" s="152"/>
      <c r="D575" s="153"/>
    </row>
    <row r="576" spans="1:4">
      <c r="A576" s="155"/>
      <c r="B576" s="152"/>
      <c r="C576" s="152"/>
      <c r="D576" s="153"/>
    </row>
    <row r="577" spans="1:4">
      <c r="A577" s="155"/>
      <c r="B577" s="152"/>
      <c r="C577" s="152"/>
      <c r="D577" s="153"/>
    </row>
    <row r="578" spans="1:4">
      <c r="A578" s="155"/>
      <c r="B578" s="152"/>
      <c r="C578" s="152"/>
      <c r="D578" s="153"/>
    </row>
    <row r="579" spans="1:4">
      <c r="A579" s="155"/>
      <c r="B579" s="152"/>
      <c r="C579" s="152"/>
      <c r="D579" s="153"/>
    </row>
    <row r="580" spans="1:4">
      <c r="A580" s="155"/>
      <c r="B580" s="152"/>
      <c r="C580" s="152"/>
      <c r="D580" s="153"/>
    </row>
    <row r="581" spans="1:4">
      <c r="A581" s="155"/>
      <c r="B581" s="152"/>
      <c r="C581" s="152"/>
      <c r="D581" s="153"/>
    </row>
    <row r="582" spans="1:4">
      <c r="A582" s="155"/>
      <c r="B582" s="152"/>
      <c r="C582" s="152"/>
      <c r="D582" s="153"/>
    </row>
    <row r="583" spans="1:4">
      <c r="A583" s="155"/>
      <c r="B583" s="152"/>
      <c r="C583" s="152"/>
      <c r="D583" s="153"/>
    </row>
    <row r="584" spans="1:4">
      <c r="A584" s="155"/>
      <c r="B584" s="152"/>
      <c r="C584" s="152"/>
      <c r="D584" s="153"/>
    </row>
    <row r="585" spans="1:4">
      <c r="A585" s="155"/>
      <c r="B585" s="152"/>
      <c r="C585" s="152"/>
      <c r="D585" s="153"/>
    </row>
    <row r="586" spans="1:4">
      <c r="A586" s="155"/>
      <c r="B586" s="152"/>
      <c r="C586" s="152"/>
      <c r="D586" s="153"/>
    </row>
    <row r="587" spans="1:4">
      <c r="A587" s="155"/>
      <c r="B587" s="152"/>
      <c r="C587" s="152"/>
      <c r="D587" s="153"/>
    </row>
    <row r="588" spans="1:4">
      <c r="A588" s="155"/>
      <c r="B588" s="152"/>
      <c r="C588" s="152"/>
      <c r="D588" s="153"/>
    </row>
    <row r="589" spans="1:4">
      <c r="A589" s="155"/>
      <c r="B589" s="152"/>
      <c r="C589" s="152"/>
      <c r="D589" s="153"/>
    </row>
    <row r="590" spans="1:4">
      <c r="A590" s="155"/>
      <c r="B590" s="152"/>
      <c r="C590" s="152"/>
      <c r="D590" s="153"/>
    </row>
    <row r="591" spans="1:4">
      <c r="A591" s="155"/>
      <c r="B591" s="152"/>
      <c r="C591" s="152"/>
      <c r="D591" s="153"/>
    </row>
    <row r="592" spans="1:4">
      <c r="A592" s="155"/>
      <c r="B592" s="152"/>
      <c r="C592" s="152"/>
      <c r="D592" s="153"/>
    </row>
    <row r="593" spans="1:4">
      <c r="A593" s="155"/>
      <c r="B593" s="152"/>
      <c r="C593" s="152"/>
      <c r="D593" s="153"/>
    </row>
    <row r="594" spans="1:4">
      <c r="A594" s="155"/>
      <c r="B594" s="152"/>
      <c r="C594" s="152"/>
      <c r="D594" s="153"/>
    </row>
    <row r="595" spans="1:4">
      <c r="A595" s="155"/>
      <c r="B595" s="152"/>
      <c r="C595" s="152"/>
      <c r="D595" s="153"/>
    </row>
    <row r="596" spans="1:4">
      <c r="A596" s="155"/>
      <c r="B596" s="152"/>
      <c r="C596" s="152"/>
      <c r="D596" s="153"/>
    </row>
    <row r="597" spans="1:4">
      <c r="A597" s="155"/>
      <c r="B597" s="152"/>
      <c r="C597" s="152"/>
      <c r="D597" s="153"/>
    </row>
    <row r="598" spans="1:4">
      <c r="A598" s="155"/>
      <c r="B598" s="152"/>
      <c r="C598" s="152"/>
      <c r="D598" s="153"/>
    </row>
    <row r="599" spans="1:4">
      <c r="A599" s="155"/>
      <c r="B599" s="152"/>
      <c r="C599" s="152"/>
      <c r="D599" s="153"/>
    </row>
    <row r="600" spans="1:4">
      <c r="A600" s="155"/>
      <c r="B600" s="152"/>
      <c r="C600" s="152"/>
      <c r="D600" s="153"/>
    </row>
    <row r="601" spans="1:4">
      <c r="A601" s="155"/>
      <c r="B601" s="152"/>
      <c r="C601" s="152"/>
      <c r="D601" s="153"/>
    </row>
    <row r="602" spans="1:4">
      <c r="A602" s="155"/>
      <c r="B602" s="152"/>
      <c r="C602" s="152"/>
      <c r="D602" s="153"/>
    </row>
    <row r="603" spans="1:4">
      <c r="A603" s="155"/>
      <c r="B603" s="152"/>
      <c r="C603" s="152"/>
      <c r="D603" s="153"/>
    </row>
    <row r="604" spans="1:4">
      <c r="A604" s="155"/>
      <c r="B604" s="152"/>
      <c r="C604" s="152"/>
      <c r="D604" s="153"/>
    </row>
    <row r="605" spans="1:4">
      <c r="A605" s="155"/>
      <c r="B605" s="152"/>
      <c r="C605" s="152"/>
      <c r="D605" s="153"/>
    </row>
    <row r="606" spans="1:4">
      <c r="A606" s="155"/>
      <c r="B606" s="152"/>
      <c r="C606" s="152"/>
      <c r="D606" s="153"/>
    </row>
    <row r="607" spans="1:4">
      <c r="A607" s="155"/>
      <c r="B607" s="152"/>
      <c r="C607" s="152"/>
      <c r="D607" s="153"/>
    </row>
    <row r="608" spans="1:4">
      <c r="A608" s="155"/>
      <c r="B608" s="152"/>
      <c r="C608" s="152"/>
      <c r="D608" s="153"/>
    </row>
    <row r="609" spans="1:4">
      <c r="A609" s="155"/>
      <c r="B609" s="152"/>
      <c r="C609" s="152"/>
      <c r="D609" s="153"/>
    </row>
    <row r="610" spans="1:4">
      <c r="A610" s="155"/>
      <c r="B610" s="152"/>
      <c r="C610" s="152"/>
      <c r="D610" s="153"/>
    </row>
    <row r="611" spans="1:4">
      <c r="A611" s="155"/>
      <c r="B611" s="152"/>
      <c r="C611" s="152"/>
      <c r="D611" s="153"/>
    </row>
    <row r="612" spans="1:4">
      <c r="A612" s="155"/>
      <c r="B612" s="152"/>
      <c r="C612" s="152"/>
      <c r="D612" s="153"/>
    </row>
    <row r="613" spans="1:4">
      <c r="A613" s="155"/>
      <c r="B613" s="152"/>
      <c r="C613" s="152"/>
      <c r="D613" s="153"/>
    </row>
    <row r="614" spans="1:4">
      <c r="A614" s="155"/>
      <c r="B614" s="152"/>
      <c r="C614" s="152"/>
      <c r="D614" s="153"/>
    </row>
    <row r="615" spans="1:4">
      <c r="A615" s="155"/>
      <c r="B615" s="152"/>
      <c r="C615" s="152"/>
      <c r="D615" s="153"/>
    </row>
    <row r="616" spans="1:4">
      <c r="A616" s="155"/>
      <c r="B616" s="152"/>
      <c r="C616" s="152"/>
      <c r="D616" s="153"/>
    </row>
    <row r="617" spans="1:4">
      <c r="A617" s="155"/>
      <c r="B617" s="152"/>
      <c r="C617" s="152"/>
      <c r="D617" s="153"/>
    </row>
    <row r="618" spans="1:4">
      <c r="A618" s="155"/>
      <c r="B618" s="152"/>
      <c r="C618" s="152"/>
      <c r="D618" s="153"/>
    </row>
    <row r="619" spans="1:4">
      <c r="A619" s="155"/>
      <c r="B619" s="152"/>
      <c r="C619" s="152"/>
      <c r="D619" s="153"/>
    </row>
    <row r="620" spans="1:4">
      <c r="A620" s="155"/>
      <c r="B620" s="152"/>
      <c r="C620" s="152"/>
      <c r="D620" s="153"/>
    </row>
    <row r="621" spans="1:4">
      <c r="A621" s="155"/>
      <c r="B621" s="152"/>
      <c r="C621" s="152"/>
      <c r="D621" s="153"/>
    </row>
    <row r="622" spans="1:4">
      <c r="A622" s="155"/>
      <c r="B622" s="152"/>
      <c r="C622" s="152"/>
      <c r="D622" s="153"/>
    </row>
    <row r="623" spans="1:4">
      <c r="A623" s="155"/>
      <c r="B623" s="152"/>
      <c r="C623" s="152"/>
      <c r="D623" s="153"/>
    </row>
    <row r="624" spans="1:4">
      <c r="A624" s="155"/>
      <c r="B624" s="152"/>
      <c r="C624" s="152"/>
      <c r="D624" s="153"/>
    </row>
    <row r="625" spans="1:4">
      <c r="A625" s="155"/>
      <c r="B625" s="152"/>
      <c r="C625" s="152"/>
      <c r="D625" s="153"/>
    </row>
    <row r="626" spans="1:4">
      <c r="A626" s="155"/>
      <c r="B626" s="152"/>
      <c r="C626" s="152"/>
      <c r="D626" s="153"/>
    </row>
    <row r="627" spans="1:4">
      <c r="A627" s="155"/>
      <c r="B627" s="152"/>
      <c r="C627" s="152"/>
      <c r="D627" s="153"/>
    </row>
    <row r="628" spans="1:4">
      <c r="A628" s="155"/>
      <c r="B628" s="152"/>
      <c r="C628" s="152"/>
      <c r="D628" s="153"/>
    </row>
    <row r="629" spans="1:4">
      <c r="A629" s="155"/>
      <c r="B629" s="152"/>
      <c r="C629" s="152"/>
      <c r="D629" s="153"/>
    </row>
    <row r="630" spans="1:4">
      <c r="A630" s="155"/>
      <c r="B630" s="152"/>
      <c r="C630" s="152"/>
      <c r="D630" s="153"/>
    </row>
    <row r="631" spans="1:4">
      <c r="A631" s="155"/>
      <c r="B631" s="152"/>
      <c r="C631" s="152"/>
      <c r="D631" s="153"/>
    </row>
    <row r="632" spans="1:4">
      <c r="A632" s="155"/>
      <c r="B632" s="152"/>
      <c r="C632" s="152"/>
      <c r="D632" s="153"/>
    </row>
    <row r="633" spans="1:4">
      <c r="A633" s="155"/>
      <c r="B633" s="152"/>
      <c r="C633" s="152"/>
      <c r="D633" s="153"/>
    </row>
    <row r="634" spans="1:4">
      <c r="A634" s="155"/>
      <c r="B634" s="152"/>
      <c r="C634" s="152"/>
      <c r="D634" s="153"/>
    </row>
    <row r="635" spans="1:4">
      <c r="A635" s="155"/>
      <c r="B635" s="152"/>
      <c r="C635" s="152"/>
      <c r="D635" s="153"/>
    </row>
    <row r="636" spans="1:4">
      <c r="A636" s="155"/>
      <c r="B636" s="152"/>
      <c r="C636" s="152"/>
      <c r="D636" s="153"/>
    </row>
    <row r="637" spans="1:4">
      <c r="A637" s="155"/>
      <c r="B637" s="152"/>
      <c r="C637" s="152"/>
      <c r="D637" s="153"/>
    </row>
    <row r="638" spans="1:4">
      <c r="A638" s="155"/>
      <c r="B638" s="152"/>
      <c r="C638" s="152"/>
      <c r="D638" s="153"/>
    </row>
    <row r="639" spans="1:4">
      <c r="A639" s="155"/>
      <c r="B639" s="152"/>
      <c r="C639" s="152"/>
      <c r="D639" s="153"/>
    </row>
    <row r="640" spans="1:4">
      <c r="A640" s="155"/>
      <c r="B640" s="152"/>
      <c r="C640" s="152"/>
      <c r="D640" s="153"/>
    </row>
    <row r="641" spans="1:4">
      <c r="A641" s="155"/>
      <c r="B641" s="152"/>
      <c r="C641" s="152"/>
      <c r="D641" s="153"/>
    </row>
    <row r="642" spans="1:4">
      <c r="A642" s="155"/>
      <c r="B642" s="152"/>
      <c r="C642" s="152"/>
      <c r="D642" s="153"/>
    </row>
    <row r="643" spans="1:4">
      <c r="A643" s="155"/>
      <c r="B643" s="152"/>
      <c r="C643" s="152"/>
      <c r="D643" s="153"/>
    </row>
    <row r="644" spans="1:4">
      <c r="A644" s="155"/>
      <c r="B644" s="152"/>
      <c r="C644" s="152"/>
      <c r="D644" s="153"/>
    </row>
    <row r="645" spans="1:4">
      <c r="A645" s="155"/>
      <c r="B645" s="152"/>
      <c r="C645" s="152"/>
      <c r="D645" s="153"/>
    </row>
    <row r="646" spans="1:4">
      <c r="A646" s="155"/>
      <c r="B646" s="152"/>
      <c r="C646" s="152"/>
      <c r="D646" s="153"/>
    </row>
    <row r="647" spans="1:4">
      <c r="A647" s="155"/>
      <c r="B647" s="152"/>
      <c r="C647" s="152"/>
      <c r="D647" s="153"/>
    </row>
    <row r="648" spans="1:4">
      <c r="A648" s="155"/>
      <c r="B648" s="152"/>
      <c r="C648" s="152"/>
      <c r="D648" s="153"/>
    </row>
    <row r="649" spans="1:4">
      <c r="A649" s="155"/>
      <c r="B649" s="152"/>
      <c r="C649" s="152"/>
      <c r="D649" s="153"/>
    </row>
    <row r="650" spans="1:4">
      <c r="A650" s="155"/>
      <c r="B650" s="152"/>
      <c r="C650" s="152"/>
      <c r="D650" s="153"/>
    </row>
    <row r="651" spans="1:4">
      <c r="A651" s="155"/>
      <c r="B651" s="152"/>
      <c r="C651" s="152"/>
      <c r="D651" s="153"/>
    </row>
    <row r="652" spans="1:4">
      <c r="A652" s="155"/>
      <c r="B652" s="152"/>
      <c r="C652" s="152"/>
      <c r="D652" s="153"/>
    </row>
    <row r="653" spans="1:4">
      <c r="A653" s="155"/>
      <c r="B653" s="152"/>
      <c r="C653" s="152"/>
      <c r="D653" s="153"/>
    </row>
    <row r="654" spans="1:4">
      <c r="A654" s="155"/>
      <c r="B654" s="152"/>
      <c r="C654" s="152"/>
      <c r="D654" s="153"/>
    </row>
    <row r="655" spans="1:4">
      <c r="A655" s="155"/>
      <c r="B655" s="152"/>
      <c r="C655" s="152"/>
      <c r="D655" s="153"/>
    </row>
    <row r="656" spans="1:4">
      <c r="A656" s="155"/>
      <c r="B656" s="152"/>
      <c r="C656" s="152"/>
      <c r="D656" s="153"/>
    </row>
    <row r="657" spans="1:4">
      <c r="A657" s="155"/>
      <c r="B657" s="152"/>
      <c r="C657" s="152"/>
      <c r="D657" s="153"/>
    </row>
    <row r="658" spans="1:4">
      <c r="A658" s="155"/>
      <c r="B658" s="152"/>
      <c r="C658" s="152"/>
      <c r="D658" s="153"/>
    </row>
    <row r="659" spans="1:4">
      <c r="A659" s="155"/>
      <c r="B659" s="152"/>
      <c r="C659" s="152"/>
      <c r="D659" s="153"/>
    </row>
    <row r="660" spans="1:4">
      <c r="A660" s="155"/>
      <c r="B660" s="152"/>
      <c r="C660" s="152"/>
      <c r="D660" s="153"/>
    </row>
    <row r="661" spans="1:4">
      <c r="A661" s="155"/>
      <c r="B661" s="152"/>
      <c r="C661" s="152"/>
      <c r="D661" s="153"/>
    </row>
    <row r="662" spans="1:4">
      <c r="A662" s="155"/>
      <c r="B662" s="152"/>
      <c r="C662" s="152"/>
      <c r="D662" s="153"/>
    </row>
    <row r="663" spans="1:4">
      <c r="A663" s="155"/>
      <c r="B663" s="152"/>
      <c r="C663" s="152"/>
      <c r="D663" s="153"/>
    </row>
    <row r="664" spans="1:4">
      <c r="A664" s="155"/>
      <c r="B664" s="152"/>
      <c r="C664" s="152"/>
      <c r="D664" s="153"/>
    </row>
    <row r="665" spans="1:4">
      <c r="A665" s="155"/>
      <c r="B665" s="152"/>
      <c r="C665" s="152"/>
      <c r="D665" s="153"/>
    </row>
    <row r="666" spans="1:4">
      <c r="A666" s="155"/>
      <c r="B666" s="152"/>
      <c r="C666" s="152"/>
      <c r="D666" s="153"/>
    </row>
    <row r="667" spans="1:4">
      <c r="A667" s="155"/>
      <c r="B667" s="152"/>
      <c r="C667" s="152"/>
      <c r="D667" s="153"/>
    </row>
    <row r="668" spans="1:4">
      <c r="A668" s="155"/>
      <c r="B668" s="152"/>
      <c r="C668" s="152"/>
      <c r="D668" s="153"/>
    </row>
    <row r="669" spans="1:4">
      <c r="A669" s="155"/>
      <c r="B669" s="152"/>
      <c r="C669" s="152"/>
      <c r="D669" s="153"/>
    </row>
    <row r="670" spans="1:4">
      <c r="A670" s="155"/>
      <c r="B670" s="152"/>
      <c r="C670" s="152"/>
      <c r="D670" s="153"/>
    </row>
    <row r="671" spans="1:4">
      <c r="A671" s="155"/>
      <c r="B671" s="152"/>
      <c r="C671" s="152"/>
      <c r="D671" s="153"/>
    </row>
    <row r="672" spans="1:4">
      <c r="A672" s="155"/>
      <c r="B672" s="152"/>
      <c r="C672" s="152"/>
      <c r="D672" s="153"/>
    </row>
    <row r="673" spans="1:4">
      <c r="A673" s="155"/>
      <c r="B673" s="152"/>
      <c r="C673" s="152"/>
      <c r="D673" s="153"/>
    </row>
    <row r="674" spans="1:4">
      <c r="A674" s="155"/>
      <c r="B674" s="152"/>
      <c r="C674" s="152"/>
      <c r="D674" s="153"/>
    </row>
    <row r="675" spans="1:4">
      <c r="A675" s="155"/>
      <c r="B675" s="152"/>
      <c r="C675" s="152"/>
      <c r="D675" s="153"/>
    </row>
    <row r="676" spans="1:4">
      <c r="A676" s="155"/>
      <c r="B676" s="152"/>
      <c r="C676" s="152"/>
      <c r="D676" s="153"/>
    </row>
    <row r="677" spans="1:4">
      <c r="A677" s="155"/>
      <c r="B677" s="152"/>
      <c r="C677" s="152"/>
      <c r="D677" s="153"/>
    </row>
    <row r="678" spans="1:4">
      <c r="A678" s="155"/>
      <c r="B678" s="152"/>
      <c r="C678" s="152"/>
      <c r="D678" s="153"/>
    </row>
    <row r="679" spans="1:4">
      <c r="A679" s="155"/>
      <c r="B679" s="152"/>
      <c r="C679" s="152"/>
      <c r="D679" s="153"/>
    </row>
    <row r="680" spans="1:4">
      <c r="A680" s="155"/>
      <c r="B680" s="152"/>
      <c r="C680" s="152"/>
      <c r="D680" s="153"/>
    </row>
    <row r="681" spans="1:4">
      <c r="A681" s="155"/>
      <c r="B681" s="152"/>
      <c r="C681" s="152"/>
      <c r="D681" s="153"/>
    </row>
    <row r="682" spans="1:4">
      <c r="A682" s="155"/>
      <c r="B682" s="152"/>
      <c r="C682" s="152"/>
      <c r="D682" s="153"/>
    </row>
    <row r="683" spans="1:4">
      <c r="A683" s="155"/>
      <c r="B683" s="152"/>
      <c r="C683" s="152"/>
      <c r="D683" s="153"/>
    </row>
    <row r="684" spans="1:4">
      <c r="A684" s="155"/>
      <c r="B684" s="152"/>
      <c r="C684" s="152"/>
      <c r="D684" s="153"/>
    </row>
    <row r="685" spans="1:4">
      <c r="A685" s="155"/>
      <c r="B685" s="152"/>
      <c r="C685" s="152"/>
      <c r="D685" s="153"/>
    </row>
    <row r="686" spans="1:4">
      <c r="A686" s="155"/>
      <c r="B686" s="152"/>
      <c r="C686" s="152"/>
      <c r="D686" s="153"/>
    </row>
    <row r="687" spans="1:4">
      <c r="A687" s="155"/>
      <c r="B687" s="152"/>
      <c r="C687" s="152"/>
      <c r="D687" s="153"/>
    </row>
    <row r="688" spans="1:4">
      <c r="A688" s="155"/>
      <c r="B688" s="152"/>
      <c r="C688" s="152"/>
      <c r="D688" s="153"/>
    </row>
    <row r="689" spans="1:4">
      <c r="A689" s="155"/>
      <c r="B689" s="152"/>
      <c r="C689" s="152"/>
      <c r="D689" s="153"/>
    </row>
    <row r="690" spans="1:4">
      <c r="A690" s="155"/>
      <c r="B690" s="152"/>
      <c r="C690" s="152"/>
      <c r="D690" s="153"/>
    </row>
    <row r="691" spans="1:4">
      <c r="A691" s="155"/>
      <c r="B691" s="152"/>
      <c r="C691" s="152"/>
      <c r="D691" s="153"/>
    </row>
    <row r="692" spans="1:4">
      <c r="A692" s="155"/>
      <c r="B692" s="152"/>
      <c r="C692" s="152"/>
      <c r="D692" s="153"/>
    </row>
    <row r="693" spans="1:4">
      <c r="A693" s="155"/>
      <c r="B693" s="152"/>
      <c r="C693" s="152"/>
      <c r="D693" s="153"/>
    </row>
    <row r="694" spans="1:4">
      <c r="A694" s="155"/>
      <c r="B694" s="152"/>
      <c r="C694" s="152"/>
      <c r="D694" s="153"/>
    </row>
    <row r="695" spans="1:4">
      <c r="A695" s="155"/>
      <c r="B695" s="152"/>
      <c r="C695" s="152"/>
      <c r="D695" s="153"/>
    </row>
    <row r="696" spans="1:4">
      <c r="A696" s="155"/>
      <c r="B696" s="152"/>
      <c r="C696" s="152"/>
      <c r="D696" s="153"/>
    </row>
    <row r="697" spans="1:4">
      <c r="A697" s="155"/>
      <c r="B697" s="152"/>
      <c r="C697" s="152"/>
      <c r="D697" s="153"/>
    </row>
    <row r="698" spans="1:4">
      <c r="A698" s="155"/>
      <c r="B698" s="152"/>
      <c r="C698" s="152"/>
      <c r="D698" s="153"/>
    </row>
    <row r="700" spans="1:4">
      <c r="A700" s="155"/>
      <c r="B700" s="152"/>
      <c r="C700" s="152"/>
      <c r="D700" s="153"/>
    </row>
    <row r="701" spans="1:4">
      <c r="A701" s="155"/>
      <c r="B701" s="152"/>
      <c r="C701" s="152"/>
      <c r="D701" s="153"/>
    </row>
    <row r="702" spans="1:4">
      <c r="A702" s="155"/>
      <c r="B702" s="152"/>
      <c r="C702" s="152"/>
      <c r="D702" s="153"/>
    </row>
    <row r="703" spans="1:4">
      <c r="A703" s="155"/>
      <c r="B703" s="152"/>
      <c r="C703" s="152"/>
      <c r="D703" s="153"/>
    </row>
    <row r="704" spans="1:4">
      <c r="A704" s="155"/>
      <c r="B704" s="152"/>
      <c r="C704" s="152"/>
      <c r="D704" s="153"/>
    </row>
    <row r="705" spans="1:4">
      <c r="A705" s="155"/>
      <c r="B705" s="152"/>
      <c r="C705" s="152"/>
      <c r="D705" s="153"/>
    </row>
    <row r="706" spans="1:4">
      <c r="A706" s="155"/>
      <c r="B706" s="152"/>
      <c r="C706" s="152"/>
      <c r="D706" s="153"/>
    </row>
    <row r="707" spans="1:4">
      <c r="A707" s="155"/>
      <c r="B707" s="152"/>
      <c r="C707" s="152"/>
      <c r="D707" s="153"/>
    </row>
    <row r="708" spans="1:4">
      <c r="A708" s="155"/>
      <c r="B708" s="152"/>
      <c r="C708" s="152"/>
      <c r="D708" s="153"/>
    </row>
    <row r="709" spans="1:4">
      <c r="A709" s="155"/>
      <c r="B709" s="152"/>
      <c r="C709" s="152"/>
      <c r="D709" s="153"/>
    </row>
    <row r="710" spans="1:4">
      <c r="A710" s="155"/>
      <c r="B710" s="152"/>
      <c r="C710" s="152"/>
      <c r="D710" s="153"/>
    </row>
    <row r="711" spans="1:4">
      <c r="A711" s="155"/>
      <c r="B711" s="152"/>
      <c r="C711" s="152"/>
      <c r="D711" s="153"/>
    </row>
    <row r="712" spans="1:4">
      <c r="A712" s="155"/>
      <c r="B712" s="152"/>
      <c r="C712" s="152"/>
      <c r="D712" s="153"/>
    </row>
    <row r="713" spans="1:4">
      <c r="A713" s="155"/>
      <c r="B713" s="152"/>
      <c r="C713" s="152"/>
      <c r="D713" s="153"/>
    </row>
    <row r="714" spans="1:4">
      <c r="A714" s="155"/>
      <c r="B714" s="152"/>
      <c r="C714" s="152"/>
      <c r="D714" s="153"/>
    </row>
    <row r="715" spans="1:4">
      <c r="A715" s="155"/>
      <c r="B715" s="152"/>
      <c r="C715" s="152"/>
      <c r="D715" s="153"/>
    </row>
    <row r="716" spans="1:4">
      <c r="A716" s="155"/>
      <c r="B716" s="152"/>
      <c r="C716" s="152"/>
      <c r="D716" s="153"/>
    </row>
    <row r="717" spans="1:4">
      <c r="A717" s="155"/>
      <c r="B717" s="152"/>
      <c r="C717" s="152"/>
      <c r="D717" s="153"/>
    </row>
    <row r="718" spans="1:4">
      <c r="A718" s="155"/>
      <c r="B718" s="152"/>
      <c r="C718" s="152"/>
      <c r="D718" s="153"/>
    </row>
    <row r="719" spans="1:4">
      <c r="A719" s="155"/>
      <c r="B719" s="152"/>
      <c r="C719" s="152"/>
      <c r="D719" s="153"/>
    </row>
    <row r="720" spans="1:4">
      <c r="A720" s="155"/>
      <c r="B720" s="152"/>
      <c r="C720" s="152"/>
      <c r="D720" s="153"/>
    </row>
    <row r="721" spans="1:4">
      <c r="A721" s="155"/>
      <c r="B721" s="152"/>
      <c r="C721" s="152"/>
      <c r="D721" s="153"/>
    </row>
    <row r="722" spans="1:4">
      <c r="A722" s="155"/>
      <c r="B722" s="152"/>
      <c r="C722" s="152"/>
      <c r="D722" s="153"/>
    </row>
    <row r="723" spans="1:4">
      <c r="A723" s="155"/>
      <c r="B723" s="152"/>
      <c r="C723" s="152"/>
      <c r="D723" s="153"/>
    </row>
    <row r="724" spans="1:4">
      <c r="A724" s="155"/>
      <c r="B724" s="152"/>
      <c r="C724" s="152"/>
      <c r="D724" s="153"/>
    </row>
    <row r="725" spans="1:4">
      <c r="A725" s="155"/>
      <c r="B725" s="152"/>
      <c r="C725" s="152"/>
      <c r="D725" s="153"/>
    </row>
    <row r="726" spans="1:4">
      <c r="A726" s="155"/>
      <c r="B726" s="152"/>
      <c r="C726" s="152"/>
      <c r="D726" s="153"/>
    </row>
    <row r="727" spans="1:4">
      <c r="A727" s="155"/>
      <c r="B727" s="152"/>
      <c r="C727" s="152"/>
      <c r="D727" s="153"/>
    </row>
    <row r="728" spans="1:4">
      <c r="A728" s="155"/>
      <c r="B728" s="152"/>
      <c r="C728" s="152"/>
      <c r="D728" s="153"/>
    </row>
    <row r="729" spans="1:4">
      <c r="A729" s="155"/>
      <c r="B729" s="152"/>
      <c r="C729" s="152"/>
      <c r="D729" s="153"/>
    </row>
    <row r="730" spans="1:4">
      <c r="A730" s="155"/>
      <c r="B730" s="152"/>
      <c r="C730" s="152"/>
      <c r="D730" s="153"/>
    </row>
    <row r="731" spans="1:4">
      <c r="A731" s="155"/>
      <c r="B731" s="152"/>
      <c r="C731" s="152"/>
      <c r="D731" s="153"/>
    </row>
    <row r="732" spans="1:4">
      <c r="A732" s="155"/>
      <c r="B732" s="152"/>
      <c r="C732" s="152"/>
      <c r="D732" s="153"/>
    </row>
    <row r="733" spans="1:4">
      <c r="A733" s="155"/>
      <c r="B733" s="152"/>
      <c r="C733" s="152"/>
      <c r="D733" s="153"/>
    </row>
    <row r="734" spans="1:4">
      <c r="A734" s="155"/>
      <c r="B734" s="152"/>
      <c r="C734" s="152"/>
      <c r="D734" s="153"/>
    </row>
    <row r="735" spans="1:4">
      <c r="A735" s="155"/>
      <c r="B735" s="152"/>
      <c r="C735" s="152"/>
      <c r="D735" s="153"/>
    </row>
    <row r="736" spans="1:4">
      <c r="A736" s="155"/>
      <c r="B736" s="152"/>
      <c r="C736" s="152"/>
      <c r="D736" s="153"/>
    </row>
    <row r="737" spans="1:4">
      <c r="A737" s="155"/>
      <c r="B737" s="152"/>
      <c r="C737" s="152"/>
      <c r="D737" s="153"/>
    </row>
    <row r="738" spans="1:4">
      <c r="A738" s="155"/>
      <c r="B738" s="152"/>
      <c r="C738" s="152"/>
      <c r="D738" s="153"/>
    </row>
    <row r="739" spans="1:4">
      <c r="A739" s="155"/>
      <c r="B739" s="152"/>
      <c r="C739" s="152"/>
      <c r="D739" s="153"/>
    </row>
    <row r="740" spans="1:4">
      <c r="A740" s="155"/>
      <c r="B740" s="152"/>
      <c r="C740" s="152"/>
      <c r="D740" s="153"/>
    </row>
    <row r="741" spans="1:4">
      <c r="A741" s="155"/>
      <c r="B741" s="152"/>
      <c r="C741" s="152"/>
      <c r="D741" s="153"/>
    </row>
    <row r="742" spans="1:4">
      <c r="A742" s="155"/>
      <c r="B742" s="152"/>
      <c r="C742" s="152"/>
      <c r="D742" s="153"/>
    </row>
    <row r="743" spans="1:4">
      <c r="A743" s="155"/>
      <c r="B743" s="152"/>
      <c r="C743" s="152"/>
      <c r="D743" s="153"/>
    </row>
    <row r="744" spans="1:4">
      <c r="A744" s="155"/>
      <c r="B744" s="152"/>
      <c r="C744" s="152"/>
      <c r="D744" s="153"/>
    </row>
    <row r="745" spans="1:4">
      <c r="A745" s="155"/>
      <c r="B745" s="152"/>
      <c r="C745" s="152"/>
      <c r="D745" s="153"/>
    </row>
    <row r="746" spans="1:4">
      <c r="A746" s="155"/>
      <c r="B746" s="152"/>
      <c r="C746" s="152"/>
      <c r="D746" s="153"/>
    </row>
    <row r="747" spans="1:4">
      <c r="A747" s="155"/>
      <c r="B747" s="152"/>
      <c r="C747" s="152"/>
      <c r="D747" s="153"/>
    </row>
    <row r="748" spans="1:4">
      <c r="A748" s="155"/>
      <c r="B748" s="152"/>
      <c r="C748" s="152"/>
      <c r="D748" s="153"/>
    </row>
    <row r="749" spans="1:4">
      <c r="A749" s="155"/>
      <c r="B749" s="152"/>
      <c r="C749" s="152"/>
      <c r="D749" s="153"/>
    </row>
    <row r="750" spans="1:4">
      <c r="A750" s="155"/>
      <c r="B750" s="152"/>
      <c r="C750" s="152"/>
      <c r="D750" s="153"/>
    </row>
    <row r="751" spans="1:4">
      <c r="A751" s="155"/>
      <c r="B751" s="152"/>
      <c r="C751" s="152"/>
      <c r="D751" s="153"/>
    </row>
    <row r="752" spans="1:4">
      <c r="A752" s="155"/>
      <c r="B752" s="152"/>
      <c r="C752" s="152"/>
      <c r="D752" s="153"/>
    </row>
    <row r="753" spans="1:4">
      <c r="A753" s="155"/>
      <c r="B753" s="152"/>
      <c r="C753" s="152"/>
      <c r="D753" s="153"/>
    </row>
    <row r="754" spans="1:4">
      <c r="A754" s="155"/>
      <c r="B754" s="152"/>
      <c r="C754" s="152"/>
      <c r="D754" s="153"/>
    </row>
    <row r="755" spans="1:4">
      <c r="A755" s="155"/>
      <c r="B755" s="152"/>
      <c r="C755" s="152"/>
      <c r="D755" s="153"/>
    </row>
    <row r="756" spans="1:4">
      <c r="A756" s="155"/>
      <c r="B756" s="152"/>
      <c r="C756" s="152"/>
      <c r="D756" s="153"/>
    </row>
    <row r="757" spans="1:4">
      <c r="A757" s="155"/>
      <c r="B757" s="152"/>
      <c r="C757" s="152"/>
      <c r="D757" s="153"/>
    </row>
    <row r="758" spans="1:4">
      <c r="A758" s="155"/>
      <c r="B758" s="152"/>
      <c r="C758" s="152"/>
      <c r="D758" s="153"/>
    </row>
    <row r="759" spans="1:4">
      <c r="A759" s="155"/>
      <c r="B759" s="152"/>
      <c r="C759" s="152"/>
      <c r="D759" s="153"/>
    </row>
    <row r="760" spans="1:4">
      <c r="A760" s="155"/>
      <c r="B760" s="152"/>
      <c r="C760" s="152"/>
      <c r="D760" s="153"/>
    </row>
    <row r="761" spans="1:4">
      <c r="A761" s="155"/>
      <c r="B761" s="152"/>
      <c r="C761" s="152"/>
      <c r="D761" s="153"/>
    </row>
    <row r="762" spans="1:4">
      <c r="A762" s="155"/>
      <c r="B762" s="152"/>
      <c r="C762" s="152"/>
      <c r="D762" s="153"/>
    </row>
    <row r="763" spans="1:4">
      <c r="A763" s="155"/>
      <c r="B763" s="152"/>
      <c r="C763" s="152"/>
      <c r="D763" s="153"/>
    </row>
    <row r="764" spans="1:4">
      <c r="A764" s="155"/>
      <c r="B764" s="152"/>
      <c r="C764" s="152"/>
      <c r="D764" s="153"/>
    </row>
    <row r="765" spans="1:4">
      <c r="A765" s="155"/>
      <c r="B765" s="152"/>
      <c r="C765" s="152"/>
      <c r="D765" s="153"/>
    </row>
    <row r="766" spans="1:4">
      <c r="A766" s="155"/>
      <c r="B766" s="152"/>
      <c r="C766" s="152"/>
      <c r="D766" s="153"/>
    </row>
    <row r="767" spans="1:4">
      <c r="A767" s="155"/>
      <c r="B767" s="152"/>
      <c r="C767" s="152"/>
      <c r="D767" s="153"/>
    </row>
    <row r="768" spans="1:4">
      <c r="A768" s="155"/>
      <c r="B768" s="152"/>
      <c r="C768" s="152"/>
      <c r="D768" s="153"/>
    </row>
    <row r="769" spans="1:4">
      <c r="A769" s="155"/>
      <c r="B769" s="152"/>
      <c r="C769" s="152"/>
      <c r="D769" s="153"/>
    </row>
    <row r="770" spans="1:4">
      <c r="A770" s="155"/>
      <c r="B770" s="152"/>
      <c r="C770" s="152"/>
      <c r="D770" s="153"/>
    </row>
    <row r="771" spans="1:4">
      <c r="A771" s="155"/>
      <c r="B771" s="152"/>
      <c r="C771" s="152"/>
      <c r="D771" s="153"/>
    </row>
    <row r="772" spans="1:4">
      <c r="A772" s="155"/>
      <c r="B772" s="152"/>
      <c r="C772" s="152"/>
      <c r="D772" s="153"/>
    </row>
    <row r="773" spans="1:4">
      <c r="A773" s="155"/>
      <c r="B773" s="152"/>
      <c r="C773" s="152"/>
      <c r="D773" s="153"/>
    </row>
    <row r="774" spans="1:4">
      <c r="A774" s="155"/>
      <c r="B774" s="152"/>
      <c r="C774" s="152"/>
      <c r="D774" s="153"/>
    </row>
    <row r="775" spans="1:4">
      <c r="A775" s="155"/>
      <c r="B775" s="152"/>
      <c r="C775" s="152"/>
      <c r="D775" s="153"/>
    </row>
    <row r="776" spans="1:4">
      <c r="A776" s="155"/>
      <c r="B776" s="152"/>
      <c r="C776" s="152"/>
      <c r="D776" s="153"/>
    </row>
    <row r="777" spans="1:4">
      <c r="A777" s="155"/>
      <c r="B777" s="152"/>
      <c r="C777" s="152"/>
      <c r="D777" s="153"/>
    </row>
    <row r="778" spans="1:4">
      <c r="A778" s="155"/>
      <c r="B778" s="152"/>
      <c r="C778" s="152"/>
      <c r="D778" s="153"/>
    </row>
    <row r="779" spans="1:4">
      <c r="A779" s="155"/>
      <c r="B779" s="152"/>
      <c r="C779" s="152"/>
      <c r="D779" s="153"/>
    </row>
    <row r="780" spans="1:4">
      <c r="A780" s="155"/>
      <c r="B780" s="152"/>
      <c r="C780" s="152"/>
      <c r="D780" s="153"/>
    </row>
    <row r="781" spans="1:4">
      <c r="A781" s="155"/>
      <c r="B781" s="152"/>
      <c r="C781" s="152"/>
      <c r="D781" s="153"/>
    </row>
    <row r="782" spans="1:4">
      <c r="A782" s="155"/>
      <c r="B782" s="152"/>
      <c r="C782" s="152"/>
      <c r="D782" s="153"/>
    </row>
    <row r="783" spans="1:4">
      <c r="A783" s="155"/>
      <c r="B783" s="152"/>
      <c r="C783" s="152"/>
      <c r="D783" s="153"/>
    </row>
    <row r="784" spans="1:4">
      <c r="A784" s="155"/>
      <c r="B784" s="152"/>
      <c r="C784" s="152"/>
      <c r="D784" s="153"/>
    </row>
    <row r="785" spans="1:4">
      <c r="A785" s="155"/>
      <c r="B785" s="152"/>
      <c r="C785" s="152"/>
      <c r="D785" s="153"/>
    </row>
    <row r="786" spans="1:4">
      <c r="A786" s="155"/>
      <c r="B786" s="152"/>
      <c r="C786" s="152"/>
      <c r="D786" s="153"/>
    </row>
    <row r="787" spans="1:4">
      <c r="A787" s="155"/>
      <c r="B787" s="152"/>
      <c r="C787" s="152"/>
      <c r="D787" s="153"/>
    </row>
    <row r="788" spans="1:4">
      <c r="A788" s="155"/>
      <c r="B788" s="152"/>
      <c r="C788" s="152"/>
      <c r="D788" s="153"/>
    </row>
    <row r="789" spans="1:4">
      <c r="A789" s="155"/>
      <c r="B789" s="152"/>
      <c r="C789" s="152"/>
      <c r="D789" s="153"/>
    </row>
    <row r="790" spans="1:4">
      <c r="A790" s="155"/>
      <c r="B790" s="152"/>
      <c r="C790" s="152"/>
      <c r="D790" s="153"/>
    </row>
    <row r="791" spans="1:4">
      <c r="A791" s="155"/>
      <c r="B791" s="152"/>
      <c r="C791" s="152"/>
      <c r="D791" s="153"/>
    </row>
    <row r="792" spans="1:4">
      <c r="A792" s="155"/>
      <c r="B792" s="152"/>
      <c r="C792" s="152"/>
      <c r="D792" s="153"/>
    </row>
    <row r="793" spans="1:4">
      <c r="A793" s="155"/>
      <c r="B793" s="152"/>
      <c r="C793" s="152"/>
      <c r="D793" s="153"/>
    </row>
    <row r="794" spans="1:4">
      <c r="A794" s="155"/>
      <c r="B794" s="152"/>
      <c r="C794" s="152"/>
      <c r="D794" s="153"/>
    </row>
    <row r="795" spans="1:4">
      <c r="A795" s="155"/>
      <c r="B795" s="152"/>
      <c r="C795" s="152"/>
      <c r="D795" s="153"/>
    </row>
    <row r="796" spans="1:4">
      <c r="A796" s="155"/>
      <c r="B796" s="152"/>
      <c r="C796" s="152"/>
      <c r="D796" s="153"/>
    </row>
    <row r="797" spans="1:4">
      <c r="A797" s="155"/>
      <c r="B797" s="152"/>
      <c r="C797" s="152"/>
      <c r="D797" s="153"/>
    </row>
    <row r="798" spans="1:4">
      <c r="A798" s="155"/>
      <c r="B798" s="152"/>
      <c r="C798" s="152"/>
      <c r="D798" s="153"/>
    </row>
    <row r="799" spans="1:4">
      <c r="A799" s="155"/>
      <c r="B799" s="152"/>
      <c r="C799" s="152"/>
      <c r="D799" s="153"/>
    </row>
    <row r="800" spans="1:4">
      <c r="A800" s="155"/>
      <c r="B800" s="152"/>
      <c r="C800" s="152"/>
      <c r="D800" s="153"/>
    </row>
    <row r="801" spans="1:4">
      <c r="A801" s="155"/>
      <c r="B801" s="152"/>
      <c r="C801" s="152"/>
      <c r="D801" s="153"/>
    </row>
    <row r="802" spans="1:4">
      <c r="A802" s="155"/>
      <c r="B802" s="152"/>
      <c r="C802" s="152"/>
      <c r="D802" s="153"/>
    </row>
    <row r="803" spans="1:4">
      <c r="A803" s="155"/>
      <c r="B803" s="152"/>
      <c r="C803" s="152"/>
      <c r="D803" s="153"/>
    </row>
    <row r="804" spans="1:4">
      <c r="A804" s="155"/>
      <c r="B804" s="152"/>
      <c r="C804" s="152"/>
      <c r="D804" s="153"/>
    </row>
    <row r="805" spans="1:4">
      <c r="A805" s="155"/>
      <c r="B805" s="152"/>
      <c r="C805" s="152"/>
      <c r="D805" s="153"/>
    </row>
    <row r="806" spans="1:4">
      <c r="A806" s="155"/>
      <c r="B806" s="152"/>
      <c r="C806" s="152"/>
      <c r="D806" s="153"/>
    </row>
    <row r="807" spans="1:4">
      <c r="A807" s="155"/>
      <c r="B807" s="152"/>
      <c r="C807" s="152"/>
      <c r="D807" s="153"/>
    </row>
    <row r="808" spans="1:4">
      <c r="A808" s="155"/>
      <c r="B808" s="152"/>
      <c r="C808" s="152"/>
      <c r="D808" s="153"/>
    </row>
    <row r="809" spans="1:4">
      <c r="A809" s="155"/>
      <c r="B809" s="152"/>
      <c r="C809" s="152"/>
      <c r="D809" s="153"/>
    </row>
    <row r="810" spans="1:4">
      <c r="A810" s="155"/>
      <c r="B810" s="152"/>
      <c r="C810" s="152"/>
      <c r="D810" s="153"/>
    </row>
    <row r="811" spans="1:4">
      <c r="A811" s="155"/>
      <c r="B811" s="152"/>
      <c r="C811" s="152"/>
      <c r="D811" s="153"/>
    </row>
    <row r="812" spans="1:4">
      <c r="A812" s="155"/>
      <c r="B812" s="152"/>
      <c r="C812" s="152"/>
      <c r="D812" s="153"/>
    </row>
    <row r="813" spans="1:4">
      <c r="A813" s="155"/>
      <c r="B813" s="152"/>
      <c r="C813" s="152"/>
      <c r="D813" s="153"/>
    </row>
    <row r="814" spans="1:4">
      <c r="A814" s="155"/>
      <c r="B814" s="152"/>
      <c r="C814" s="152"/>
      <c r="D814" s="153"/>
    </row>
    <row r="815" spans="1:4">
      <c r="A815" s="155"/>
      <c r="B815" s="152"/>
      <c r="C815" s="152"/>
      <c r="D815" s="153"/>
    </row>
    <row r="816" spans="1:4">
      <c r="A816" s="155"/>
      <c r="B816" s="152"/>
      <c r="C816" s="152"/>
      <c r="D816" s="153"/>
    </row>
    <row r="817" spans="1:4">
      <c r="A817" s="155"/>
      <c r="B817" s="152"/>
      <c r="C817" s="152"/>
      <c r="D817" s="153"/>
    </row>
    <row r="818" spans="1:4">
      <c r="A818" s="155"/>
      <c r="B818" s="152"/>
      <c r="C818" s="152"/>
      <c r="D818" s="153"/>
    </row>
    <row r="819" spans="1:4">
      <c r="A819" s="155"/>
      <c r="B819" s="152"/>
      <c r="C819" s="152"/>
      <c r="D819" s="153"/>
    </row>
    <row r="820" spans="1:4">
      <c r="A820" s="155"/>
      <c r="B820" s="152"/>
      <c r="C820" s="152"/>
      <c r="D820" s="153"/>
    </row>
    <row r="821" spans="1:4">
      <c r="A821" s="155"/>
      <c r="B821" s="152"/>
      <c r="C821" s="152"/>
      <c r="D821" s="153"/>
    </row>
    <row r="822" spans="1:4">
      <c r="A822" s="155"/>
      <c r="B822" s="152"/>
      <c r="C822" s="152"/>
      <c r="D822" s="153"/>
    </row>
    <row r="823" spans="1:4">
      <c r="A823" s="155"/>
      <c r="B823" s="152"/>
      <c r="C823" s="152"/>
      <c r="D823" s="153"/>
    </row>
    <row r="824" spans="1:4">
      <c r="A824" s="155"/>
      <c r="B824" s="152"/>
      <c r="C824" s="152"/>
      <c r="D824" s="153"/>
    </row>
    <row r="825" spans="1:4">
      <c r="A825" s="155"/>
      <c r="B825" s="152"/>
      <c r="C825" s="152"/>
      <c r="D825" s="153"/>
    </row>
    <row r="826" spans="1:4">
      <c r="A826" s="155"/>
      <c r="B826" s="152"/>
      <c r="C826" s="152"/>
      <c r="D826" s="153"/>
    </row>
    <row r="827" spans="1:4">
      <c r="A827" s="155"/>
      <c r="B827" s="152"/>
      <c r="C827" s="152"/>
      <c r="D827" s="153"/>
    </row>
    <row r="828" spans="1:4">
      <c r="A828" s="155"/>
      <c r="B828" s="152"/>
      <c r="C828" s="152"/>
      <c r="D828" s="153"/>
    </row>
    <row r="829" spans="1:4">
      <c r="A829" s="155"/>
      <c r="B829" s="152"/>
      <c r="C829" s="152"/>
      <c r="D829" s="153"/>
    </row>
    <row r="830" spans="1:4">
      <c r="A830" s="155"/>
      <c r="B830" s="152"/>
      <c r="C830" s="152"/>
      <c r="D830" s="153"/>
    </row>
    <row r="831" spans="1:4">
      <c r="A831" s="155"/>
      <c r="B831" s="152"/>
      <c r="C831" s="152"/>
      <c r="D831" s="153"/>
    </row>
    <row r="832" spans="1:4">
      <c r="A832" s="155"/>
      <c r="B832" s="152"/>
      <c r="C832" s="152"/>
      <c r="D832" s="153"/>
    </row>
    <row r="833" spans="1:4">
      <c r="A833" s="155"/>
      <c r="B833" s="152"/>
      <c r="C833" s="152"/>
      <c r="D833" s="153"/>
    </row>
    <row r="834" spans="1:4">
      <c r="A834" s="155"/>
      <c r="B834" s="152"/>
      <c r="C834" s="152"/>
      <c r="D834" s="153"/>
    </row>
    <row r="835" spans="1:4">
      <c r="A835" s="155"/>
      <c r="B835" s="152"/>
      <c r="C835" s="152"/>
      <c r="D835" s="153"/>
    </row>
    <row r="836" spans="1:4">
      <c r="A836" s="155"/>
      <c r="B836" s="152"/>
      <c r="C836" s="152"/>
      <c r="D836" s="153"/>
    </row>
    <row r="837" spans="1:4">
      <c r="A837" s="155"/>
      <c r="B837" s="152"/>
      <c r="C837" s="152"/>
      <c r="D837" s="153"/>
    </row>
    <row r="838" spans="1:4">
      <c r="A838" s="155"/>
      <c r="B838" s="152"/>
      <c r="C838" s="152"/>
      <c r="D838" s="153"/>
    </row>
    <row r="839" spans="1:4">
      <c r="A839" s="155"/>
      <c r="B839" s="152"/>
      <c r="C839" s="152"/>
      <c r="D839" s="153"/>
    </row>
    <row r="840" spans="1:4">
      <c r="A840" s="155"/>
      <c r="B840" s="152"/>
      <c r="C840" s="152"/>
      <c r="D840" s="153"/>
    </row>
    <row r="841" spans="1:4">
      <c r="A841" s="155"/>
      <c r="B841" s="152"/>
      <c r="C841" s="152"/>
      <c r="D841" s="153"/>
    </row>
    <row r="842" spans="1:4">
      <c r="A842" s="155"/>
      <c r="B842" s="152"/>
      <c r="C842" s="152"/>
      <c r="D842" s="153"/>
    </row>
    <row r="843" spans="1:4">
      <c r="A843" s="155"/>
      <c r="B843" s="152"/>
      <c r="C843" s="152"/>
      <c r="D843" s="153"/>
    </row>
    <row r="844" spans="1:4">
      <c r="A844" s="155"/>
      <c r="B844" s="152"/>
      <c r="C844" s="152"/>
      <c r="D844" s="153"/>
    </row>
    <row r="845" spans="1:4">
      <c r="A845" s="155"/>
      <c r="B845" s="152"/>
      <c r="C845" s="152"/>
      <c r="D845" s="153"/>
    </row>
    <row r="846" spans="1:4">
      <c r="A846" s="155"/>
      <c r="B846" s="152"/>
      <c r="C846" s="152"/>
      <c r="D846" s="153"/>
    </row>
    <row r="847" spans="1:4">
      <c r="A847" s="155"/>
      <c r="B847" s="152"/>
      <c r="C847" s="152"/>
      <c r="D847" s="153"/>
    </row>
    <row r="848" spans="1:4">
      <c r="A848" s="155"/>
      <c r="B848" s="152"/>
      <c r="C848" s="152"/>
      <c r="D848" s="153"/>
    </row>
    <row r="849" spans="1:4">
      <c r="A849" s="155"/>
      <c r="B849" s="152"/>
      <c r="C849" s="152"/>
      <c r="D849" s="153"/>
    </row>
    <row r="850" spans="1:4">
      <c r="A850" s="155"/>
      <c r="B850" s="152"/>
      <c r="C850" s="152"/>
      <c r="D850" s="153"/>
    </row>
    <row r="851" spans="1:4">
      <c r="A851" s="155"/>
      <c r="B851" s="152"/>
      <c r="C851" s="152"/>
      <c r="D851" s="153"/>
    </row>
    <row r="852" spans="1:4">
      <c r="A852" s="155"/>
      <c r="B852" s="152"/>
      <c r="C852" s="152"/>
      <c r="D852" s="153"/>
    </row>
    <row r="853" spans="1:4">
      <c r="A853" s="155"/>
      <c r="B853" s="152"/>
      <c r="C853" s="152"/>
      <c r="D853" s="153"/>
    </row>
    <row r="854" spans="1:4">
      <c r="A854" s="155"/>
      <c r="B854" s="152"/>
      <c r="C854" s="152"/>
      <c r="D854" s="153"/>
    </row>
    <row r="855" spans="1:4">
      <c r="A855" s="155"/>
      <c r="B855" s="152"/>
      <c r="C855" s="152"/>
      <c r="D855" s="153"/>
    </row>
    <row r="856" spans="1:4">
      <c r="A856" s="155"/>
      <c r="B856" s="152"/>
      <c r="C856" s="152"/>
      <c r="D856" s="153"/>
    </row>
    <row r="857" spans="1:4">
      <c r="A857" s="155"/>
      <c r="B857" s="152"/>
      <c r="C857" s="152"/>
      <c r="D857" s="153"/>
    </row>
    <row r="858" spans="1:4">
      <c r="A858" s="155"/>
      <c r="B858" s="152"/>
      <c r="C858" s="152"/>
      <c r="D858" s="153"/>
    </row>
    <row r="859" spans="1:4">
      <c r="A859" s="155"/>
      <c r="B859" s="152"/>
      <c r="C859" s="152"/>
      <c r="D859" s="153"/>
    </row>
    <row r="860" spans="1:4">
      <c r="A860" s="155"/>
      <c r="B860" s="152"/>
      <c r="C860" s="152"/>
      <c r="D860" s="153"/>
    </row>
    <row r="861" spans="1:4">
      <c r="A861" s="155"/>
      <c r="B861" s="152"/>
      <c r="C861" s="152"/>
      <c r="D861" s="153"/>
    </row>
    <row r="862" spans="1:4">
      <c r="A862" s="155"/>
      <c r="B862" s="152"/>
      <c r="C862" s="152"/>
      <c r="D862" s="153"/>
    </row>
    <row r="863" spans="1:4">
      <c r="A863" s="155"/>
      <c r="B863" s="152"/>
      <c r="C863" s="152"/>
      <c r="D863" s="153"/>
    </row>
    <row r="864" spans="1:4">
      <c r="A864" s="155"/>
      <c r="B864" s="152"/>
      <c r="C864" s="152"/>
      <c r="D864" s="153"/>
    </row>
    <row r="865" spans="1:4">
      <c r="A865" s="155"/>
      <c r="B865" s="152"/>
      <c r="C865" s="152"/>
      <c r="D865" s="153"/>
    </row>
    <row r="866" spans="1:4">
      <c r="A866" s="155"/>
      <c r="B866" s="152"/>
      <c r="C866" s="152"/>
      <c r="D866" s="153"/>
    </row>
    <row r="867" spans="1:4">
      <c r="A867" s="155"/>
      <c r="B867" s="152"/>
      <c r="C867" s="152"/>
      <c r="D867" s="153"/>
    </row>
    <row r="868" spans="1:4">
      <c r="A868" s="155"/>
      <c r="B868" s="152"/>
      <c r="C868" s="152"/>
      <c r="D868" s="153"/>
    </row>
    <row r="869" spans="1:4">
      <c r="A869" s="155"/>
      <c r="B869" s="152"/>
      <c r="C869" s="152"/>
      <c r="D869" s="153"/>
    </row>
    <row r="870" spans="1:4">
      <c r="A870" s="155"/>
      <c r="B870" s="152"/>
      <c r="C870" s="152"/>
      <c r="D870" s="153"/>
    </row>
    <row r="871" spans="1:4">
      <c r="A871" s="155"/>
      <c r="B871" s="152"/>
      <c r="C871" s="152"/>
      <c r="D871" s="153"/>
    </row>
    <row r="872" spans="1:4">
      <c r="A872" s="155"/>
      <c r="B872" s="152"/>
      <c r="C872" s="152"/>
      <c r="D872" s="153"/>
    </row>
    <row r="873" spans="1:4">
      <c r="A873" s="155"/>
      <c r="B873" s="152"/>
      <c r="C873" s="152"/>
      <c r="D873" s="153"/>
    </row>
    <row r="874" spans="1:4">
      <c r="A874" s="155"/>
      <c r="B874" s="152"/>
      <c r="C874" s="152"/>
      <c r="D874" s="153"/>
    </row>
    <row r="875" spans="1:4">
      <c r="A875" s="155"/>
      <c r="B875" s="152"/>
      <c r="C875" s="152"/>
      <c r="D875" s="153"/>
    </row>
    <row r="876" spans="1:4">
      <c r="A876" s="155"/>
      <c r="B876" s="152"/>
      <c r="C876" s="152"/>
      <c r="D876" s="153"/>
    </row>
    <row r="877" spans="1:4">
      <c r="A877" s="155"/>
      <c r="B877" s="152"/>
      <c r="C877" s="152"/>
      <c r="D877" s="153"/>
    </row>
    <row r="878" spans="1:4">
      <c r="A878" s="155"/>
      <c r="B878" s="152"/>
      <c r="C878" s="152"/>
      <c r="D878" s="153"/>
    </row>
    <row r="879" spans="1:4">
      <c r="A879" s="155"/>
      <c r="B879" s="152"/>
      <c r="C879" s="152"/>
      <c r="D879" s="153"/>
    </row>
    <row r="880" spans="1:4">
      <c r="A880" s="155"/>
      <c r="B880" s="152"/>
      <c r="C880" s="152"/>
      <c r="D880" s="153"/>
    </row>
    <row r="881" spans="1:4">
      <c r="A881" s="155"/>
      <c r="B881" s="152"/>
      <c r="C881" s="152"/>
      <c r="D881" s="153"/>
    </row>
    <row r="882" spans="1:4">
      <c r="A882" s="155"/>
      <c r="B882" s="152"/>
      <c r="C882" s="152"/>
      <c r="D882" s="153"/>
    </row>
  </sheetData>
  <phoneticPr fontId="45" type="noConversion"/>
  <pageMargins left="0.75" right="0.75" top="1" bottom="1" header="0.5" footer="0.5"/>
  <pageSetup paperSize="9" orientation="portrait" horizontalDpi="300"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385"/>
  <sheetViews>
    <sheetView workbookViewId="0"/>
  </sheetViews>
  <sheetFormatPr defaultRowHeight="12.75"/>
  <sheetData>
    <row r="1" spans="1:17">
      <c r="A1">
        <v>1377250</v>
      </c>
      <c r="F1">
        <v>2006</v>
      </c>
      <c r="G1">
        <v>2007</v>
      </c>
      <c r="H1">
        <v>2008</v>
      </c>
      <c r="I1">
        <v>2009</v>
      </c>
      <c r="J1">
        <v>2010</v>
      </c>
      <c r="K1">
        <v>2011</v>
      </c>
      <c r="L1">
        <v>2012</v>
      </c>
      <c r="M1" t="s">
        <v>1530</v>
      </c>
      <c r="N1">
        <v>2013</v>
      </c>
      <c r="O1">
        <v>2014</v>
      </c>
      <c r="P1">
        <v>2015</v>
      </c>
      <c r="Q1">
        <v>2016</v>
      </c>
    </row>
    <row r="2" spans="1:17" ht="15.75">
      <c r="A2" s="178" t="s">
        <v>1495</v>
      </c>
    </row>
    <row r="4" spans="1:17">
      <c r="B4" t="s">
        <v>113</v>
      </c>
      <c r="D4" t="s">
        <v>568</v>
      </c>
    </row>
    <row r="5" spans="1:17">
      <c r="B5" t="s">
        <v>114</v>
      </c>
      <c r="D5" t="s">
        <v>568</v>
      </c>
    </row>
    <row r="6" spans="1:17">
      <c r="B6" t="s">
        <v>115</v>
      </c>
      <c r="D6" t="s">
        <v>568</v>
      </c>
    </row>
    <row r="7" spans="1:17">
      <c r="B7" t="s">
        <v>117</v>
      </c>
      <c r="D7" t="s">
        <v>568</v>
      </c>
      <c r="E7">
        <v>5.5</v>
      </c>
    </row>
    <row r="8" spans="1:17">
      <c r="B8" t="s">
        <v>118</v>
      </c>
      <c r="D8" t="s">
        <v>568</v>
      </c>
      <c r="E8" t="s">
        <v>1249</v>
      </c>
    </row>
    <row r="9" spans="1:17">
      <c r="B9" t="s">
        <v>119</v>
      </c>
      <c r="D9" t="s">
        <v>568</v>
      </c>
      <c r="E9">
        <v>130.1</v>
      </c>
    </row>
    <row r="10" spans="1:17">
      <c r="B10" t="s">
        <v>1354</v>
      </c>
      <c r="D10" t="s">
        <v>568</v>
      </c>
      <c r="E10">
        <v>0.7</v>
      </c>
    </row>
    <row r="11" spans="1:17">
      <c r="B11" t="s">
        <v>120</v>
      </c>
      <c r="D11" t="s">
        <v>568</v>
      </c>
    </row>
    <row r="12" spans="1:17">
      <c r="B12" t="s">
        <v>121</v>
      </c>
      <c r="D12" t="s">
        <v>568</v>
      </c>
    </row>
    <row r="13" spans="1:17">
      <c r="B13" t="s">
        <v>122</v>
      </c>
      <c r="D13" t="s">
        <v>568</v>
      </c>
    </row>
    <row r="14" spans="1:17">
      <c r="B14" t="s">
        <v>123</v>
      </c>
      <c r="D14" t="s">
        <v>568</v>
      </c>
    </row>
    <row r="15" spans="1:17">
      <c r="B15" t="s">
        <v>124</v>
      </c>
      <c r="D15" t="s">
        <v>568</v>
      </c>
    </row>
    <row r="16" spans="1:17">
      <c r="B16" t="s">
        <v>125</v>
      </c>
      <c r="D16" t="s">
        <v>568</v>
      </c>
    </row>
    <row r="17" spans="2:17">
      <c r="B17" t="s">
        <v>126</v>
      </c>
      <c r="D17" t="s">
        <v>568</v>
      </c>
    </row>
    <row r="18" spans="2:17">
      <c r="B18" t="s">
        <v>127</v>
      </c>
      <c r="D18" t="s">
        <v>568</v>
      </c>
    </row>
    <row r="19" spans="2:17">
      <c r="B19" t="s">
        <v>128</v>
      </c>
      <c r="D19" t="s">
        <v>568</v>
      </c>
    </row>
    <row r="20" spans="2:17">
      <c r="B20" t="s">
        <v>129</v>
      </c>
      <c r="D20" t="s">
        <v>568</v>
      </c>
    </row>
    <row r="21" spans="2:17">
      <c r="B21" t="s">
        <v>130</v>
      </c>
      <c r="D21" t="s">
        <v>568</v>
      </c>
    </row>
    <row r="22" spans="2:17">
      <c r="B22" t="s">
        <v>131</v>
      </c>
      <c r="D22" t="s">
        <v>568</v>
      </c>
    </row>
    <row r="23" spans="2:17">
      <c r="B23" t="s">
        <v>132</v>
      </c>
      <c r="D23" t="s">
        <v>568</v>
      </c>
    </row>
    <row r="24" spans="2:17">
      <c r="B24" t="s">
        <v>133</v>
      </c>
      <c r="D24" t="s">
        <v>568</v>
      </c>
      <c r="F24">
        <v>1.2777614626839999</v>
      </c>
      <c r="G24">
        <v>0.93678786045200002</v>
      </c>
      <c r="H24">
        <v>1.0167600092910001</v>
      </c>
      <c r="I24">
        <v>1.013880041158</v>
      </c>
      <c r="J24">
        <v>1.159885932261</v>
      </c>
      <c r="K24">
        <v>1.1814117434160001</v>
      </c>
      <c r="L24">
        <v>1.3637077588390001</v>
      </c>
      <c r="N24">
        <v>1.4623672288480001</v>
      </c>
      <c r="O24">
        <v>1.561651777702</v>
      </c>
      <c r="P24">
        <v>1.68665659371</v>
      </c>
      <c r="Q24">
        <v>1.825355225372</v>
      </c>
    </row>
    <row r="25" spans="2:17">
      <c r="B25" t="s">
        <v>134</v>
      </c>
      <c r="D25" t="s">
        <v>568</v>
      </c>
      <c r="F25">
        <v>0.13</v>
      </c>
      <c r="G25">
        <v>0</v>
      </c>
      <c r="H25">
        <v>0.105</v>
      </c>
      <c r="I25">
        <v>5.5E-2</v>
      </c>
      <c r="J25">
        <v>0.11</v>
      </c>
      <c r="K25">
        <v>0.16500000000000001</v>
      </c>
      <c r="L25">
        <v>0.24</v>
      </c>
      <c r="N25">
        <v>0.26</v>
      </c>
      <c r="O25">
        <v>0.26</v>
      </c>
      <c r="P25">
        <v>0.29499999999999998</v>
      </c>
      <c r="Q25">
        <v>0.35499999999999998</v>
      </c>
    </row>
    <row r="26" spans="2:17">
      <c r="B26" t="s">
        <v>135</v>
      </c>
      <c r="D26" t="s">
        <v>568</v>
      </c>
      <c r="F26">
        <v>37.661999999999999</v>
      </c>
      <c r="G26">
        <v>32.444078276112002</v>
      </c>
      <c r="H26">
        <v>37.392262312321002</v>
      </c>
      <c r="I26">
        <v>31.564</v>
      </c>
      <c r="J26">
        <v>48.875</v>
      </c>
      <c r="K26">
        <v>57.374000000000002</v>
      </c>
      <c r="L26">
        <v>72.466999999999999</v>
      </c>
      <c r="N26">
        <v>77.812301682224003</v>
      </c>
      <c r="O26">
        <v>77.790784223572004</v>
      </c>
      <c r="P26">
        <v>90.264099678031002</v>
      </c>
      <c r="Q26">
        <v>105.014682729725</v>
      </c>
    </row>
    <row r="27" spans="2:17">
      <c r="B27" t="s">
        <v>136</v>
      </c>
      <c r="D27" t="s">
        <v>568</v>
      </c>
      <c r="F27">
        <v>0.176556728341</v>
      </c>
      <c r="G27">
        <v>0.15993135900800001</v>
      </c>
      <c r="H27">
        <v>0.16556022553899999</v>
      </c>
      <c r="I27">
        <v>0.11060494923399999</v>
      </c>
      <c r="J27">
        <v>0.21345017951600001</v>
      </c>
      <c r="K27">
        <v>0.27135333533799999</v>
      </c>
      <c r="L27">
        <v>0.35349831253800001</v>
      </c>
      <c r="N27">
        <v>0.37480010409300002</v>
      </c>
      <c r="O27">
        <v>0.35928454885299999</v>
      </c>
      <c r="P27">
        <v>0.42000481600799999</v>
      </c>
      <c r="Q27">
        <v>0.49369863166200001</v>
      </c>
    </row>
    <row r="28" spans="2:17">
      <c r="B28" t="s">
        <v>137</v>
      </c>
      <c r="D28" t="s">
        <v>568</v>
      </c>
      <c r="F28">
        <v>0</v>
      </c>
      <c r="G28">
        <v>0</v>
      </c>
      <c r="H28">
        <v>0</v>
      </c>
      <c r="I28">
        <v>0</v>
      </c>
      <c r="J28">
        <v>0</v>
      </c>
      <c r="K28">
        <v>0</v>
      </c>
      <c r="L28">
        <v>0</v>
      </c>
      <c r="M28">
        <v>0</v>
      </c>
      <c r="N28">
        <v>0</v>
      </c>
      <c r="O28">
        <v>0</v>
      </c>
      <c r="P28">
        <v>0</v>
      </c>
      <c r="Q28">
        <v>0</v>
      </c>
    </row>
    <row r="29" spans="2:17">
      <c r="B29" t="s">
        <v>138</v>
      </c>
      <c r="D29" t="s">
        <v>568</v>
      </c>
      <c r="F29">
        <v>63.817</v>
      </c>
      <c r="G29">
        <v>71.853999999999999</v>
      </c>
      <c r="H29">
        <v>43.34</v>
      </c>
      <c r="I29">
        <v>33.008000000000003</v>
      </c>
      <c r="J29">
        <v>-9.1690000000000005</v>
      </c>
      <c r="K29">
        <v>-27.332000000000001</v>
      </c>
      <c r="L29">
        <v>-47.018999999999998</v>
      </c>
      <c r="N29">
        <v>-53.420609925788</v>
      </c>
      <c r="O29">
        <v>-54.797227443893</v>
      </c>
      <c r="P29">
        <v>-59.987973604727003</v>
      </c>
      <c r="Q29">
        <v>-66.657217095188003</v>
      </c>
    </row>
    <row r="30" spans="2:17">
      <c r="B30" t="s">
        <v>139</v>
      </c>
      <c r="D30" t="s">
        <v>568</v>
      </c>
      <c r="F30">
        <v>21.460999999999999</v>
      </c>
      <c r="G30">
        <v>19.880078276111998</v>
      </c>
      <c r="H30">
        <v>20.959262312320998</v>
      </c>
      <c r="I30">
        <v>14.324999999999999</v>
      </c>
      <c r="J30">
        <v>27.645</v>
      </c>
      <c r="K30">
        <v>35.191000000000003</v>
      </c>
      <c r="L30">
        <v>45.981999999999999</v>
      </c>
      <c r="M30">
        <v>31.692</v>
      </c>
      <c r="N30">
        <v>48.760324665919001</v>
      </c>
      <c r="O30">
        <v>46.741239072717001</v>
      </c>
      <c r="P30">
        <v>54.640661780159</v>
      </c>
      <c r="Q30">
        <v>64.227882456985</v>
      </c>
    </row>
    <row r="31" spans="2:17">
      <c r="B31" t="s">
        <v>140</v>
      </c>
      <c r="D31" t="s">
        <v>568</v>
      </c>
      <c r="F31">
        <v>33.6</v>
      </c>
      <c r="G31">
        <v>28.459078276111999</v>
      </c>
      <c r="H31">
        <v>32.117262312321003</v>
      </c>
      <c r="I31">
        <v>25.02</v>
      </c>
      <c r="J31">
        <v>42.095999999999997</v>
      </c>
      <c r="K31">
        <v>50.668999999999997</v>
      </c>
      <c r="L31">
        <v>65.58</v>
      </c>
      <c r="N31">
        <v>70.453598812563996</v>
      </c>
      <c r="O31">
        <v>69.436475476411999</v>
      </c>
      <c r="P31">
        <v>80.966080735953</v>
      </c>
      <c r="Q31">
        <v>94.753489902810998</v>
      </c>
    </row>
    <row r="32" spans="2:17">
      <c r="B32" t="s">
        <v>141</v>
      </c>
      <c r="D32" t="s">
        <v>568</v>
      </c>
      <c r="F32">
        <v>30.478000000000002</v>
      </c>
      <c r="G32">
        <v>25.912078276111998</v>
      </c>
      <c r="H32">
        <v>26.793262312321001</v>
      </c>
      <c r="I32">
        <v>19.413</v>
      </c>
      <c r="J32">
        <v>37.777999999999999</v>
      </c>
      <c r="K32">
        <v>48.545999999999999</v>
      </c>
      <c r="L32">
        <v>64.667000000000002</v>
      </c>
      <c r="N32">
        <v>70.259833812563997</v>
      </c>
      <c r="O32">
        <v>69.041712071960006</v>
      </c>
      <c r="P32">
        <v>80.353914382587007</v>
      </c>
      <c r="Q32">
        <v>94.452768319095</v>
      </c>
    </row>
    <row r="33" spans="2:17">
      <c r="B33" t="s">
        <v>142</v>
      </c>
      <c r="D33" t="s">
        <v>568</v>
      </c>
      <c r="F33">
        <v>349.90499999999997</v>
      </c>
      <c r="G33">
        <v>371.27687362485102</v>
      </c>
      <c r="H33">
        <v>410.264435663732</v>
      </c>
      <c r="I33">
        <v>431.94099999999997</v>
      </c>
      <c r="J33">
        <v>394.38</v>
      </c>
      <c r="K33">
        <v>393.589</v>
      </c>
      <c r="L33">
        <v>427.94</v>
      </c>
      <c r="N33">
        <v>474.75502384900398</v>
      </c>
      <c r="O33">
        <v>538.98766110707004</v>
      </c>
      <c r="P33">
        <v>599.87218981149101</v>
      </c>
      <c r="Q33">
        <v>662.01244044601503</v>
      </c>
    </row>
    <row r="34" spans="2:17">
      <c r="B34" t="s">
        <v>143</v>
      </c>
      <c r="D34" t="s">
        <v>568</v>
      </c>
      <c r="F34">
        <v>157.745</v>
      </c>
      <c r="G34">
        <v>117.11499999999999</v>
      </c>
      <c r="H34">
        <v>131.68600000000001</v>
      </c>
      <c r="I34">
        <v>131.31299999999999</v>
      </c>
      <c r="J34">
        <v>150.22300000000001</v>
      </c>
      <c r="K34">
        <v>153.578</v>
      </c>
      <c r="L34">
        <v>177.41200000000001</v>
      </c>
      <c r="N34">
        <v>190.24713551925299</v>
      </c>
      <c r="O34">
        <v>203.16359087197</v>
      </c>
      <c r="P34">
        <v>219.426132662128</v>
      </c>
      <c r="Q34">
        <v>237.47017580911299</v>
      </c>
    </row>
    <row r="35" spans="2:17">
      <c r="B35" t="s">
        <v>144</v>
      </c>
      <c r="D35" t="s">
        <v>568</v>
      </c>
    </row>
    <row r="36" spans="2:17">
      <c r="B36" t="s">
        <v>21</v>
      </c>
      <c r="D36" t="s">
        <v>568</v>
      </c>
      <c r="E36">
        <v>0</v>
      </c>
    </row>
    <row r="37" spans="2:17">
      <c r="B37" t="s">
        <v>145</v>
      </c>
      <c r="D37" t="s">
        <v>568</v>
      </c>
      <c r="E37">
        <v>7.3030408177170001</v>
      </c>
    </row>
    <row r="38" spans="2:17">
      <c r="B38" t="s">
        <v>147</v>
      </c>
      <c r="D38" t="s">
        <v>568</v>
      </c>
      <c r="E38">
        <v>0.14299999999999999</v>
      </c>
    </row>
    <row r="39" spans="2:17">
      <c r="B39" t="s">
        <v>148</v>
      </c>
      <c r="D39" t="s">
        <v>568</v>
      </c>
      <c r="E39">
        <v>1.4999999999999999E-2</v>
      </c>
    </row>
    <row r="40" spans="2:17">
      <c r="B40" t="s">
        <v>149</v>
      </c>
      <c r="D40" t="s">
        <v>568</v>
      </c>
      <c r="E40">
        <v>2.5000000000000001E-2</v>
      </c>
    </row>
    <row r="41" spans="2:17">
      <c r="B41" t="s">
        <v>150</v>
      </c>
      <c r="D41" t="s">
        <v>568</v>
      </c>
      <c r="F41">
        <v>1</v>
      </c>
      <c r="G41">
        <v>1</v>
      </c>
      <c r="H41">
        <v>1</v>
      </c>
      <c r="I41">
        <v>1</v>
      </c>
      <c r="J41">
        <v>1</v>
      </c>
      <c r="K41">
        <v>1</v>
      </c>
      <c r="L41">
        <v>1</v>
      </c>
      <c r="N41">
        <v>1</v>
      </c>
      <c r="O41">
        <v>0.93580993775900001</v>
      </c>
      <c r="P41">
        <v>0.83336958424899998</v>
      </c>
      <c r="Q41">
        <v>0.74202521974500002</v>
      </c>
    </row>
    <row r="42" spans="2:17">
      <c r="B42" t="s">
        <v>151</v>
      </c>
      <c r="D42" t="s">
        <v>568</v>
      </c>
      <c r="F42">
        <v>21.057500000000001</v>
      </c>
      <c r="G42">
        <v>-7.5125217238879998</v>
      </c>
      <c r="H42">
        <v>26.3398</v>
      </c>
      <c r="I42">
        <v>20.854900000000001</v>
      </c>
      <c r="J42">
        <v>50.630600000000001</v>
      </c>
      <c r="K42">
        <v>33.442100000000003</v>
      </c>
      <c r="L42">
        <v>41.633099999999999</v>
      </c>
      <c r="N42">
        <v>40.362434572455001</v>
      </c>
      <c r="O42">
        <v>33.200417563533001</v>
      </c>
      <c r="P42">
        <v>36.666080443906999</v>
      </c>
      <c r="Q42">
        <v>39.37452047867</v>
      </c>
    </row>
    <row r="43" spans="2:17">
      <c r="B43" t="s">
        <v>152</v>
      </c>
      <c r="D43" t="s">
        <v>568</v>
      </c>
      <c r="E43">
        <v>823.85471028752795</v>
      </c>
    </row>
    <row r="44" spans="2:17">
      <c r="B44" t="s">
        <v>153</v>
      </c>
      <c r="D44" t="s">
        <v>568</v>
      </c>
      <c r="E44">
        <v>430.73767849113898</v>
      </c>
    </row>
    <row r="45" spans="2:17">
      <c r="B45" t="s">
        <v>154</v>
      </c>
      <c r="D45" t="s">
        <v>568</v>
      </c>
      <c r="E45">
        <v>0</v>
      </c>
    </row>
    <row r="46" spans="2:17">
      <c r="B46" t="s">
        <v>155</v>
      </c>
      <c r="D46" t="s">
        <v>568</v>
      </c>
      <c r="E46">
        <v>47.018999999999998</v>
      </c>
    </row>
    <row r="47" spans="2:17">
      <c r="B47" t="s">
        <v>156</v>
      </c>
      <c r="D47" t="s">
        <v>568</v>
      </c>
      <c r="E47">
        <v>870.87371028752796</v>
      </c>
    </row>
    <row r="48" spans="2:17">
      <c r="B48" t="s">
        <v>157</v>
      </c>
      <c r="D48" t="s">
        <v>568</v>
      </c>
      <c r="E48">
        <v>0.60892071486300003</v>
      </c>
    </row>
    <row r="49" spans="2:17">
      <c r="B49" t="s">
        <v>158</v>
      </c>
      <c r="D49" t="s">
        <v>568</v>
      </c>
      <c r="E49">
        <v>7.3030408177170001</v>
      </c>
    </row>
    <row r="50" spans="2:17">
      <c r="B50" t="s">
        <v>159</v>
      </c>
      <c r="D50" t="s">
        <v>568</v>
      </c>
      <c r="E50">
        <v>0</v>
      </c>
    </row>
    <row r="51" spans="2:17">
      <c r="B51" t="s">
        <v>160</v>
      </c>
      <c r="D51" t="s">
        <v>568</v>
      </c>
      <c r="E51">
        <v>6.6941201028539998</v>
      </c>
    </row>
    <row r="52" spans="2:17">
      <c r="B52" t="s">
        <v>161</v>
      </c>
      <c r="D52" t="s">
        <v>568</v>
      </c>
      <c r="F52">
        <v>216.642</v>
      </c>
      <c r="G52">
        <v>172.976</v>
      </c>
      <c r="H52">
        <v>161.79900000000001</v>
      </c>
      <c r="I52">
        <v>153.511</v>
      </c>
      <c r="J52">
        <v>135.44999999999999</v>
      </c>
      <c r="K52">
        <v>120.652</v>
      </c>
      <c r="L52">
        <v>124.182</v>
      </c>
      <c r="N52">
        <v>130.61552559346501</v>
      </c>
      <c r="O52">
        <v>142.15536342807701</v>
      </c>
      <c r="P52">
        <v>153.22715905740199</v>
      </c>
      <c r="Q52">
        <v>164.601958713925</v>
      </c>
    </row>
    <row r="53" spans="2:17">
      <c r="B53" t="s">
        <v>162</v>
      </c>
      <c r="D53" t="s">
        <v>568</v>
      </c>
      <c r="F53">
        <v>13.301</v>
      </c>
      <c r="G53">
        <v>-34.092921723887997</v>
      </c>
      <c r="H53">
        <v>20.861262312320999</v>
      </c>
      <c r="I53">
        <v>11.755000000000001</v>
      </c>
      <c r="J53">
        <v>22.584</v>
      </c>
      <c r="K53">
        <v>31.734999999999999</v>
      </c>
      <c r="L53">
        <v>45.981999999999999</v>
      </c>
      <c r="N53">
        <v>46.660324665918999</v>
      </c>
      <c r="O53">
        <v>46.741239072717001</v>
      </c>
      <c r="P53">
        <v>54.640661780159</v>
      </c>
      <c r="Q53">
        <v>64.227882456985</v>
      </c>
    </row>
    <row r="54" spans="2:17">
      <c r="B54" t="s">
        <v>1373</v>
      </c>
      <c r="D54" t="s">
        <v>568</v>
      </c>
      <c r="F54">
        <v>0.60658129977499997</v>
      </c>
      <c r="G54">
        <v>0.432778953932</v>
      </c>
      <c r="H54">
        <v>0.50838772574000002</v>
      </c>
      <c r="I54">
        <v>0.49108475366299997</v>
      </c>
      <c r="J54">
        <v>0.63076706862499998</v>
      </c>
      <c r="K54">
        <v>0.64312314253900005</v>
      </c>
      <c r="L54">
        <v>0.82674763662899997</v>
      </c>
      <c r="N54">
        <v>0.92540710663900005</v>
      </c>
      <c r="O54">
        <v>1.024691655492</v>
      </c>
      <c r="P54">
        <v>1.1496964715010001</v>
      </c>
      <c r="Q54">
        <v>1.288395103162</v>
      </c>
    </row>
    <row r="55" spans="2:17">
      <c r="B55" t="s">
        <v>163</v>
      </c>
      <c r="D55" t="s">
        <v>568</v>
      </c>
      <c r="F55">
        <v>1</v>
      </c>
      <c r="G55">
        <v>1</v>
      </c>
      <c r="H55">
        <v>0.80952380952400005</v>
      </c>
      <c r="I55">
        <v>0</v>
      </c>
      <c r="J55">
        <v>0</v>
      </c>
      <c r="K55">
        <v>1</v>
      </c>
      <c r="L55">
        <v>1</v>
      </c>
      <c r="N55">
        <v>1</v>
      </c>
      <c r="O55">
        <v>0.5</v>
      </c>
      <c r="P55">
        <v>0.5</v>
      </c>
      <c r="Q55">
        <v>0.5</v>
      </c>
    </row>
    <row r="56" spans="2:17">
      <c r="B56" t="s">
        <v>1372</v>
      </c>
      <c r="D56" t="s">
        <v>568</v>
      </c>
      <c r="F56">
        <v>0.40455798916000002</v>
      </c>
      <c r="G56">
        <v>0.61353370618600001</v>
      </c>
      <c r="H56">
        <v>0.32911623103400001</v>
      </c>
      <c r="I56">
        <v>0.25136886675300002</v>
      </c>
      <c r="J56">
        <v>-6.1035926588999999E-2</v>
      </c>
      <c r="K56">
        <v>-0.17796819857000001</v>
      </c>
      <c r="L56">
        <v>-0.26502716839899998</v>
      </c>
      <c r="N56">
        <v>-0.28079586996099998</v>
      </c>
      <c r="O56">
        <v>-0.26971972295199997</v>
      </c>
      <c r="P56">
        <v>-0.27338573066499999</v>
      </c>
      <c r="Q56">
        <v>-0.28069721542100001</v>
      </c>
    </row>
    <row r="57" spans="2:17">
      <c r="B57" t="s">
        <v>394</v>
      </c>
      <c r="D57" t="s">
        <v>568</v>
      </c>
      <c r="F57">
        <v>349.90499999999997</v>
      </c>
      <c r="G57">
        <v>371.27687362485102</v>
      </c>
      <c r="H57">
        <v>410.264435663732</v>
      </c>
      <c r="I57">
        <v>431.94099999999997</v>
      </c>
      <c r="J57">
        <v>394.38</v>
      </c>
      <c r="K57">
        <v>393.589</v>
      </c>
      <c r="L57">
        <v>427.94</v>
      </c>
      <c r="N57">
        <v>474.75502384900398</v>
      </c>
      <c r="O57">
        <v>538.98766110707004</v>
      </c>
      <c r="P57">
        <v>599.87218981149101</v>
      </c>
      <c r="Q57">
        <v>662.01244044601503</v>
      </c>
    </row>
    <row r="58" spans="2:17">
      <c r="B58" t="s">
        <v>164</v>
      </c>
      <c r="D58" t="s">
        <v>568</v>
      </c>
      <c r="F58">
        <v>0</v>
      </c>
      <c r="G58">
        <v>0</v>
      </c>
      <c r="H58">
        <v>0</v>
      </c>
      <c r="I58">
        <v>0</v>
      </c>
      <c r="J58">
        <v>0</v>
      </c>
      <c r="K58">
        <v>0</v>
      </c>
      <c r="L58">
        <v>0</v>
      </c>
      <c r="M58">
        <v>0</v>
      </c>
      <c r="N58">
        <v>0</v>
      </c>
      <c r="O58">
        <v>0</v>
      </c>
      <c r="P58">
        <v>0</v>
      </c>
      <c r="Q58">
        <v>0</v>
      </c>
    </row>
    <row r="59" spans="2:17">
      <c r="B59" t="s">
        <v>165</v>
      </c>
      <c r="D59" t="s">
        <v>568</v>
      </c>
      <c r="F59">
        <v>-260.56900000000002</v>
      </c>
      <c r="G59">
        <v>-272.97300000000001</v>
      </c>
      <c r="H59">
        <v>-306.82499999999999</v>
      </c>
      <c r="I59">
        <v>-308.90899999999999</v>
      </c>
      <c r="J59">
        <v>-286.86500000000001</v>
      </c>
      <c r="K59">
        <v>-255</v>
      </c>
      <c r="L59">
        <v>-267.30399999999997</v>
      </c>
      <c r="N59">
        <v>-296.07129557888601</v>
      </c>
      <c r="O59">
        <v>-335.58968314524401</v>
      </c>
      <c r="P59">
        <v>-372.89832198590199</v>
      </c>
      <c r="Q59">
        <v>-411.526542435127</v>
      </c>
    </row>
    <row r="60" spans="2:17">
      <c r="B60" t="s">
        <v>166</v>
      </c>
      <c r="D60" t="s">
        <v>568</v>
      </c>
      <c r="F60">
        <v>-48.110999999999997</v>
      </c>
      <c r="G60">
        <v>-61.414795348737997</v>
      </c>
      <c r="H60">
        <v>-61.121173351411002</v>
      </c>
      <c r="I60">
        <v>-86.9</v>
      </c>
      <c r="J60">
        <v>-53.966999999999999</v>
      </c>
      <c r="K60">
        <v>-76.150000000000006</v>
      </c>
      <c r="L60">
        <v>-81.555999999999997</v>
      </c>
      <c r="M60">
        <v>0</v>
      </c>
      <c r="N60">
        <v>-93.534989300627004</v>
      </c>
      <c r="O60">
        <v>-117.27816302623501</v>
      </c>
      <c r="P60">
        <v>-127.4398826701</v>
      </c>
      <c r="Q60">
        <v>-135.241070240575</v>
      </c>
    </row>
    <row r="61" spans="2:17">
      <c r="B61" t="s">
        <v>167</v>
      </c>
      <c r="D61" t="s">
        <v>568</v>
      </c>
      <c r="F61">
        <v>-308.68</v>
      </c>
      <c r="G61">
        <v>-334.387795348738</v>
      </c>
      <c r="H61">
        <v>-367.94617335141101</v>
      </c>
      <c r="I61">
        <v>-395.80900000000003</v>
      </c>
      <c r="J61">
        <v>-340.83199999999999</v>
      </c>
      <c r="K61">
        <v>-331.15</v>
      </c>
      <c r="L61">
        <v>-348.86</v>
      </c>
      <c r="M61">
        <v>0</v>
      </c>
      <c r="N61">
        <v>-389.606284879513</v>
      </c>
      <c r="O61">
        <v>-452.86784617147998</v>
      </c>
      <c r="P61">
        <v>-500.33820465600201</v>
      </c>
      <c r="Q61">
        <v>-546.76761267570203</v>
      </c>
    </row>
    <row r="62" spans="2:17">
      <c r="B62" t="s">
        <v>168</v>
      </c>
      <c r="D62" t="s">
        <v>568</v>
      </c>
      <c r="F62">
        <v>-3.5630000000000002</v>
      </c>
      <c r="G62">
        <v>-4.4450000000000003</v>
      </c>
      <c r="H62">
        <v>-4.9260000000000002</v>
      </c>
      <c r="I62">
        <v>-4.5679999999999996</v>
      </c>
      <c r="J62">
        <v>-4.673</v>
      </c>
      <c r="K62">
        <v>-5.0650000000000004</v>
      </c>
      <c r="L62">
        <v>-6.6130000000000004</v>
      </c>
      <c r="N62">
        <v>-7.3364372872679997</v>
      </c>
      <c r="O62">
        <v>-8.3290307120179996</v>
      </c>
      <c r="P62">
        <v>-9.2698854774580006</v>
      </c>
      <c r="Q62">
        <v>-10.230145040589001</v>
      </c>
    </row>
    <row r="63" spans="2:17">
      <c r="B63" t="s">
        <v>169</v>
      </c>
      <c r="D63" t="s">
        <v>568</v>
      </c>
      <c r="F63">
        <v>0</v>
      </c>
      <c r="G63">
        <v>0</v>
      </c>
      <c r="H63">
        <v>0</v>
      </c>
      <c r="I63">
        <v>0</v>
      </c>
      <c r="J63">
        <v>0</v>
      </c>
      <c r="K63">
        <v>0</v>
      </c>
      <c r="L63">
        <v>0</v>
      </c>
      <c r="M63">
        <v>0</v>
      </c>
      <c r="N63">
        <v>0</v>
      </c>
      <c r="O63">
        <v>0</v>
      </c>
      <c r="P63">
        <v>0</v>
      </c>
      <c r="Q63">
        <v>0</v>
      </c>
    </row>
    <row r="64" spans="2:17">
      <c r="B64" t="s">
        <v>170</v>
      </c>
      <c r="D64" t="s">
        <v>568</v>
      </c>
      <c r="F64">
        <v>-316.30500000000001</v>
      </c>
      <c r="G64">
        <v>-342.817795348738</v>
      </c>
      <c r="H64">
        <v>-378.14717335141103</v>
      </c>
      <c r="I64">
        <v>-406.92099999999999</v>
      </c>
      <c r="J64">
        <v>-352.28399999999999</v>
      </c>
      <c r="K64">
        <v>-342.92</v>
      </c>
      <c r="L64">
        <v>-362.36</v>
      </c>
      <c r="N64">
        <v>-404.30142503643998</v>
      </c>
      <c r="O64">
        <v>-469.55118563065702</v>
      </c>
      <c r="P64">
        <v>-518.90610907553798</v>
      </c>
      <c r="Q64">
        <v>-567.25895054320404</v>
      </c>
    </row>
    <row r="65" spans="2:17">
      <c r="B65" t="s">
        <v>171</v>
      </c>
      <c r="D65" t="s">
        <v>568</v>
      </c>
      <c r="F65">
        <v>-312.24299999999999</v>
      </c>
      <c r="G65">
        <v>-338.83279534873799</v>
      </c>
      <c r="H65">
        <v>-372.87217335141099</v>
      </c>
      <c r="I65">
        <v>-400.37700000000001</v>
      </c>
      <c r="J65">
        <v>-345.505</v>
      </c>
      <c r="K65">
        <v>-336.21499999999997</v>
      </c>
      <c r="L65">
        <v>-355.47300000000001</v>
      </c>
      <c r="N65">
        <v>-396.94272216678098</v>
      </c>
      <c r="O65">
        <v>-461.19687688349802</v>
      </c>
      <c r="P65">
        <v>-509.60809013346</v>
      </c>
      <c r="Q65">
        <v>-556.99775771629004</v>
      </c>
    </row>
    <row r="66" spans="2:17">
      <c r="B66" t="s">
        <v>172</v>
      </c>
      <c r="D66" t="s">
        <v>568</v>
      </c>
      <c r="F66">
        <v>37.661999999999999</v>
      </c>
      <c r="G66">
        <v>32.444078276112002</v>
      </c>
      <c r="H66">
        <v>37.392262312321002</v>
      </c>
      <c r="I66">
        <v>31.564</v>
      </c>
      <c r="J66">
        <v>48.875</v>
      </c>
      <c r="K66">
        <v>57.374000000000002</v>
      </c>
      <c r="L66">
        <v>72.466999999999999</v>
      </c>
      <c r="N66">
        <v>77.812301682224003</v>
      </c>
      <c r="O66">
        <v>77.790784223572004</v>
      </c>
      <c r="P66">
        <v>90.264099678031002</v>
      </c>
      <c r="Q66">
        <v>105.014682729725</v>
      </c>
    </row>
    <row r="67" spans="2:17">
      <c r="B67" t="s">
        <v>173</v>
      </c>
      <c r="D67" t="s">
        <v>568</v>
      </c>
      <c r="F67">
        <v>-4.0620000000000003</v>
      </c>
      <c r="G67">
        <v>-3.9849999999999999</v>
      </c>
      <c r="H67">
        <v>-5.2750000000000004</v>
      </c>
      <c r="I67">
        <v>-6.5439999999999996</v>
      </c>
      <c r="J67">
        <v>-6.7789999999999999</v>
      </c>
      <c r="K67">
        <v>-6.7050000000000001</v>
      </c>
      <c r="L67">
        <v>-6.8869999999999996</v>
      </c>
      <c r="M67">
        <v>0</v>
      </c>
      <c r="N67">
        <v>-7.3587028696600001</v>
      </c>
      <c r="O67">
        <v>-8.3543087471599993</v>
      </c>
      <c r="P67">
        <v>-9.2980189420780004</v>
      </c>
      <c r="Q67">
        <v>-10.261192826913</v>
      </c>
    </row>
    <row r="68" spans="2:17">
      <c r="B68" t="s">
        <v>174</v>
      </c>
      <c r="D68" t="s">
        <v>568</v>
      </c>
      <c r="F68">
        <v>0</v>
      </c>
      <c r="G68">
        <v>0</v>
      </c>
      <c r="H68">
        <v>0</v>
      </c>
      <c r="I68">
        <v>0</v>
      </c>
      <c r="J68">
        <v>0</v>
      </c>
      <c r="K68">
        <v>0</v>
      </c>
      <c r="L68">
        <v>0</v>
      </c>
      <c r="M68">
        <v>0</v>
      </c>
      <c r="N68">
        <v>0</v>
      </c>
      <c r="O68">
        <v>0</v>
      </c>
      <c r="P68">
        <v>0</v>
      </c>
      <c r="Q68">
        <v>0</v>
      </c>
    </row>
    <row r="69" spans="2:17">
      <c r="B69" t="s">
        <v>1107</v>
      </c>
      <c r="D69" t="s">
        <v>568</v>
      </c>
      <c r="F69">
        <v>33.6</v>
      </c>
      <c r="G69">
        <v>28.459078276111999</v>
      </c>
      <c r="H69">
        <v>32.117262312321003</v>
      </c>
      <c r="I69">
        <v>25.02</v>
      </c>
      <c r="J69">
        <v>42.095999999999997</v>
      </c>
      <c r="K69">
        <v>50.668999999999997</v>
      </c>
      <c r="L69">
        <v>65.58</v>
      </c>
      <c r="N69">
        <v>70.453598812563996</v>
      </c>
      <c r="O69">
        <v>69.436475476411999</v>
      </c>
      <c r="P69">
        <v>80.966080735953</v>
      </c>
      <c r="Q69">
        <v>94.753489902810998</v>
      </c>
    </row>
    <row r="70" spans="2:17">
      <c r="B70" t="s">
        <v>175</v>
      </c>
      <c r="D70" t="s">
        <v>568</v>
      </c>
      <c r="F70">
        <v>0</v>
      </c>
      <c r="G70">
        <v>0.33700000000000002</v>
      </c>
      <c r="H70">
        <v>0.64800000000000002</v>
      </c>
      <c r="I70">
        <v>0.32900000000000001</v>
      </c>
      <c r="J70">
        <v>0.154</v>
      </c>
      <c r="K70">
        <v>0.58199999999999996</v>
      </c>
      <c r="L70">
        <v>1.085</v>
      </c>
      <c r="N70">
        <v>1.085</v>
      </c>
      <c r="O70">
        <v>0.88400159554699997</v>
      </c>
      <c r="P70">
        <v>0.66659864663400004</v>
      </c>
      <c r="Q70">
        <v>0.97804341628400004</v>
      </c>
    </row>
    <row r="71" spans="2:17">
      <c r="B71" t="s">
        <v>176</v>
      </c>
      <c r="D71" t="s">
        <v>568</v>
      </c>
      <c r="F71">
        <v>-4.2350000000000003</v>
      </c>
      <c r="G71">
        <v>-5.0890000000000004</v>
      </c>
      <c r="H71">
        <v>-5.9720000000000004</v>
      </c>
      <c r="I71">
        <v>-5.9359999999999999</v>
      </c>
      <c r="J71">
        <v>-4.4720000000000004</v>
      </c>
      <c r="K71">
        <v>-2.7050000000000001</v>
      </c>
      <c r="L71">
        <v>-1.998</v>
      </c>
      <c r="N71">
        <v>-1.2787649999999999</v>
      </c>
      <c r="O71">
        <v>-1.2787649999999999</v>
      </c>
      <c r="P71">
        <v>-1.2787649999999999</v>
      </c>
      <c r="Q71">
        <v>-1.2787649999999999</v>
      </c>
    </row>
    <row r="72" spans="2:17">
      <c r="B72" t="s">
        <v>177</v>
      </c>
      <c r="D72" t="s">
        <v>568</v>
      </c>
      <c r="F72">
        <v>-4.2350000000000003</v>
      </c>
      <c r="G72">
        <v>-4.7519999999999998</v>
      </c>
      <c r="H72">
        <v>-5.3239999999999998</v>
      </c>
      <c r="I72">
        <v>-5.6070000000000002</v>
      </c>
      <c r="J72">
        <v>-4.3179999999999996</v>
      </c>
      <c r="K72">
        <v>-2.1230000000000002</v>
      </c>
      <c r="L72">
        <v>-0.91300000000000003</v>
      </c>
      <c r="N72">
        <v>-0.19376499999999999</v>
      </c>
      <c r="O72">
        <v>-0.39476340445300001</v>
      </c>
      <c r="P72">
        <v>-0.612166353366</v>
      </c>
      <c r="Q72">
        <v>-0.300721583716</v>
      </c>
    </row>
    <row r="73" spans="2:17">
      <c r="B73" t="s">
        <v>178</v>
      </c>
      <c r="D73" t="s">
        <v>568</v>
      </c>
      <c r="F73">
        <v>1.113</v>
      </c>
      <c r="G73">
        <v>2.2050000000000001</v>
      </c>
      <c r="H73">
        <v>0</v>
      </c>
      <c r="I73">
        <v>0</v>
      </c>
      <c r="J73">
        <v>0</v>
      </c>
      <c r="K73">
        <v>0</v>
      </c>
      <c r="L73">
        <v>0</v>
      </c>
      <c r="M73">
        <v>0</v>
      </c>
      <c r="N73">
        <v>0</v>
      </c>
      <c r="O73">
        <v>0</v>
      </c>
      <c r="P73">
        <v>0</v>
      </c>
      <c r="Q73">
        <v>0</v>
      </c>
    </row>
    <row r="74" spans="2:17">
      <c r="B74" t="s">
        <v>179</v>
      </c>
      <c r="D74" t="s">
        <v>568</v>
      </c>
      <c r="F74">
        <v>0</v>
      </c>
      <c r="G74">
        <v>0</v>
      </c>
      <c r="H74">
        <v>0</v>
      </c>
      <c r="I74">
        <v>0</v>
      </c>
      <c r="J74">
        <v>0</v>
      </c>
      <c r="K74">
        <v>0</v>
      </c>
      <c r="L74">
        <v>0</v>
      </c>
      <c r="M74">
        <v>0</v>
      </c>
      <c r="N74">
        <v>0</v>
      </c>
      <c r="O74">
        <v>0</v>
      </c>
      <c r="P74">
        <v>0</v>
      </c>
      <c r="Q74">
        <v>0</v>
      </c>
    </row>
    <row r="75" spans="2:17">
      <c r="B75" t="s">
        <v>180</v>
      </c>
      <c r="D75" t="s">
        <v>568</v>
      </c>
      <c r="F75">
        <v>0</v>
      </c>
      <c r="G75">
        <v>0</v>
      </c>
      <c r="H75">
        <v>0</v>
      </c>
      <c r="I75">
        <v>0</v>
      </c>
      <c r="J75">
        <v>0</v>
      </c>
      <c r="K75">
        <v>0</v>
      </c>
      <c r="L75">
        <v>0</v>
      </c>
      <c r="M75">
        <v>0</v>
      </c>
      <c r="N75">
        <v>0</v>
      </c>
      <c r="O75">
        <v>0</v>
      </c>
      <c r="P75">
        <v>0</v>
      </c>
      <c r="Q75">
        <v>0</v>
      </c>
    </row>
    <row r="76" spans="2:17">
      <c r="B76" t="s">
        <v>181</v>
      </c>
      <c r="D76" t="s">
        <v>568</v>
      </c>
      <c r="F76">
        <v>30.478000000000002</v>
      </c>
      <c r="G76">
        <v>25.912078276111998</v>
      </c>
      <c r="H76">
        <v>26.793262312321001</v>
      </c>
      <c r="I76">
        <v>19.413</v>
      </c>
      <c r="J76">
        <v>37.777999999999999</v>
      </c>
      <c r="K76">
        <v>48.545999999999999</v>
      </c>
      <c r="L76">
        <v>64.667000000000002</v>
      </c>
      <c r="N76">
        <v>70.259833812563997</v>
      </c>
      <c r="O76">
        <v>69.041712071960006</v>
      </c>
      <c r="P76">
        <v>80.353914382587007</v>
      </c>
      <c r="Q76">
        <v>94.452768319095</v>
      </c>
    </row>
    <row r="77" spans="2:17">
      <c r="B77" t="s">
        <v>182</v>
      </c>
      <c r="D77" t="s">
        <v>568</v>
      </c>
      <c r="F77">
        <v>-9.0169999999999995</v>
      </c>
      <c r="G77">
        <v>-6.032</v>
      </c>
      <c r="H77">
        <v>-5.8339999999999996</v>
      </c>
      <c r="I77">
        <v>-5.0880000000000001</v>
      </c>
      <c r="J77">
        <v>-10.132999999999999</v>
      </c>
      <c r="K77">
        <v>-13.355</v>
      </c>
      <c r="L77">
        <v>-18.684999999999999</v>
      </c>
      <c r="N77">
        <v>-21.499509146645</v>
      </c>
      <c r="O77">
        <v>-22.300472999242999</v>
      </c>
      <c r="P77">
        <v>-25.713252602428</v>
      </c>
      <c r="Q77">
        <v>-30.22488586211</v>
      </c>
    </row>
    <row r="78" spans="2:17">
      <c r="B78" t="s">
        <v>183</v>
      </c>
      <c r="D78" t="s">
        <v>568</v>
      </c>
      <c r="F78">
        <v>0</v>
      </c>
      <c r="G78">
        <v>0</v>
      </c>
      <c r="H78">
        <v>0</v>
      </c>
      <c r="I78">
        <v>0</v>
      </c>
      <c r="J78">
        <v>0</v>
      </c>
      <c r="K78">
        <v>0</v>
      </c>
      <c r="L78">
        <v>0</v>
      </c>
      <c r="M78">
        <v>0</v>
      </c>
      <c r="N78">
        <v>0</v>
      </c>
      <c r="O78">
        <v>0</v>
      </c>
      <c r="P78">
        <v>0</v>
      </c>
      <c r="Q78">
        <v>0</v>
      </c>
    </row>
    <row r="79" spans="2:17">
      <c r="B79" t="s">
        <v>184</v>
      </c>
      <c r="D79" t="s">
        <v>568</v>
      </c>
      <c r="F79">
        <v>21.460999999999999</v>
      </c>
      <c r="G79">
        <v>19.880078276111998</v>
      </c>
      <c r="H79">
        <v>20.959262312320998</v>
      </c>
      <c r="I79">
        <v>14.324999999999999</v>
      </c>
      <c r="J79">
        <v>27.645</v>
      </c>
      <c r="K79">
        <v>35.191000000000003</v>
      </c>
      <c r="L79">
        <v>45.981999999999999</v>
      </c>
      <c r="N79">
        <v>48.760324665919001</v>
      </c>
      <c r="O79">
        <v>46.741239072717001</v>
      </c>
      <c r="P79">
        <v>54.640661780159</v>
      </c>
      <c r="Q79">
        <v>64.227882456985</v>
      </c>
    </row>
    <row r="80" spans="2:17">
      <c r="B80" t="s">
        <v>185</v>
      </c>
      <c r="D80" t="s">
        <v>568</v>
      </c>
      <c r="F80">
        <v>0</v>
      </c>
      <c r="G80">
        <v>0</v>
      </c>
      <c r="H80">
        <v>0</v>
      </c>
      <c r="I80">
        <v>0</v>
      </c>
      <c r="J80">
        <v>0</v>
      </c>
      <c r="K80">
        <v>0</v>
      </c>
      <c r="L80">
        <v>0</v>
      </c>
      <c r="M80">
        <v>0</v>
      </c>
      <c r="N80">
        <v>0</v>
      </c>
      <c r="O80">
        <v>0</v>
      </c>
      <c r="P80">
        <v>0</v>
      </c>
      <c r="Q80">
        <v>0</v>
      </c>
    </row>
    <row r="81" spans="2:17">
      <c r="B81" t="s">
        <v>186</v>
      </c>
      <c r="D81" t="s">
        <v>568</v>
      </c>
      <c r="F81">
        <v>21.460999999999999</v>
      </c>
      <c r="G81">
        <v>19.880078276111998</v>
      </c>
      <c r="H81">
        <v>20.959262312320998</v>
      </c>
      <c r="I81">
        <v>14.324999999999999</v>
      </c>
      <c r="J81">
        <v>27.645</v>
      </c>
      <c r="K81">
        <v>35.191000000000003</v>
      </c>
      <c r="L81">
        <v>45.981999999999999</v>
      </c>
      <c r="N81">
        <v>48.760324665919001</v>
      </c>
      <c r="O81">
        <v>46.741239072717001</v>
      </c>
      <c r="P81">
        <v>54.640661780159</v>
      </c>
      <c r="Q81">
        <v>64.227882456985</v>
      </c>
    </row>
    <row r="82" spans="2:17">
      <c r="B82" t="s">
        <v>187</v>
      </c>
      <c r="D82" t="s">
        <v>568</v>
      </c>
      <c r="F82">
        <v>-8.16</v>
      </c>
      <c r="G82">
        <v>-53.972999999999999</v>
      </c>
      <c r="H82">
        <v>-9.8000000000000004E-2</v>
      </c>
      <c r="I82">
        <v>-2.57</v>
      </c>
      <c r="J82">
        <v>-5.0609999999999999</v>
      </c>
      <c r="K82">
        <v>-3.456</v>
      </c>
      <c r="L82">
        <v>0</v>
      </c>
      <c r="M82">
        <v>0</v>
      </c>
      <c r="N82">
        <v>-2.1</v>
      </c>
      <c r="O82">
        <v>0</v>
      </c>
      <c r="P82">
        <v>0</v>
      </c>
      <c r="Q82">
        <v>0</v>
      </c>
    </row>
    <row r="83" spans="2:17">
      <c r="B83" t="s">
        <v>188</v>
      </c>
      <c r="D83" t="s">
        <v>568</v>
      </c>
      <c r="F83">
        <v>13.301</v>
      </c>
      <c r="G83">
        <v>-34.092921723887997</v>
      </c>
      <c r="H83">
        <v>20.861262312320999</v>
      </c>
      <c r="I83">
        <v>11.755000000000001</v>
      </c>
      <c r="J83">
        <v>22.584</v>
      </c>
      <c r="K83">
        <v>31.734999999999999</v>
      </c>
      <c r="L83">
        <v>45.981999999999999</v>
      </c>
      <c r="N83">
        <v>46.660324665918999</v>
      </c>
      <c r="O83">
        <v>46.741239072717001</v>
      </c>
      <c r="P83">
        <v>54.640661780159</v>
      </c>
      <c r="Q83">
        <v>64.227882456985</v>
      </c>
    </row>
    <row r="84" spans="2:17">
      <c r="B84" t="s">
        <v>189</v>
      </c>
      <c r="D84" t="s">
        <v>568</v>
      </c>
      <c r="F84">
        <v>0.176556728341</v>
      </c>
      <c r="G84">
        <v>0.15993135900800001</v>
      </c>
      <c r="H84">
        <v>0.16556022553899999</v>
      </c>
      <c r="I84">
        <v>0.11060494923399999</v>
      </c>
      <c r="J84">
        <v>0.21345017951600001</v>
      </c>
      <c r="K84">
        <v>0.27135333533799999</v>
      </c>
      <c r="L84">
        <v>0.35349831253800001</v>
      </c>
      <c r="N84">
        <v>0.37480010409300002</v>
      </c>
      <c r="O84">
        <v>0.35928454885299999</v>
      </c>
      <c r="P84">
        <v>0.42000481600799999</v>
      </c>
      <c r="Q84">
        <v>0.49369863166200001</v>
      </c>
    </row>
    <row r="85" spans="2:17">
      <c r="B85" t="s">
        <v>190</v>
      </c>
      <c r="D85" t="s">
        <v>568</v>
      </c>
      <c r="F85">
        <v>0.176556728341</v>
      </c>
      <c r="G85">
        <v>0.15993135900800001</v>
      </c>
      <c r="H85">
        <v>0.16556022553899999</v>
      </c>
      <c r="I85">
        <v>0.11060494923399999</v>
      </c>
      <c r="J85">
        <v>0.21345017951600001</v>
      </c>
      <c r="K85">
        <v>0.27135333533799999</v>
      </c>
      <c r="L85">
        <v>0.35349831253800001</v>
      </c>
      <c r="N85">
        <v>0.37480010409300002</v>
      </c>
      <c r="O85">
        <v>0.35928454885299999</v>
      </c>
      <c r="P85">
        <v>0.42000481600799999</v>
      </c>
      <c r="Q85">
        <v>0.49369863166200001</v>
      </c>
    </row>
    <row r="86" spans="2:17">
      <c r="B86" t="s">
        <v>191</v>
      </c>
      <c r="D86" t="s">
        <v>568</v>
      </c>
      <c r="F86">
        <v>0.109425518087</v>
      </c>
      <c r="G86">
        <v>-0.27427091725399999</v>
      </c>
      <c r="H86">
        <v>0.16478610945300001</v>
      </c>
      <c r="I86">
        <v>9.0761687834999993E-2</v>
      </c>
      <c r="J86">
        <v>0.17437362467699999</v>
      </c>
      <c r="K86">
        <v>0.24470455789699999</v>
      </c>
      <c r="L86">
        <v>0.35349831253800001</v>
      </c>
      <c r="N86">
        <v>0.35865828748299999</v>
      </c>
      <c r="O86">
        <v>0.35928454885299999</v>
      </c>
      <c r="P86">
        <v>0.42000481600799999</v>
      </c>
      <c r="Q86">
        <v>0.49369863166200001</v>
      </c>
    </row>
    <row r="87" spans="2:17">
      <c r="B87" t="s">
        <v>192</v>
      </c>
      <c r="D87" t="s">
        <v>568</v>
      </c>
      <c r="F87">
        <v>0.109425518087</v>
      </c>
      <c r="G87">
        <v>-0.27427091725399999</v>
      </c>
      <c r="H87">
        <v>0.16478610945300001</v>
      </c>
      <c r="I87">
        <v>9.0761687834999993E-2</v>
      </c>
      <c r="J87">
        <v>0.17437362467699999</v>
      </c>
      <c r="K87">
        <v>0.24470455789699999</v>
      </c>
      <c r="L87">
        <v>0.35349831253800001</v>
      </c>
      <c r="N87">
        <v>0.35865828748299999</v>
      </c>
      <c r="O87">
        <v>0.35928454885299999</v>
      </c>
      <c r="P87">
        <v>0.42000481600799999</v>
      </c>
      <c r="Q87">
        <v>0.49369863166200001</v>
      </c>
    </row>
    <row r="88" spans="2:17">
      <c r="B88" t="s">
        <v>193</v>
      </c>
      <c r="D88" t="s">
        <v>568</v>
      </c>
      <c r="F88">
        <v>-15.80189</v>
      </c>
      <c r="G88">
        <v>0</v>
      </c>
      <c r="H88">
        <v>-13.292579999999999</v>
      </c>
      <c r="I88">
        <v>-7.1233250000000004</v>
      </c>
      <c r="J88">
        <v>-14.246650000000001</v>
      </c>
      <c r="K88">
        <v>-21.398354999999999</v>
      </c>
      <c r="L88">
        <v>-31.21848</v>
      </c>
      <c r="N88">
        <v>-33.825189146667</v>
      </c>
      <c r="O88">
        <v>-33.824783719999999</v>
      </c>
      <c r="P88">
        <v>-38.378119990000002</v>
      </c>
      <c r="Q88">
        <v>-46.183839310000003</v>
      </c>
    </row>
    <row r="89" spans="2:17">
      <c r="B89" t="s">
        <v>1370</v>
      </c>
      <c r="D89" t="s">
        <v>568</v>
      </c>
      <c r="F89">
        <v>0.13</v>
      </c>
      <c r="G89">
        <v>0</v>
      </c>
      <c r="H89">
        <v>0.105</v>
      </c>
      <c r="I89">
        <v>5.5E-2</v>
      </c>
      <c r="J89">
        <v>0.11</v>
      </c>
      <c r="K89">
        <v>0.16500000000000001</v>
      </c>
      <c r="L89">
        <v>0.24</v>
      </c>
      <c r="M89">
        <v>0</v>
      </c>
      <c r="N89">
        <v>0.26</v>
      </c>
      <c r="O89">
        <v>0.26</v>
      </c>
      <c r="P89">
        <v>0.29499999999999998</v>
      </c>
      <c r="Q89">
        <v>0.35499999999999998</v>
      </c>
    </row>
    <row r="90" spans="2:17">
      <c r="B90" t="s">
        <v>194</v>
      </c>
      <c r="D90" t="s">
        <v>568</v>
      </c>
      <c r="F90">
        <v>121.553</v>
      </c>
      <c r="G90">
        <v>124.303816333333</v>
      </c>
      <c r="H90">
        <v>126.596</v>
      </c>
      <c r="I90">
        <v>129.51499999999999</v>
      </c>
      <c r="J90">
        <v>129.51499999999999</v>
      </c>
      <c r="K90">
        <v>129.68700000000001</v>
      </c>
      <c r="L90">
        <v>130.077</v>
      </c>
      <c r="N90">
        <v>130.09688133333299</v>
      </c>
      <c r="O90">
        <v>130.09532200000001</v>
      </c>
      <c r="P90">
        <v>130.09532200000001</v>
      </c>
      <c r="Q90">
        <v>130.09532200000001</v>
      </c>
    </row>
    <row r="91" spans="2:17">
      <c r="B91" t="s">
        <v>195</v>
      </c>
      <c r="D91" t="s">
        <v>568</v>
      </c>
      <c r="F91">
        <v>121.553</v>
      </c>
      <c r="G91">
        <v>124.303816333333</v>
      </c>
      <c r="H91">
        <v>126.596</v>
      </c>
      <c r="I91">
        <v>129.51499999999999</v>
      </c>
      <c r="J91">
        <v>129.51499999999999</v>
      </c>
      <c r="K91">
        <v>129.68700000000001</v>
      </c>
      <c r="L91">
        <v>130.077</v>
      </c>
      <c r="N91">
        <v>130.09688133333299</v>
      </c>
      <c r="O91">
        <v>130.09532200000001</v>
      </c>
      <c r="P91">
        <v>130.09532200000001</v>
      </c>
      <c r="Q91">
        <v>130.09532200000001</v>
      </c>
    </row>
    <row r="92" spans="2:17">
      <c r="B92" t="s">
        <v>196</v>
      </c>
      <c r="D92" t="s">
        <v>568</v>
      </c>
      <c r="F92">
        <v>123.454185</v>
      </c>
      <c r="G92">
        <v>125.01763200000001</v>
      </c>
      <c r="H92">
        <v>129.515322</v>
      </c>
      <c r="I92">
        <v>129.515322</v>
      </c>
      <c r="J92">
        <v>129.515322</v>
      </c>
      <c r="K92">
        <v>129.99532199999999</v>
      </c>
      <c r="L92">
        <v>130.09532200000001</v>
      </c>
      <c r="N92">
        <v>130.09532200000001</v>
      </c>
      <c r="O92">
        <v>130.09532200000001</v>
      </c>
      <c r="P92">
        <v>130.09532200000001</v>
      </c>
      <c r="Q92">
        <v>130.09532200000001</v>
      </c>
    </row>
    <row r="93" spans="2:17">
      <c r="B93" t="s">
        <v>1385</v>
      </c>
      <c r="D93" t="s">
        <v>568</v>
      </c>
    </row>
    <row r="94" spans="2:17">
      <c r="B94" t="s">
        <v>1386</v>
      </c>
      <c r="D94" t="s">
        <v>568</v>
      </c>
    </row>
    <row r="95" spans="2:17">
      <c r="B95" t="s">
        <v>1387</v>
      </c>
      <c r="D95" t="s">
        <v>568</v>
      </c>
    </row>
    <row r="96" spans="2:17">
      <c r="B96" t="s">
        <v>1388</v>
      </c>
      <c r="D96" t="s">
        <v>568</v>
      </c>
      <c r="F96">
        <v>349.90499999999997</v>
      </c>
      <c r="G96">
        <v>371.27687362485102</v>
      </c>
      <c r="H96">
        <v>410.264435663732</v>
      </c>
      <c r="I96">
        <v>431.94099999999997</v>
      </c>
      <c r="J96">
        <v>394.38</v>
      </c>
      <c r="K96">
        <v>393.589</v>
      </c>
      <c r="L96">
        <v>427.94</v>
      </c>
      <c r="N96">
        <v>474.75502384900398</v>
      </c>
      <c r="O96">
        <v>538.98766110707004</v>
      </c>
      <c r="P96">
        <v>599.87218981149101</v>
      </c>
      <c r="Q96">
        <v>662.01244044601503</v>
      </c>
    </row>
    <row r="97" spans="2:17">
      <c r="B97" t="s">
        <v>30</v>
      </c>
      <c r="D97" t="s">
        <v>568</v>
      </c>
    </row>
    <row r="98" spans="2:17">
      <c r="B98" t="s">
        <v>32</v>
      </c>
      <c r="D98" t="s">
        <v>568</v>
      </c>
    </row>
    <row r="99" spans="2:17">
      <c r="B99" t="s">
        <v>197</v>
      </c>
      <c r="D99" t="s">
        <v>568</v>
      </c>
    </row>
    <row r="100" spans="2:17">
      <c r="B100" t="s">
        <v>31</v>
      </c>
      <c r="D100" t="s">
        <v>568</v>
      </c>
    </row>
    <row r="101" spans="2:17">
      <c r="B101" t="s">
        <v>34</v>
      </c>
      <c r="D101" t="s">
        <v>568</v>
      </c>
    </row>
    <row r="102" spans="2:17">
      <c r="B102" t="s">
        <v>198</v>
      </c>
      <c r="D102" t="s">
        <v>568</v>
      </c>
      <c r="F102">
        <v>37.661999999999999</v>
      </c>
      <c r="G102">
        <v>32.444078276112002</v>
      </c>
      <c r="H102">
        <v>37.392262312321002</v>
      </c>
      <c r="I102">
        <v>31.564</v>
      </c>
      <c r="J102">
        <v>48.875</v>
      </c>
      <c r="K102">
        <v>57.374000000000002</v>
      </c>
      <c r="L102">
        <v>72.466999999999999</v>
      </c>
      <c r="N102">
        <v>77.812301682224003</v>
      </c>
      <c r="O102">
        <v>77.790784223572004</v>
      </c>
      <c r="P102">
        <v>90.264099678031002</v>
      </c>
      <c r="Q102">
        <v>105.014682729725</v>
      </c>
    </row>
    <row r="103" spans="2:17">
      <c r="B103" t="s">
        <v>1393</v>
      </c>
      <c r="D103" t="s">
        <v>568</v>
      </c>
    </row>
    <row r="104" spans="2:17">
      <c r="B104" t="s">
        <v>199</v>
      </c>
      <c r="D104" t="s">
        <v>568</v>
      </c>
      <c r="F104">
        <v>0</v>
      </c>
      <c r="G104">
        <v>0</v>
      </c>
      <c r="H104">
        <v>0</v>
      </c>
      <c r="I104">
        <v>0</v>
      </c>
      <c r="J104">
        <v>0</v>
      </c>
      <c r="K104">
        <v>0</v>
      </c>
      <c r="L104">
        <v>0</v>
      </c>
      <c r="N104">
        <v>0</v>
      </c>
      <c r="O104">
        <v>0</v>
      </c>
      <c r="P104">
        <v>0</v>
      </c>
      <c r="Q104">
        <v>0</v>
      </c>
    </row>
    <row r="105" spans="2:17">
      <c r="B105" t="s">
        <v>1395</v>
      </c>
      <c r="D105" t="s">
        <v>568</v>
      </c>
      <c r="F105">
        <v>-4.0620000000000003</v>
      </c>
      <c r="G105">
        <v>-3.9849999999999999</v>
      </c>
      <c r="H105">
        <v>-5.2750000000000004</v>
      </c>
      <c r="I105">
        <v>-6.5439999999999996</v>
      </c>
      <c r="J105">
        <v>-6.7789999999999999</v>
      </c>
      <c r="K105">
        <v>-6.7050000000000001</v>
      </c>
      <c r="L105">
        <v>-6.8869999999999996</v>
      </c>
      <c r="N105">
        <v>-7.3587028696600001</v>
      </c>
      <c r="O105">
        <v>-8.3543087471599993</v>
      </c>
      <c r="P105">
        <v>-9.2980189420780004</v>
      </c>
      <c r="Q105">
        <v>-10.261192826913</v>
      </c>
    </row>
    <row r="106" spans="2:17">
      <c r="B106" t="s">
        <v>200</v>
      </c>
      <c r="D106" t="s">
        <v>568</v>
      </c>
      <c r="F106">
        <v>34.713000000000001</v>
      </c>
      <c r="G106">
        <v>30.664078276112001</v>
      </c>
      <c r="H106">
        <v>32.117262312321003</v>
      </c>
      <c r="I106">
        <v>25.02</v>
      </c>
      <c r="J106">
        <v>42.095999999999997</v>
      </c>
      <c r="K106">
        <v>50.668999999999997</v>
      </c>
      <c r="L106">
        <v>65.58</v>
      </c>
      <c r="N106">
        <v>70.453598812563996</v>
      </c>
      <c r="O106">
        <v>69.436475476411999</v>
      </c>
      <c r="P106">
        <v>80.966080735953</v>
      </c>
      <c r="Q106">
        <v>94.753489902810998</v>
      </c>
    </row>
    <row r="107" spans="2:17">
      <c r="B107" t="s">
        <v>201</v>
      </c>
      <c r="D107" t="s">
        <v>568</v>
      </c>
      <c r="F107">
        <v>33.6</v>
      </c>
      <c r="G107">
        <v>28.459078276111999</v>
      </c>
      <c r="H107">
        <v>32.117262312321003</v>
      </c>
      <c r="I107">
        <v>25.02</v>
      </c>
      <c r="J107">
        <v>42.095999999999997</v>
      </c>
      <c r="K107">
        <v>50.668999999999997</v>
      </c>
      <c r="L107">
        <v>65.58</v>
      </c>
      <c r="N107">
        <v>70.453598812563996</v>
      </c>
      <c r="O107">
        <v>69.436475476411999</v>
      </c>
      <c r="P107">
        <v>80.966080735953</v>
      </c>
      <c r="Q107">
        <v>94.753489902810998</v>
      </c>
    </row>
    <row r="108" spans="2:17">
      <c r="B108" t="s">
        <v>202</v>
      </c>
      <c r="D108" t="s">
        <v>568</v>
      </c>
      <c r="F108">
        <v>29.364999999999998</v>
      </c>
      <c r="G108">
        <v>23.707078276112</v>
      </c>
      <c r="H108">
        <v>26.793262312321001</v>
      </c>
      <c r="I108">
        <v>19.413</v>
      </c>
      <c r="J108">
        <v>37.777999999999999</v>
      </c>
      <c r="K108">
        <v>48.545999999999999</v>
      </c>
      <c r="L108">
        <v>64.667000000000002</v>
      </c>
      <c r="N108">
        <v>70.259833812563997</v>
      </c>
      <c r="O108">
        <v>69.041712071960006</v>
      </c>
      <c r="P108">
        <v>80.353914382587007</v>
      </c>
      <c r="Q108">
        <v>94.452768319095</v>
      </c>
    </row>
    <row r="109" spans="2:17">
      <c r="B109" t="s">
        <v>1400</v>
      </c>
      <c r="D109" t="s">
        <v>568</v>
      </c>
      <c r="F109">
        <v>20.347999999999999</v>
      </c>
      <c r="G109">
        <v>17.675078276112</v>
      </c>
      <c r="H109">
        <v>20.959262312320998</v>
      </c>
      <c r="I109">
        <v>14.324999999999999</v>
      </c>
      <c r="J109">
        <v>27.645</v>
      </c>
      <c r="K109">
        <v>35.191000000000003</v>
      </c>
      <c r="L109">
        <v>45.981999999999999</v>
      </c>
      <c r="N109">
        <v>48.760324665919001</v>
      </c>
      <c r="O109">
        <v>46.741239072717001</v>
      </c>
      <c r="P109">
        <v>54.640661780159</v>
      </c>
      <c r="Q109">
        <v>64.227882456985</v>
      </c>
    </row>
    <row r="110" spans="2:17">
      <c r="B110" t="s">
        <v>1402</v>
      </c>
      <c r="D110" t="s">
        <v>568</v>
      </c>
      <c r="F110">
        <v>0</v>
      </c>
      <c r="G110">
        <v>-64.271000000000001</v>
      </c>
      <c r="H110">
        <v>-9.8000000000000004E-2</v>
      </c>
      <c r="I110">
        <v>-3.7810000000000001</v>
      </c>
      <c r="J110">
        <v>-7.23</v>
      </c>
      <c r="K110">
        <v>-4.9370000000000003</v>
      </c>
      <c r="L110">
        <v>0</v>
      </c>
      <c r="N110">
        <v>-3</v>
      </c>
      <c r="O110">
        <v>0</v>
      </c>
      <c r="P110">
        <v>0</v>
      </c>
      <c r="Q110">
        <v>0</v>
      </c>
    </row>
    <row r="111" spans="2:17">
      <c r="B111" t="s">
        <v>1403</v>
      </c>
      <c r="D111" t="s">
        <v>568</v>
      </c>
      <c r="F111">
        <v>0</v>
      </c>
      <c r="G111">
        <v>-10.298</v>
      </c>
      <c r="H111">
        <v>0</v>
      </c>
      <c r="I111">
        <v>-1.2110000000000001</v>
      </c>
      <c r="J111">
        <v>2.169</v>
      </c>
      <c r="K111">
        <v>1.4810000000000001</v>
      </c>
      <c r="L111">
        <v>0</v>
      </c>
      <c r="N111">
        <v>0</v>
      </c>
      <c r="O111">
        <v>0</v>
      </c>
      <c r="P111">
        <v>0</v>
      </c>
      <c r="Q111">
        <v>0</v>
      </c>
    </row>
    <row r="112" spans="2:17">
      <c r="B112" t="s">
        <v>36</v>
      </c>
      <c r="D112" t="s">
        <v>568</v>
      </c>
    </row>
    <row r="113" spans="2:17">
      <c r="B113" t="s">
        <v>37</v>
      </c>
      <c r="D113" t="s">
        <v>568</v>
      </c>
    </row>
    <row r="114" spans="2:17">
      <c r="B114" t="s">
        <v>38</v>
      </c>
      <c r="D114" t="s">
        <v>568</v>
      </c>
    </row>
    <row r="115" spans="2:17">
      <c r="B115" t="s">
        <v>39</v>
      </c>
      <c r="D115" t="s">
        <v>568</v>
      </c>
    </row>
    <row r="116" spans="2:17">
      <c r="B116" t="s">
        <v>40</v>
      </c>
      <c r="D116" t="s">
        <v>568</v>
      </c>
    </row>
    <row r="117" spans="2:17">
      <c r="B117" t="s">
        <v>41</v>
      </c>
      <c r="D117" t="s">
        <v>568</v>
      </c>
    </row>
    <row r="118" spans="2:17">
      <c r="B118" t="s">
        <v>42</v>
      </c>
      <c r="D118" t="s">
        <v>568</v>
      </c>
    </row>
    <row r="119" spans="2:17">
      <c r="B119" t="s">
        <v>43</v>
      </c>
      <c r="D119" t="s">
        <v>568</v>
      </c>
    </row>
    <row r="120" spans="2:17">
      <c r="B120" t="s">
        <v>44</v>
      </c>
      <c r="D120" t="s">
        <v>568</v>
      </c>
    </row>
    <row r="121" spans="2:17">
      <c r="B121" t="s">
        <v>45</v>
      </c>
      <c r="D121" t="s">
        <v>568</v>
      </c>
    </row>
    <row r="122" spans="2:17">
      <c r="B122" t="s">
        <v>46</v>
      </c>
      <c r="D122" t="s">
        <v>568</v>
      </c>
    </row>
    <row r="123" spans="2:17">
      <c r="B123" t="s">
        <v>47</v>
      </c>
      <c r="D123" t="s">
        <v>568</v>
      </c>
    </row>
    <row r="124" spans="2:17">
      <c r="B124" t="s">
        <v>1405</v>
      </c>
      <c r="D124" t="s">
        <v>568</v>
      </c>
      <c r="F124">
        <v>29.364999999999998</v>
      </c>
      <c r="G124">
        <v>-40.563921723888001</v>
      </c>
      <c r="H124">
        <v>26.695262312320999</v>
      </c>
      <c r="I124">
        <v>15.632</v>
      </c>
      <c r="J124">
        <v>30.547999999999998</v>
      </c>
      <c r="K124">
        <v>43.609000000000002</v>
      </c>
      <c r="L124">
        <v>64.667000000000002</v>
      </c>
      <c r="N124">
        <v>67.259833812563997</v>
      </c>
      <c r="O124">
        <v>69.041712071960006</v>
      </c>
      <c r="P124">
        <v>80.353914382587007</v>
      </c>
      <c r="Q124">
        <v>94.452768319095</v>
      </c>
    </row>
    <row r="125" spans="2:17">
      <c r="B125" t="s">
        <v>1406</v>
      </c>
      <c r="D125" t="s">
        <v>568</v>
      </c>
      <c r="F125">
        <v>-9.0169999999999995</v>
      </c>
      <c r="G125">
        <v>-16.329999999999998</v>
      </c>
      <c r="H125">
        <v>-5.8339999999999996</v>
      </c>
      <c r="I125">
        <v>-6.2990000000000004</v>
      </c>
      <c r="J125">
        <v>-7.9640000000000004</v>
      </c>
      <c r="K125">
        <v>-11.874000000000001</v>
      </c>
      <c r="L125">
        <v>-18.684999999999999</v>
      </c>
      <c r="N125">
        <v>-21.499509146645</v>
      </c>
      <c r="O125">
        <v>-22.300472999242999</v>
      </c>
      <c r="P125">
        <v>-25.713252602428</v>
      </c>
      <c r="Q125">
        <v>-30.22488586211</v>
      </c>
    </row>
    <row r="126" spans="2:17">
      <c r="B126" t="s">
        <v>1407</v>
      </c>
      <c r="D126" t="s">
        <v>568</v>
      </c>
      <c r="F126">
        <v>13.301</v>
      </c>
      <c r="G126">
        <v>-34.092921723887997</v>
      </c>
      <c r="H126">
        <v>20.861262312320999</v>
      </c>
      <c r="I126">
        <v>11.755000000000001</v>
      </c>
      <c r="J126">
        <v>22.584</v>
      </c>
      <c r="K126">
        <v>31.734999999999999</v>
      </c>
      <c r="L126">
        <v>45.981999999999999</v>
      </c>
      <c r="N126">
        <v>46.660324665918999</v>
      </c>
      <c r="O126">
        <v>46.741239072717001</v>
      </c>
      <c r="P126">
        <v>54.640661780159</v>
      </c>
      <c r="Q126">
        <v>64.227882456985</v>
      </c>
    </row>
    <row r="127" spans="2:17">
      <c r="B127" t="s">
        <v>1368</v>
      </c>
      <c r="D127" t="s">
        <v>568</v>
      </c>
      <c r="F127">
        <v>21.460999999999999</v>
      </c>
      <c r="G127">
        <v>19.880078276111998</v>
      </c>
      <c r="H127">
        <v>20.959262312320998</v>
      </c>
      <c r="I127">
        <v>14.324999999999999</v>
      </c>
      <c r="J127">
        <v>27.645</v>
      </c>
      <c r="K127">
        <v>35.191000000000003</v>
      </c>
      <c r="L127">
        <v>45.981999999999999</v>
      </c>
      <c r="N127">
        <v>48.760324665919001</v>
      </c>
      <c r="O127">
        <v>46.741239072717001</v>
      </c>
      <c r="P127">
        <v>54.640661780159</v>
      </c>
      <c r="Q127">
        <v>64.227882456985</v>
      </c>
    </row>
    <row r="128" spans="2:17">
      <c r="B128" t="s">
        <v>48</v>
      </c>
      <c r="D128" t="s">
        <v>568</v>
      </c>
    </row>
    <row r="129" spans="2:17">
      <c r="B129" t="s">
        <v>49</v>
      </c>
      <c r="D129" t="s">
        <v>568</v>
      </c>
    </row>
    <row r="130" spans="2:17">
      <c r="B130" t="s">
        <v>50</v>
      </c>
      <c r="D130" t="s">
        <v>568</v>
      </c>
    </row>
    <row r="131" spans="2:17">
      <c r="B131" t="s">
        <v>51</v>
      </c>
      <c r="D131" t="s">
        <v>568</v>
      </c>
      <c r="F131">
        <v>-8.16</v>
      </c>
      <c r="G131">
        <v>-53.972999999999999</v>
      </c>
      <c r="H131">
        <v>-9.8000000000000004E-2</v>
      </c>
      <c r="I131">
        <v>-2.57</v>
      </c>
      <c r="J131">
        <v>-5.0609999999999999</v>
      </c>
      <c r="K131">
        <v>-3.456</v>
      </c>
      <c r="L131">
        <v>0</v>
      </c>
      <c r="N131">
        <v>-2.1</v>
      </c>
      <c r="O131">
        <v>0</v>
      </c>
      <c r="P131">
        <v>0</v>
      </c>
      <c r="Q131">
        <v>0</v>
      </c>
    </row>
    <row r="132" spans="2:17">
      <c r="B132" t="s">
        <v>203</v>
      </c>
      <c r="D132" t="s">
        <v>568</v>
      </c>
    </row>
    <row r="133" spans="2:17">
      <c r="B133" t="s">
        <v>1424</v>
      </c>
      <c r="D133" t="s">
        <v>568</v>
      </c>
    </row>
    <row r="134" spans="2:17">
      <c r="B134" t="s">
        <v>1369</v>
      </c>
      <c r="D134" t="s">
        <v>568</v>
      </c>
      <c r="F134">
        <v>0.176556728341</v>
      </c>
      <c r="G134">
        <v>0.15993135900800001</v>
      </c>
      <c r="H134">
        <v>0.16556022553899999</v>
      </c>
      <c r="I134">
        <v>0.11060494923399999</v>
      </c>
      <c r="J134">
        <v>0.21345017951600001</v>
      </c>
      <c r="K134">
        <v>0.27135333533799999</v>
      </c>
      <c r="L134">
        <v>0.35349831253800001</v>
      </c>
      <c r="N134">
        <v>0.37480010409300002</v>
      </c>
      <c r="O134">
        <v>0.35928454885299999</v>
      </c>
      <c r="P134">
        <v>0.42000481600799999</v>
      </c>
      <c r="Q134">
        <v>0.49369863166200001</v>
      </c>
    </row>
    <row r="135" spans="2:17">
      <c r="B135" t="s">
        <v>23</v>
      </c>
      <c r="D135" t="s">
        <v>568</v>
      </c>
      <c r="F135">
        <v>0.109425518087</v>
      </c>
      <c r="G135">
        <v>-0.27427091725399999</v>
      </c>
      <c r="H135">
        <v>0.16478610945300001</v>
      </c>
      <c r="I135">
        <v>9.0761687834999993E-2</v>
      </c>
      <c r="J135">
        <v>0.17437362467699999</v>
      </c>
      <c r="K135">
        <v>0.24470455789699999</v>
      </c>
      <c r="L135">
        <v>0.35349831253800001</v>
      </c>
      <c r="N135">
        <v>0.35865828748299999</v>
      </c>
      <c r="O135">
        <v>0.35928454885299999</v>
      </c>
      <c r="P135">
        <v>0.42000481600799999</v>
      </c>
      <c r="Q135">
        <v>0.49369863166200001</v>
      </c>
    </row>
    <row r="136" spans="2:17">
      <c r="B136" t="s">
        <v>1371</v>
      </c>
      <c r="D136" t="s">
        <v>568</v>
      </c>
      <c r="F136">
        <v>1</v>
      </c>
      <c r="G136">
        <v>1</v>
      </c>
      <c r="H136">
        <v>0.80952380952400005</v>
      </c>
      <c r="I136">
        <v>0</v>
      </c>
      <c r="J136">
        <v>0</v>
      </c>
      <c r="K136">
        <v>1</v>
      </c>
      <c r="L136">
        <v>1</v>
      </c>
      <c r="N136">
        <v>1</v>
      </c>
      <c r="O136">
        <v>0.5</v>
      </c>
      <c r="P136">
        <v>0.5</v>
      </c>
      <c r="Q136">
        <v>0.5</v>
      </c>
    </row>
    <row r="137" spans="2:17">
      <c r="B137" t="s">
        <v>1420</v>
      </c>
      <c r="D137" t="s">
        <v>568</v>
      </c>
      <c r="F137">
        <v>0.3</v>
      </c>
      <c r="G137">
        <v>0.3</v>
      </c>
      <c r="H137">
        <v>0.3</v>
      </c>
      <c r="I137">
        <v>0.3</v>
      </c>
      <c r="J137">
        <v>0.3</v>
      </c>
      <c r="K137">
        <v>0.3</v>
      </c>
      <c r="L137">
        <v>0.3</v>
      </c>
      <c r="N137">
        <v>0.3</v>
      </c>
      <c r="O137">
        <v>0.3</v>
      </c>
      <c r="P137">
        <v>0.3</v>
      </c>
      <c r="Q137">
        <v>0.3</v>
      </c>
    </row>
    <row r="138" spans="2:17">
      <c r="B138" t="s">
        <v>204</v>
      </c>
      <c r="D138" t="s">
        <v>568</v>
      </c>
    </row>
    <row r="139" spans="2:17">
      <c r="B139" t="s">
        <v>1276</v>
      </c>
      <c r="D139" t="s">
        <v>568</v>
      </c>
      <c r="E139">
        <v>0.14000000000000001</v>
      </c>
    </row>
    <row r="140" spans="2:17">
      <c r="B140" t="s">
        <v>1278</v>
      </c>
      <c r="D140" t="s">
        <v>568</v>
      </c>
      <c r="E140" s="179">
        <v>41718</v>
      </c>
    </row>
    <row r="141" spans="2:17">
      <c r="B141" t="s">
        <v>1280</v>
      </c>
      <c r="D141" t="s">
        <v>568</v>
      </c>
      <c r="E141">
        <v>1</v>
      </c>
    </row>
    <row r="142" spans="2:17">
      <c r="B142" t="s">
        <v>1282</v>
      </c>
      <c r="D142" t="s">
        <v>568</v>
      </c>
      <c r="E142">
        <v>0.3</v>
      </c>
    </row>
    <row r="143" spans="2:17">
      <c r="B143" t="s">
        <v>1284</v>
      </c>
      <c r="D143" t="s">
        <v>568</v>
      </c>
      <c r="E143" s="179">
        <v>0.12</v>
      </c>
    </row>
    <row r="144" spans="2:17">
      <c r="B144" t="s">
        <v>1286</v>
      </c>
      <c r="D144" t="s">
        <v>568</v>
      </c>
      <c r="E144" s="179">
        <v>41530</v>
      </c>
    </row>
    <row r="145" spans="2:17">
      <c r="B145" t="s">
        <v>1288</v>
      </c>
      <c r="D145" t="s">
        <v>568</v>
      </c>
      <c r="E145">
        <v>1</v>
      </c>
    </row>
    <row r="146" spans="2:17">
      <c r="B146" t="s">
        <v>1290</v>
      </c>
      <c r="D146" t="s">
        <v>568</v>
      </c>
      <c r="E146">
        <v>0.3</v>
      </c>
    </row>
    <row r="147" spans="2:17">
      <c r="B147" t="s">
        <v>66</v>
      </c>
      <c r="D147" t="s">
        <v>568</v>
      </c>
      <c r="E147" s="179"/>
    </row>
    <row r="148" spans="2:17">
      <c r="B148" t="s">
        <v>67</v>
      </c>
      <c r="D148" t="s">
        <v>568</v>
      </c>
    </row>
    <row r="149" spans="2:17">
      <c r="B149" t="s">
        <v>205</v>
      </c>
      <c r="D149" t="s">
        <v>568</v>
      </c>
    </row>
    <row r="150" spans="2:17">
      <c r="B150" t="s">
        <v>69</v>
      </c>
      <c r="D150" t="s">
        <v>568</v>
      </c>
    </row>
    <row r="151" spans="2:17">
      <c r="B151" t="s">
        <v>206</v>
      </c>
      <c r="D151" t="s">
        <v>568</v>
      </c>
    </row>
    <row r="152" spans="2:17">
      <c r="B152" t="s">
        <v>207</v>
      </c>
      <c r="D152" t="s">
        <v>568</v>
      </c>
      <c r="F152">
        <v>123.454185</v>
      </c>
      <c r="G152">
        <v>125.01763200000001</v>
      </c>
      <c r="H152">
        <v>129.515322</v>
      </c>
      <c r="I152">
        <v>129.515322</v>
      </c>
      <c r="J152">
        <v>129.515322</v>
      </c>
      <c r="K152">
        <v>129.99532199999999</v>
      </c>
      <c r="L152">
        <v>130.09532200000001</v>
      </c>
      <c r="N152">
        <v>130.09532200000001</v>
      </c>
      <c r="O152">
        <v>130.09532200000001</v>
      </c>
      <c r="P152">
        <v>130.09532200000001</v>
      </c>
      <c r="Q152">
        <v>130.09532200000001</v>
      </c>
    </row>
    <row r="153" spans="2:17">
      <c r="B153" t="s">
        <v>1375</v>
      </c>
      <c r="D153" t="s">
        <v>568</v>
      </c>
      <c r="F153">
        <v>123.454185</v>
      </c>
      <c r="G153">
        <v>125.01763200000001</v>
      </c>
      <c r="H153">
        <v>129.515322</v>
      </c>
      <c r="I153">
        <v>129.515322</v>
      </c>
      <c r="J153">
        <v>129.515322</v>
      </c>
      <c r="K153">
        <v>129.99532199999999</v>
      </c>
      <c r="L153">
        <v>130.09532200000001</v>
      </c>
      <c r="N153">
        <v>130.09532200000001</v>
      </c>
      <c r="O153">
        <v>130.09532200000001</v>
      </c>
      <c r="P153">
        <v>130.09532200000001</v>
      </c>
      <c r="Q153">
        <v>130.09532200000001</v>
      </c>
    </row>
    <row r="154" spans="2:17">
      <c r="B154" t="s">
        <v>1062</v>
      </c>
      <c r="D154" t="s">
        <v>568</v>
      </c>
      <c r="F154">
        <v>121.553</v>
      </c>
      <c r="G154">
        <v>124.303816333333</v>
      </c>
      <c r="H154">
        <v>126.596</v>
      </c>
      <c r="I154">
        <v>129.51499999999999</v>
      </c>
      <c r="J154">
        <v>129.51499999999999</v>
      </c>
      <c r="K154">
        <v>129.68700000000001</v>
      </c>
      <c r="L154">
        <v>130.077</v>
      </c>
      <c r="N154">
        <v>130.09688133333299</v>
      </c>
      <c r="O154">
        <v>130.09532200000001</v>
      </c>
      <c r="P154">
        <v>130.09532200000001</v>
      </c>
      <c r="Q154">
        <v>130.09532200000001</v>
      </c>
    </row>
    <row r="155" spans="2:17">
      <c r="B155" t="s">
        <v>208</v>
      </c>
      <c r="D155" t="s">
        <v>568</v>
      </c>
      <c r="F155">
        <v>-8.548</v>
      </c>
      <c r="G155">
        <v>-7.5229999999999997</v>
      </c>
      <c r="H155">
        <v>-9.5139999999999993</v>
      </c>
      <c r="I155">
        <v>-10.147</v>
      </c>
      <c r="J155">
        <v>-9.36</v>
      </c>
      <c r="K155">
        <v>-7.9370000000000003</v>
      </c>
      <c r="L155">
        <v>-8.9830000000000005</v>
      </c>
      <c r="M155">
        <v>0</v>
      </c>
      <c r="N155">
        <v>-9.9657063589190003</v>
      </c>
      <c r="O155">
        <v>-11.314030377447001</v>
      </c>
      <c r="P155">
        <v>-12.592073377287999</v>
      </c>
      <c r="Q155">
        <v>-13.896475563225</v>
      </c>
    </row>
    <row r="156" spans="2:17">
      <c r="B156" t="s">
        <v>209</v>
      </c>
      <c r="D156" t="s">
        <v>568</v>
      </c>
      <c r="F156">
        <v>0.33333299999999999</v>
      </c>
      <c r="G156">
        <v>0.33333299999999999</v>
      </c>
      <c r="H156">
        <v>0.33333299999999999</v>
      </c>
      <c r="I156">
        <v>0.33333299999999999</v>
      </c>
      <c r="J156">
        <v>0.33333299999999999</v>
      </c>
      <c r="K156">
        <v>0.33333299999999999</v>
      </c>
      <c r="L156">
        <v>0.33333299999999999</v>
      </c>
      <c r="M156">
        <v>0.33333299999999999</v>
      </c>
      <c r="N156">
        <v>0.33333299999999999</v>
      </c>
      <c r="O156">
        <v>0.33333299999999999</v>
      </c>
      <c r="P156">
        <v>0.33333299999999999</v>
      </c>
      <c r="Q156">
        <v>0.33333299999999999</v>
      </c>
    </row>
    <row r="157" spans="2:17">
      <c r="B157" t="s">
        <v>210</v>
      </c>
      <c r="D157" t="s">
        <v>568</v>
      </c>
      <c r="F157">
        <v>0.66666700000000001</v>
      </c>
      <c r="G157">
        <v>0.66666700000000001</v>
      </c>
      <c r="H157">
        <v>0.66666700000000001</v>
      </c>
      <c r="I157">
        <v>0.66666700000000001</v>
      </c>
      <c r="J157">
        <v>0.66666700000000001</v>
      </c>
      <c r="K157">
        <v>0.66666700000000001</v>
      </c>
      <c r="L157">
        <v>0.66666700000000001</v>
      </c>
      <c r="M157">
        <v>0.66666700000000001</v>
      </c>
      <c r="N157">
        <v>0.66666700000000001</v>
      </c>
      <c r="O157">
        <v>0.66666700000000001</v>
      </c>
      <c r="P157">
        <v>0.66666700000000001</v>
      </c>
      <c r="Q157">
        <v>0.66666700000000001</v>
      </c>
    </row>
    <row r="158" spans="2:17">
      <c r="B158" t="s">
        <v>211</v>
      </c>
      <c r="D158" t="s">
        <v>568</v>
      </c>
      <c r="F158">
        <v>-4.2350000000000003</v>
      </c>
      <c r="G158">
        <v>-5.0890000000000004</v>
      </c>
      <c r="H158">
        <v>-5.9720000000000004</v>
      </c>
      <c r="I158">
        <v>-5.9359999999999999</v>
      </c>
      <c r="J158">
        <v>-4.4720000000000004</v>
      </c>
      <c r="K158">
        <v>-2.7050000000000001</v>
      </c>
      <c r="L158">
        <v>-1.998</v>
      </c>
      <c r="M158">
        <v>0</v>
      </c>
      <c r="N158">
        <v>-1.2787649999999999</v>
      </c>
      <c r="O158">
        <v>-1.2787649999999999</v>
      </c>
      <c r="P158">
        <v>-1.2787649999999999</v>
      </c>
      <c r="Q158">
        <v>-1.2787649999999999</v>
      </c>
    </row>
    <row r="159" spans="2:17">
      <c r="B159" t="s">
        <v>212</v>
      </c>
      <c r="D159" t="s">
        <v>568</v>
      </c>
      <c r="F159">
        <v>0</v>
      </c>
      <c r="G159">
        <v>0</v>
      </c>
      <c r="H159">
        <v>0</v>
      </c>
      <c r="I159">
        <v>0</v>
      </c>
      <c r="J159">
        <v>0</v>
      </c>
      <c r="K159">
        <v>0</v>
      </c>
      <c r="L159">
        <v>0</v>
      </c>
      <c r="M159">
        <v>0</v>
      </c>
      <c r="N159">
        <v>0</v>
      </c>
      <c r="O159">
        <v>0</v>
      </c>
      <c r="P159">
        <v>0</v>
      </c>
      <c r="Q159">
        <v>0</v>
      </c>
    </row>
    <row r="160" spans="2:17">
      <c r="B160" t="s">
        <v>213</v>
      </c>
      <c r="D160" t="s">
        <v>568</v>
      </c>
      <c r="F160">
        <v>0.3</v>
      </c>
      <c r="G160">
        <v>0.3</v>
      </c>
      <c r="H160">
        <v>0.3</v>
      </c>
      <c r="I160">
        <v>0.3</v>
      </c>
      <c r="J160">
        <v>0.3</v>
      </c>
      <c r="K160">
        <v>0.3</v>
      </c>
      <c r="L160">
        <v>0.3</v>
      </c>
      <c r="M160">
        <v>0</v>
      </c>
      <c r="N160">
        <v>0.3</v>
      </c>
      <c r="O160">
        <v>0.3</v>
      </c>
      <c r="P160">
        <v>0.3</v>
      </c>
      <c r="Q160">
        <v>0.3</v>
      </c>
    </row>
    <row r="161" spans="2:17">
      <c r="B161" t="s">
        <v>214</v>
      </c>
      <c r="D161" t="s">
        <v>568</v>
      </c>
    </row>
    <row r="162" spans="2:17">
      <c r="B162" t="s">
        <v>215</v>
      </c>
      <c r="D162" t="s">
        <v>568</v>
      </c>
      <c r="F162">
        <v>13.897</v>
      </c>
      <c r="G162">
        <v>22.657</v>
      </c>
      <c r="H162">
        <v>10.262</v>
      </c>
      <c r="I162">
        <v>6.29</v>
      </c>
      <c r="J162">
        <v>13.565</v>
      </c>
      <c r="K162">
        <v>27.768000000000001</v>
      </c>
      <c r="L162">
        <v>53.094999999999999</v>
      </c>
      <c r="M162">
        <v>0</v>
      </c>
      <c r="N162">
        <v>65.335609925788006</v>
      </c>
      <c r="O162">
        <v>72.551227443892998</v>
      </c>
      <c r="P162">
        <v>83.580973604727006</v>
      </c>
      <c r="Q162">
        <v>96.089217095188005</v>
      </c>
    </row>
    <row r="163" spans="2:17">
      <c r="B163" t="s">
        <v>216</v>
      </c>
      <c r="D163" t="s">
        <v>568</v>
      </c>
      <c r="F163">
        <v>68.451999999999998</v>
      </c>
      <c r="G163">
        <v>71.688000000000002</v>
      </c>
      <c r="H163">
        <v>62.66</v>
      </c>
      <c r="I163">
        <v>68.608000000000004</v>
      </c>
      <c r="J163">
        <v>68.012</v>
      </c>
      <c r="K163">
        <v>67.272000000000006</v>
      </c>
      <c r="L163">
        <v>73.578999999999994</v>
      </c>
      <c r="N163">
        <v>81.628265410539001</v>
      </c>
      <c r="O163">
        <v>92.672274423043007</v>
      </c>
      <c r="P163">
        <v>103.14061750278</v>
      </c>
      <c r="Q163">
        <v>113.824866466274</v>
      </c>
    </row>
    <row r="164" spans="2:17">
      <c r="B164" t="s">
        <v>217</v>
      </c>
      <c r="D164" t="s">
        <v>568</v>
      </c>
      <c r="F164">
        <v>86.468000000000004</v>
      </c>
      <c r="G164">
        <v>80.494</v>
      </c>
      <c r="H164">
        <v>80.784000000000006</v>
      </c>
      <c r="I164">
        <v>68.242999999999995</v>
      </c>
      <c r="J164">
        <v>63.844999999999999</v>
      </c>
      <c r="K164">
        <v>57.87</v>
      </c>
      <c r="L164">
        <v>61.595999999999997</v>
      </c>
      <c r="M164">
        <v>0</v>
      </c>
      <c r="N164">
        <v>68.334370353327998</v>
      </c>
      <c r="O164">
        <v>77.579763456444994</v>
      </c>
      <c r="P164">
        <v>86.343242986467004</v>
      </c>
      <c r="Q164">
        <v>95.287466190851006</v>
      </c>
    </row>
    <row r="165" spans="2:17">
      <c r="B165" t="s">
        <v>218</v>
      </c>
      <c r="D165" t="s">
        <v>568</v>
      </c>
      <c r="F165">
        <v>9.3559999999999999</v>
      </c>
      <c r="G165">
        <v>7.8129999999999997</v>
      </c>
      <c r="H165">
        <v>5.6849999999999996</v>
      </c>
      <c r="I165">
        <v>1.8680000000000001</v>
      </c>
      <c r="J165">
        <v>6.2169999999999996</v>
      </c>
      <c r="K165">
        <v>3.2029999999999998</v>
      </c>
      <c r="L165">
        <v>4.2530000000000001</v>
      </c>
      <c r="M165">
        <v>0</v>
      </c>
      <c r="N165">
        <v>4.2530000000000001</v>
      </c>
      <c r="O165">
        <v>4.2530000000000001</v>
      </c>
      <c r="P165">
        <v>4.2530000000000001</v>
      </c>
      <c r="Q165">
        <v>4.2530000000000001</v>
      </c>
    </row>
    <row r="166" spans="2:17">
      <c r="B166" t="s">
        <v>219</v>
      </c>
      <c r="D166" t="s">
        <v>568</v>
      </c>
      <c r="F166">
        <v>178.173</v>
      </c>
      <c r="G166">
        <v>182.65199999999999</v>
      </c>
      <c r="H166">
        <v>159.39099999999999</v>
      </c>
      <c r="I166">
        <v>145.00899999999999</v>
      </c>
      <c r="J166">
        <v>151.63900000000001</v>
      </c>
      <c r="K166">
        <v>156.113</v>
      </c>
      <c r="L166">
        <v>192.523</v>
      </c>
      <c r="M166">
        <v>0</v>
      </c>
      <c r="N166">
        <v>219.55124568965499</v>
      </c>
      <c r="O166">
        <v>247.05626532338101</v>
      </c>
      <c r="P166">
        <v>277.317834093974</v>
      </c>
      <c r="Q166">
        <v>309.45454975231303</v>
      </c>
    </row>
    <row r="167" spans="2:17">
      <c r="B167" t="s">
        <v>220</v>
      </c>
      <c r="D167" t="s">
        <v>568</v>
      </c>
      <c r="F167">
        <v>30.472000000000001</v>
      </c>
      <c r="G167">
        <v>28.603000000000002</v>
      </c>
      <c r="H167">
        <v>30.210999999999999</v>
      </c>
      <c r="I167">
        <v>30.649000000000001</v>
      </c>
      <c r="J167">
        <v>32.218000000000004</v>
      </c>
      <c r="K167">
        <v>30.213000000000001</v>
      </c>
      <c r="L167">
        <v>30.948</v>
      </c>
      <c r="N167">
        <v>39.018835405433002</v>
      </c>
      <c r="O167">
        <v>48.181625644253003</v>
      </c>
      <c r="P167">
        <v>58.379452871048997</v>
      </c>
      <c r="Q167">
        <v>69.633664358630995</v>
      </c>
    </row>
    <row r="168" spans="2:17">
      <c r="B168" t="s">
        <v>221</v>
      </c>
      <c r="D168" t="s">
        <v>568</v>
      </c>
      <c r="F168">
        <v>-19.937999999999999</v>
      </c>
      <c r="G168">
        <v>-19.096</v>
      </c>
      <c r="H168">
        <v>-21.108000000000001</v>
      </c>
      <c r="I168">
        <v>-22.427</v>
      </c>
      <c r="J168">
        <v>-24.506</v>
      </c>
      <c r="K168">
        <v>-25.117000000000001</v>
      </c>
      <c r="L168">
        <v>-27.073</v>
      </c>
      <c r="N168">
        <v>-34.43170286966</v>
      </c>
      <c r="O168">
        <v>-42.786011616819003</v>
      </c>
      <c r="P168">
        <v>-52.084030558896998</v>
      </c>
      <c r="Q168">
        <v>-62.345223385810002</v>
      </c>
    </row>
    <row r="169" spans="2:17">
      <c r="B169" t="s">
        <v>222</v>
      </c>
      <c r="D169" t="s">
        <v>568</v>
      </c>
      <c r="F169">
        <v>10.534000000000001</v>
      </c>
      <c r="G169">
        <v>9.5069999999999997</v>
      </c>
      <c r="H169">
        <v>9.1029999999999998</v>
      </c>
      <c r="I169">
        <v>8.2219999999999995</v>
      </c>
      <c r="J169">
        <v>7.7119999999999997</v>
      </c>
      <c r="K169">
        <v>5.0960000000000001</v>
      </c>
      <c r="L169">
        <v>3.875</v>
      </c>
      <c r="M169">
        <v>0</v>
      </c>
      <c r="N169">
        <v>4.5871325357739998</v>
      </c>
      <c r="O169">
        <v>5.3956140274340001</v>
      </c>
      <c r="P169">
        <v>6.2954223121509996</v>
      </c>
      <c r="Q169">
        <v>7.2884409728200001</v>
      </c>
    </row>
    <row r="170" spans="2:17">
      <c r="B170" t="s">
        <v>223</v>
      </c>
      <c r="D170" t="s">
        <v>568</v>
      </c>
      <c r="F170">
        <v>85.114000000000004</v>
      </c>
      <c r="G170">
        <v>66.501999999999995</v>
      </c>
      <c r="H170">
        <v>71.819999999999993</v>
      </c>
      <c r="I170">
        <v>77.412999999999997</v>
      </c>
      <c r="J170">
        <v>81.748000000000005</v>
      </c>
      <c r="K170">
        <v>87.26</v>
      </c>
      <c r="L170">
        <v>91.899000000000001</v>
      </c>
      <c r="M170">
        <v>0</v>
      </c>
      <c r="N170">
        <v>91.899000000000001</v>
      </c>
      <c r="O170">
        <v>91.899000000000001</v>
      </c>
      <c r="P170">
        <v>91.899000000000001</v>
      </c>
      <c r="Q170">
        <v>91.899000000000001</v>
      </c>
    </row>
    <row r="171" spans="2:17">
      <c r="B171" t="s">
        <v>224</v>
      </c>
      <c r="D171" t="s">
        <v>568</v>
      </c>
      <c r="F171">
        <v>-2.254</v>
      </c>
      <c r="G171">
        <v>-3.492</v>
      </c>
      <c r="H171">
        <v>-5.9779999999999998</v>
      </c>
      <c r="I171">
        <v>-9.7029999999999994</v>
      </c>
      <c r="J171">
        <v>-13.218999999999999</v>
      </c>
      <c r="K171">
        <v>-17.285</v>
      </c>
      <c r="L171">
        <v>-22.042999999999999</v>
      </c>
      <c r="M171">
        <v>0</v>
      </c>
      <c r="N171">
        <v>-22.042999999999999</v>
      </c>
      <c r="O171">
        <v>-22.042999999999999</v>
      </c>
      <c r="P171">
        <v>-22.042999999999999</v>
      </c>
      <c r="Q171">
        <v>-22.042999999999999</v>
      </c>
    </row>
    <row r="172" spans="2:17">
      <c r="B172" t="s">
        <v>225</v>
      </c>
      <c r="D172" t="s">
        <v>568</v>
      </c>
      <c r="F172">
        <v>82.86</v>
      </c>
      <c r="G172">
        <v>63.01</v>
      </c>
      <c r="H172">
        <v>65.841999999999999</v>
      </c>
      <c r="I172">
        <v>67.709999999999994</v>
      </c>
      <c r="J172">
        <v>68.528999999999996</v>
      </c>
      <c r="K172">
        <v>69.974999999999994</v>
      </c>
      <c r="L172">
        <v>69.855999999999995</v>
      </c>
      <c r="M172">
        <v>0</v>
      </c>
      <c r="N172">
        <v>69.855999999999995</v>
      </c>
      <c r="O172">
        <v>69.855999999999995</v>
      </c>
      <c r="P172">
        <v>69.855999999999995</v>
      </c>
      <c r="Q172">
        <v>69.855999999999995</v>
      </c>
    </row>
    <row r="173" spans="2:17">
      <c r="B173" t="s">
        <v>226</v>
      </c>
      <c r="D173" t="s">
        <v>568</v>
      </c>
      <c r="F173">
        <v>0</v>
      </c>
      <c r="G173">
        <v>0</v>
      </c>
      <c r="H173">
        <v>0</v>
      </c>
      <c r="I173">
        <v>0</v>
      </c>
      <c r="J173">
        <v>0</v>
      </c>
      <c r="K173">
        <v>0</v>
      </c>
      <c r="L173">
        <v>0</v>
      </c>
      <c r="M173">
        <v>0</v>
      </c>
      <c r="N173">
        <v>0</v>
      </c>
      <c r="O173">
        <v>0</v>
      </c>
      <c r="P173">
        <v>0</v>
      </c>
      <c r="Q173">
        <v>0</v>
      </c>
    </row>
    <row r="174" spans="2:17">
      <c r="B174" t="s">
        <v>227</v>
      </c>
      <c r="D174" t="s">
        <v>568</v>
      </c>
      <c r="F174">
        <v>8.76</v>
      </c>
      <c r="G174">
        <v>9.5000000000000001E-2</v>
      </c>
      <c r="H174">
        <v>0</v>
      </c>
      <c r="I174">
        <v>0</v>
      </c>
      <c r="J174">
        <v>0</v>
      </c>
      <c r="K174">
        <v>0</v>
      </c>
      <c r="L174">
        <v>0</v>
      </c>
      <c r="M174">
        <v>0</v>
      </c>
      <c r="N174">
        <v>0</v>
      </c>
      <c r="O174">
        <v>0</v>
      </c>
      <c r="P174">
        <v>0</v>
      </c>
      <c r="Q174">
        <v>0</v>
      </c>
    </row>
    <row r="175" spans="2:17">
      <c r="B175" t="s">
        <v>228</v>
      </c>
      <c r="D175" t="s">
        <v>568</v>
      </c>
      <c r="F175">
        <v>8.5790000000000006</v>
      </c>
      <c r="G175">
        <v>20.530999999999999</v>
      </c>
      <c r="H175">
        <v>17.155999999999999</v>
      </c>
      <c r="I175">
        <v>15.837</v>
      </c>
      <c r="J175">
        <v>10.922000000000001</v>
      </c>
      <c r="K175">
        <v>11.965999999999999</v>
      </c>
      <c r="L175">
        <v>12.462</v>
      </c>
      <c r="M175">
        <v>0</v>
      </c>
      <c r="N175">
        <v>12.462</v>
      </c>
      <c r="O175">
        <v>12.462</v>
      </c>
      <c r="P175">
        <v>12.462</v>
      </c>
      <c r="Q175">
        <v>12.462</v>
      </c>
    </row>
    <row r="176" spans="2:17">
      <c r="B176" t="s">
        <v>229</v>
      </c>
      <c r="D176" t="s">
        <v>568</v>
      </c>
      <c r="F176">
        <v>288.90600000000001</v>
      </c>
      <c r="G176">
        <v>275.79500000000002</v>
      </c>
      <c r="H176">
        <v>251.49199999999999</v>
      </c>
      <c r="I176">
        <v>236.77799999999999</v>
      </c>
      <c r="J176">
        <v>238.80199999999999</v>
      </c>
      <c r="K176">
        <v>243.15</v>
      </c>
      <c r="L176">
        <v>278.71600000000001</v>
      </c>
      <c r="N176">
        <v>306.45637822542801</v>
      </c>
      <c r="O176">
        <v>334.76987935081502</v>
      </c>
      <c r="P176">
        <v>365.93125640612499</v>
      </c>
      <c r="Q176">
        <v>399.06099072513302</v>
      </c>
    </row>
    <row r="177" spans="2:17">
      <c r="B177" t="s">
        <v>230</v>
      </c>
      <c r="D177" t="s">
        <v>568</v>
      </c>
      <c r="F177">
        <v>41.84</v>
      </c>
      <c r="G177">
        <v>48.555</v>
      </c>
      <c r="H177">
        <v>52.066000000000003</v>
      </c>
      <c r="I177">
        <v>42.247</v>
      </c>
      <c r="J177">
        <v>64.287999999999997</v>
      </c>
      <c r="K177">
        <v>59.084000000000003</v>
      </c>
      <c r="L177">
        <v>63.679000000000002</v>
      </c>
      <c r="M177">
        <v>0</v>
      </c>
      <c r="N177">
        <v>70.645242706174997</v>
      </c>
      <c r="O177">
        <v>80.203288478844996</v>
      </c>
      <c r="P177">
        <v>89.263123743996999</v>
      </c>
      <c r="Q177">
        <v>98.509814916020005</v>
      </c>
    </row>
    <row r="178" spans="2:17">
      <c r="B178" t="s">
        <v>231</v>
      </c>
      <c r="D178" t="s">
        <v>568</v>
      </c>
      <c r="F178">
        <v>11.061999999999999</v>
      </c>
      <c r="G178">
        <v>59.511000000000003</v>
      </c>
      <c r="H178">
        <v>23.268000000000001</v>
      </c>
      <c r="I178">
        <v>9.9440000000000008</v>
      </c>
      <c r="J178">
        <v>0.1</v>
      </c>
      <c r="K178">
        <v>0.24199999999999999</v>
      </c>
      <c r="L178">
        <v>5.7000000000000002E-2</v>
      </c>
      <c r="M178">
        <v>0</v>
      </c>
      <c r="N178">
        <v>5.7000000000000002E-2</v>
      </c>
      <c r="O178">
        <v>5.7000000000000002E-2</v>
      </c>
      <c r="P178">
        <v>5.7000000000000002E-2</v>
      </c>
      <c r="Q178">
        <v>5.7000000000000002E-2</v>
      </c>
    </row>
    <row r="179" spans="2:17">
      <c r="B179" t="s">
        <v>232</v>
      </c>
      <c r="D179" t="s">
        <v>568</v>
      </c>
      <c r="F179">
        <v>6.62</v>
      </c>
      <c r="G179">
        <v>9.2289999999999992</v>
      </c>
      <c r="H179">
        <v>7.391</v>
      </c>
      <c r="I179">
        <v>15.996</v>
      </c>
      <c r="J179">
        <v>9.8979999999999997</v>
      </c>
      <c r="K179">
        <v>15.552</v>
      </c>
      <c r="L179">
        <v>16.716999999999999</v>
      </c>
      <c r="M179">
        <v>0</v>
      </c>
      <c r="N179">
        <v>18.817</v>
      </c>
      <c r="O179">
        <v>18.817</v>
      </c>
      <c r="P179">
        <v>18.817</v>
      </c>
      <c r="Q179">
        <v>18.817</v>
      </c>
    </row>
    <row r="180" spans="2:17">
      <c r="B180" t="s">
        <v>233</v>
      </c>
      <c r="D180" t="s">
        <v>568</v>
      </c>
      <c r="F180">
        <v>59.521999999999998</v>
      </c>
      <c r="G180">
        <v>117.295</v>
      </c>
      <c r="H180">
        <v>82.724999999999994</v>
      </c>
      <c r="I180">
        <v>68.186999999999998</v>
      </c>
      <c r="J180">
        <v>74.286000000000001</v>
      </c>
      <c r="K180">
        <v>74.878</v>
      </c>
      <c r="L180">
        <v>80.453000000000003</v>
      </c>
      <c r="N180">
        <v>89.519242706176001</v>
      </c>
      <c r="O180">
        <v>99.077288478845006</v>
      </c>
      <c r="P180">
        <v>108.13712374399699</v>
      </c>
      <c r="Q180">
        <v>117.38381491602</v>
      </c>
    </row>
    <row r="181" spans="2:17">
      <c r="B181" t="s">
        <v>234</v>
      </c>
      <c r="D181" t="s">
        <v>568</v>
      </c>
      <c r="F181">
        <v>66.652000000000001</v>
      </c>
      <c r="G181">
        <v>35</v>
      </c>
      <c r="H181">
        <v>30.334</v>
      </c>
      <c r="I181">
        <v>29.353999999999999</v>
      </c>
      <c r="J181">
        <v>4.2960000000000003</v>
      </c>
      <c r="K181">
        <v>0.19400000000000001</v>
      </c>
      <c r="L181">
        <v>6.0190000000000001</v>
      </c>
      <c r="M181">
        <v>0</v>
      </c>
      <c r="N181">
        <v>11.858000000000001</v>
      </c>
      <c r="O181">
        <v>17.696999999999999</v>
      </c>
      <c r="P181">
        <v>23.536000000000001</v>
      </c>
      <c r="Q181">
        <v>29.375</v>
      </c>
    </row>
    <row r="182" spans="2:17">
      <c r="B182" t="s">
        <v>235</v>
      </c>
      <c r="D182" t="s">
        <v>568</v>
      </c>
      <c r="F182">
        <v>4.9870000000000001</v>
      </c>
      <c r="G182">
        <v>6.3849999999999998</v>
      </c>
      <c r="H182">
        <v>6.7469999999999999</v>
      </c>
      <c r="I182">
        <v>7.9240000000000004</v>
      </c>
      <c r="J182">
        <v>9.9969999999999999</v>
      </c>
      <c r="K182">
        <v>14.5</v>
      </c>
      <c r="L182">
        <v>14.832000000000001</v>
      </c>
      <c r="M182">
        <v>0</v>
      </c>
      <c r="N182">
        <v>14.832000000000001</v>
      </c>
      <c r="O182">
        <v>14.832000000000001</v>
      </c>
      <c r="P182">
        <v>14.832000000000001</v>
      </c>
      <c r="Q182">
        <v>14.832000000000001</v>
      </c>
    </row>
    <row r="183" spans="2:17">
      <c r="B183" t="s">
        <v>236</v>
      </c>
      <c r="D183" t="s">
        <v>568</v>
      </c>
      <c r="F183">
        <v>71.638999999999996</v>
      </c>
      <c r="G183">
        <v>41.384999999999998</v>
      </c>
      <c r="H183">
        <v>37.081000000000003</v>
      </c>
      <c r="I183">
        <v>37.277999999999999</v>
      </c>
      <c r="J183">
        <v>14.292999999999999</v>
      </c>
      <c r="K183">
        <v>14.694000000000001</v>
      </c>
      <c r="L183">
        <v>20.850999999999999</v>
      </c>
      <c r="N183">
        <v>26.69</v>
      </c>
      <c r="O183">
        <v>32.529000000000003</v>
      </c>
      <c r="P183">
        <v>38.368000000000002</v>
      </c>
      <c r="Q183">
        <v>44.207000000000001</v>
      </c>
    </row>
    <row r="184" spans="2:17">
      <c r="B184" t="s">
        <v>237</v>
      </c>
      <c r="D184" t="s">
        <v>568</v>
      </c>
      <c r="F184">
        <v>131.161</v>
      </c>
      <c r="G184">
        <v>158.68</v>
      </c>
      <c r="H184">
        <v>119.806</v>
      </c>
      <c r="I184">
        <v>105.465</v>
      </c>
      <c r="J184">
        <v>88.578999999999994</v>
      </c>
      <c r="K184">
        <v>89.572000000000003</v>
      </c>
      <c r="L184">
        <v>101.304</v>
      </c>
      <c r="M184">
        <v>0</v>
      </c>
      <c r="N184">
        <v>116.209242706175</v>
      </c>
      <c r="O184">
        <v>131.60628847884499</v>
      </c>
      <c r="P184">
        <v>146.50512374399699</v>
      </c>
      <c r="Q184">
        <v>161.59081491602001</v>
      </c>
    </row>
    <row r="185" spans="2:17">
      <c r="B185" t="s">
        <v>238</v>
      </c>
      <c r="D185" t="s">
        <v>568</v>
      </c>
      <c r="F185">
        <v>0</v>
      </c>
      <c r="G185">
        <v>0</v>
      </c>
      <c r="H185">
        <v>0</v>
      </c>
      <c r="I185">
        <v>0</v>
      </c>
      <c r="J185">
        <v>0</v>
      </c>
      <c r="K185">
        <v>0</v>
      </c>
      <c r="L185">
        <v>0</v>
      </c>
      <c r="M185">
        <v>0</v>
      </c>
      <c r="N185">
        <v>0</v>
      </c>
      <c r="O185">
        <v>0</v>
      </c>
      <c r="P185">
        <v>0</v>
      </c>
      <c r="Q185">
        <v>0</v>
      </c>
    </row>
    <row r="186" spans="2:17">
      <c r="B186" t="s">
        <v>239</v>
      </c>
      <c r="D186" t="s">
        <v>568</v>
      </c>
      <c r="F186">
        <v>157.745</v>
      </c>
      <c r="G186">
        <v>117.11499999999999</v>
      </c>
      <c r="H186">
        <v>131.68600000000001</v>
      </c>
      <c r="I186">
        <v>131.31299999999999</v>
      </c>
      <c r="J186">
        <v>150.22300000000001</v>
      </c>
      <c r="K186">
        <v>153.578</v>
      </c>
      <c r="L186">
        <v>177.41200000000001</v>
      </c>
      <c r="M186">
        <v>0</v>
      </c>
      <c r="N186">
        <v>190.24713551925299</v>
      </c>
      <c r="O186">
        <v>203.16359087197</v>
      </c>
      <c r="P186">
        <v>219.426132662128</v>
      </c>
      <c r="Q186">
        <v>237.47017580911299</v>
      </c>
    </row>
    <row r="187" spans="2:17">
      <c r="B187" t="s">
        <v>240</v>
      </c>
      <c r="D187" t="s">
        <v>568</v>
      </c>
      <c r="F187">
        <v>0</v>
      </c>
      <c r="G187">
        <v>0</v>
      </c>
      <c r="H187">
        <v>0</v>
      </c>
      <c r="I187">
        <v>0</v>
      </c>
      <c r="J187">
        <v>0</v>
      </c>
      <c r="K187">
        <v>0</v>
      </c>
      <c r="L187">
        <v>0</v>
      </c>
      <c r="M187">
        <v>0</v>
      </c>
      <c r="N187">
        <v>0</v>
      </c>
      <c r="O187">
        <v>0</v>
      </c>
      <c r="P187">
        <v>0</v>
      </c>
      <c r="Q187">
        <v>0</v>
      </c>
    </row>
    <row r="188" spans="2:17">
      <c r="B188" t="s">
        <v>241</v>
      </c>
      <c r="D188" t="s">
        <v>568</v>
      </c>
      <c r="F188">
        <v>157.745</v>
      </c>
      <c r="G188">
        <v>117.11499999999999</v>
      </c>
      <c r="H188">
        <v>131.68600000000001</v>
      </c>
      <c r="I188">
        <v>131.31299999999999</v>
      </c>
      <c r="J188">
        <v>150.22300000000001</v>
      </c>
      <c r="K188">
        <v>153.578</v>
      </c>
      <c r="L188">
        <v>177.41200000000001</v>
      </c>
      <c r="N188">
        <v>190.24713551925299</v>
      </c>
      <c r="O188">
        <v>203.16359087197</v>
      </c>
      <c r="P188">
        <v>219.426132662128</v>
      </c>
      <c r="Q188">
        <v>237.47017580911299</v>
      </c>
    </row>
    <row r="189" spans="2:17">
      <c r="B189" t="s">
        <v>242</v>
      </c>
      <c r="D189" t="s">
        <v>568</v>
      </c>
      <c r="F189">
        <v>288.90600000000001</v>
      </c>
      <c r="G189">
        <v>275.79500000000002</v>
      </c>
      <c r="H189">
        <v>251.49199999999999</v>
      </c>
      <c r="I189">
        <v>236.77799999999999</v>
      </c>
      <c r="J189">
        <v>238.80199999999999</v>
      </c>
      <c r="K189">
        <v>243.15</v>
      </c>
      <c r="L189">
        <v>278.71600000000001</v>
      </c>
      <c r="N189">
        <v>306.45637822542801</v>
      </c>
      <c r="O189">
        <v>334.76987935081502</v>
      </c>
      <c r="P189">
        <v>365.93125640612499</v>
      </c>
      <c r="Q189">
        <v>399.06099072513302</v>
      </c>
    </row>
    <row r="190" spans="2:17">
      <c r="B190" t="s">
        <v>243</v>
      </c>
      <c r="D190" t="s">
        <v>568</v>
      </c>
      <c r="F190">
        <v>1.2777614626839999</v>
      </c>
      <c r="G190">
        <v>0.93678786045200002</v>
      </c>
      <c r="H190">
        <v>1.0167600092910001</v>
      </c>
      <c r="I190">
        <v>1.013880041158</v>
      </c>
      <c r="J190">
        <v>1.159885932261</v>
      </c>
      <c r="K190">
        <v>1.1814117434160001</v>
      </c>
      <c r="L190">
        <v>1.3637077588390001</v>
      </c>
      <c r="N190">
        <v>1.4623672288480001</v>
      </c>
      <c r="O190">
        <v>1.561651777702</v>
      </c>
      <c r="P190">
        <v>1.68665659371</v>
      </c>
      <c r="Q190">
        <v>1.825355225372</v>
      </c>
    </row>
    <row r="191" spans="2:17">
      <c r="B191" t="s">
        <v>1427</v>
      </c>
      <c r="D191" t="s">
        <v>568</v>
      </c>
    </row>
    <row r="192" spans="2:17">
      <c r="B192" t="s">
        <v>1428</v>
      </c>
      <c r="D192" t="s">
        <v>568</v>
      </c>
    </row>
    <row r="193" spans="2:17">
      <c r="B193" t="s">
        <v>53</v>
      </c>
      <c r="D193" t="s">
        <v>568</v>
      </c>
    </row>
    <row r="194" spans="2:17">
      <c r="B194" t="s">
        <v>244</v>
      </c>
      <c r="D194" t="s">
        <v>568</v>
      </c>
      <c r="F194">
        <v>9.3559999999999999</v>
      </c>
      <c r="G194">
        <v>7.8129999999999997</v>
      </c>
      <c r="H194">
        <v>5.6849999999999996</v>
      </c>
      <c r="I194">
        <v>1.8680000000000001</v>
      </c>
      <c r="J194">
        <v>6.2169999999999996</v>
      </c>
      <c r="K194">
        <v>3.2029999999999998</v>
      </c>
      <c r="L194">
        <v>4.2530000000000001</v>
      </c>
      <c r="N194">
        <v>4.2530000000000001</v>
      </c>
      <c r="O194">
        <v>4.2530000000000001</v>
      </c>
      <c r="P194">
        <v>4.2530000000000001</v>
      </c>
      <c r="Q194">
        <v>4.2530000000000001</v>
      </c>
    </row>
    <row r="195" spans="2:17">
      <c r="B195" t="s">
        <v>1432</v>
      </c>
      <c r="D195" t="s">
        <v>568</v>
      </c>
    </row>
    <row r="196" spans="2:17">
      <c r="B196" t="s">
        <v>1433</v>
      </c>
      <c r="D196" t="s">
        <v>568</v>
      </c>
    </row>
    <row r="197" spans="2:17">
      <c r="B197" t="s">
        <v>1434</v>
      </c>
      <c r="D197" t="s">
        <v>568</v>
      </c>
      <c r="F197">
        <v>8.76</v>
      </c>
      <c r="G197">
        <v>9.5000000000000001E-2</v>
      </c>
      <c r="H197">
        <v>0</v>
      </c>
      <c r="I197">
        <v>0</v>
      </c>
      <c r="J197">
        <v>0</v>
      </c>
      <c r="K197">
        <v>0</v>
      </c>
      <c r="L197">
        <v>0</v>
      </c>
      <c r="N197">
        <v>0</v>
      </c>
      <c r="O197">
        <v>0</v>
      </c>
      <c r="P197">
        <v>0</v>
      </c>
      <c r="Q197">
        <v>0</v>
      </c>
    </row>
    <row r="198" spans="2:17">
      <c r="B198" t="s">
        <v>1435</v>
      </c>
      <c r="D198" t="s">
        <v>568</v>
      </c>
    </row>
    <row r="199" spans="2:17">
      <c r="B199" t="s">
        <v>1437</v>
      </c>
      <c r="D199" t="s">
        <v>568</v>
      </c>
    </row>
    <row r="200" spans="2:17">
      <c r="B200" t="s">
        <v>1438</v>
      </c>
      <c r="D200" t="s">
        <v>568</v>
      </c>
      <c r="F200">
        <v>10.534000000000001</v>
      </c>
      <c r="G200">
        <v>9.5069999999999997</v>
      </c>
      <c r="H200">
        <v>9.1029999999999998</v>
      </c>
      <c r="I200">
        <v>8.2219999999999995</v>
      </c>
      <c r="J200">
        <v>7.7119999999999997</v>
      </c>
      <c r="K200">
        <v>5.0960000000000001</v>
      </c>
      <c r="L200">
        <v>3.875</v>
      </c>
      <c r="N200">
        <v>4.5871325357739998</v>
      </c>
      <c r="O200">
        <v>5.3956140274340001</v>
      </c>
      <c r="P200">
        <v>6.2954223121509996</v>
      </c>
      <c r="Q200">
        <v>7.2884409728200001</v>
      </c>
    </row>
    <row r="201" spans="2:17">
      <c r="B201" t="s">
        <v>54</v>
      </c>
      <c r="D201" t="s">
        <v>568</v>
      </c>
    </row>
    <row r="202" spans="2:17">
      <c r="B202" t="s">
        <v>245</v>
      </c>
      <c r="D202" t="s">
        <v>568</v>
      </c>
      <c r="F202">
        <v>32.798999999999999</v>
      </c>
      <c r="G202">
        <v>24.558</v>
      </c>
      <c r="H202">
        <v>24.558</v>
      </c>
      <c r="I202">
        <v>24.558</v>
      </c>
      <c r="J202">
        <v>24.558</v>
      </c>
      <c r="K202">
        <v>24.558</v>
      </c>
      <c r="L202">
        <v>24.558</v>
      </c>
      <c r="N202">
        <v>24.558</v>
      </c>
      <c r="O202">
        <v>24.558</v>
      </c>
      <c r="P202">
        <v>24.558</v>
      </c>
      <c r="Q202">
        <v>24.558</v>
      </c>
    </row>
    <row r="203" spans="2:17">
      <c r="B203" t="s">
        <v>55</v>
      </c>
      <c r="D203" t="s">
        <v>568</v>
      </c>
      <c r="F203">
        <v>50.061</v>
      </c>
      <c r="G203">
        <v>38.451999999999998</v>
      </c>
      <c r="H203">
        <v>41.283999999999999</v>
      </c>
      <c r="I203">
        <v>43.152000000000001</v>
      </c>
      <c r="J203">
        <v>43.970999999999997</v>
      </c>
      <c r="K203">
        <v>45.417000000000002</v>
      </c>
      <c r="L203">
        <v>45.298000000000002</v>
      </c>
      <c r="N203">
        <v>45.298000000000002</v>
      </c>
      <c r="O203">
        <v>45.298000000000002</v>
      </c>
      <c r="P203">
        <v>45.298000000000002</v>
      </c>
      <c r="Q203">
        <v>45.298000000000002</v>
      </c>
    </row>
    <row r="204" spans="2:17">
      <c r="B204" t="s">
        <v>56</v>
      </c>
      <c r="D204" t="s">
        <v>568</v>
      </c>
    </row>
    <row r="205" spans="2:17">
      <c r="B205" t="s">
        <v>57</v>
      </c>
      <c r="D205" t="s">
        <v>568</v>
      </c>
    </row>
    <row r="206" spans="2:17">
      <c r="B206" t="s">
        <v>58</v>
      </c>
      <c r="D206" t="s">
        <v>568</v>
      </c>
    </row>
    <row r="207" spans="2:17">
      <c r="B207" t="s">
        <v>246</v>
      </c>
      <c r="D207" t="s">
        <v>568</v>
      </c>
      <c r="F207">
        <v>8.5790000000000006</v>
      </c>
      <c r="G207">
        <v>20.530999999999999</v>
      </c>
      <c r="H207">
        <v>17.155999999999999</v>
      </c>
      <c r="I207">
        <v>15.837</v>
      </c>
      <c r="J207">
        <v>10.922000000000001</v>
      </c>
      <c r="K207">
        <v>11.965999999999999</v>
      </c>
      <c r="L207">
        <v>12.462</v>
      </c>
      <c r="N207">
        <v>12.462</v>
      </c>
      <c r="O207">
        <v>12.462</v>
      </c>
      <c r="P207">
        <v>12.462</v>
      </c>
      <c r="Q207">
        <v>12.462</v>
      </c>
    </row>
    <row r="208" spans="2:17">
      <c r="B208" t="s">
        <v>1441</v>
      </c>
      <c r="D208" t="s">
        <v>568</v>
      </c>
      <c r="F208">
        <v>110.733</v>
      </c>
      <c r="G208">
        <v>93.143000000000001</v>
      </c>
      <c r="H208">
        <v>92.100999999999999</v>
      </c>
      <c r="I208">
        <v>91.769000000000005</v>
      </c>
      <c r="J208">
        <v>87.162999999999997</v>
      </c>
      <c r="K208">
        <v>87.037000000000006</v>
      </c>
      <c r="L208">
        <v>86.192999999999998</v>
      </c>
      <c r="N208">
        <v>86.905132535774001</v>
      </c>
      <c r="O208">
        <v>87.713614027434005</v>
      </c>
      <c r="P208">
        <v>88.613422312151002</v>
      </c>
      <c r="Q208">
        <v>89.606440972819996</v>
      </c>
    </row>
    <row r="209" spans="2:17">
      <c r="B209" t="s">
        <v>1445</v>
      </c>
      <c r="D209" t="s">
        <v>568</v>
      </c>
      <c r="F209">
        <v>4.4029999999999996</v>
      </c>
      <c r="G209">
        <v>0</v>
      </c>
      <c r="H209">
        <v>0</v>
      </c>
      <c r="I209">
        <v>0</v>
      </c>
      <c r="J209">
        <v>0</v>
      </c>
      <c r="K209">
        <v>0</v>
      </c>
      <c r="L209">
        <v>0</v>
      </c>
      <c r="N209">
        <v>0</v>
      </c>
      <c r="O209">
        <v>0</v>
      </c>
      <c r="P209">
        <v>0</v>
      </c>
      <c r="Q209">
        <v>0</v>
      </c>
    </row>
    <row r="210" spans="2:17">
      <c r="B210" t="s">
        <v>1443</v>
      </c>
      <c r="D210" t="s">
        <v>568</v>
      </c>
    </row>
    <row r="211" spans="2:17">
      <c r="B211" t="s">
        <v>1446</v>
      </c>
      <c r="D211" t="s">
        <v>568</v>
      </c>
      <c r="F211">
        <v>11.061999999999999</v>
      </c>
      <c r="G211">
        <v>59.511000000000003</v>
      </c>
      <c r="H211">
        <v>23.268000000000001</v>
      </c>
      <c r="I211">
        <v>9.9440000000000008</v>
      </c>
      <c r="J211">
        <v>0.1</v>
      </c>
      <c r="K211">
        <v>0.24199999999999999</v>
      </c>
      <c r="L211">
        <v>5.7000000000000002E-2</v>
      </c>
      <c r="N211">
        <v>5.7000000000000002E-2</v>
      </c>
      <c r="O211">
        <v>5.7000000000000002E-2</v>
      </c>
      <c r="P211">
        <v>5.7000000000000002E-2</v>
      </c>
      <c r="Q211">
        <v>5.7000000000000002E-2</v>
      </c>
    </row>
    <row r="212" spans="2:17">
      <c r="B212" t="s">
        <v>1447</v>
      </c>
      <c r="D212" t="s">
        <v>568</v>
      </c>
      <c r="F212">
        <v>3.6389999999999998</v>
      </c>
      <c r="G212">
        <v>3.8519999999999999</v>
      </c>
      <c r="H212">
        <v>3.722</v>
      </c>
      <c r="I212">
        <v>6.3159999999999998</v>
      </c>
      <c r="J212">
        <v>6.2670000000000003</v>
      </c>
      <c r="K212">
        <v>5.9210000000000003</v>
      </c>
      <c r="L212">
        <v>7.12</v>
      </c>
      <c r="N212">
        <v>9.2200000000000006</v>
      </c>
      <c r="O212">
        <v>9.2200000000000006</v>
      </c>
      <c r="P212">
        <v>9.2200000000000006</v>
      </c>
      <c r="Q212">
        <v>9.2200000000000006</v>
      </c>
    </row>
    <row r="213" spans="2:17">
      <c r="B213" t="s">
        <v>59</v>
      </c>
      <c r="D213" t="s">
        <v>568</v>
      </c>
    </row>
    <row r="214" spans="2:17">
      <c r="B214" t="s">
        <v>247</v>
      </c>
      <c r="D214" t="s">
        <v>568</v>
      </c>
      <c r="F214">
        <v>2.9809999999999999</v>
      </c>
      <c r="G214">
        <v>5.3769999999999998</v>
      </c>
      <c r="H214">
        <v>3.669</v>
      </c>
      <c r="I214">
        <v>9.68</v>
      </c>
      <c r="J214">
        <v>3.6309999999999998</v>
      </c>
      <c r="K214">
        <v>9.6310000000000002</v>
      </c>
      <c r="L214">
        <v>9.5969999999999995</v>
      </c>
      <c r="N214">
        <v>9.5969999999999995</v>
      </c>
      <c r="O214">
        <v>9.5969999999999995</v>
      </c>
      <c r="P214">
        <v>9.5969999999999995</v>
      </c>
      <c r="Q214">
        <v>9.5969999999999995</v>
      </c>
    </row>
    <row r="215" spans="2:17">
      <c r="B215" t="s">
        <v>1453</v>
      </c>
      <c r="D215" t="s">
        <v>568</v>
      </c>
    </row>
    <row r="216" spans="2:17">
      <c r="B216" t="s">
        <v>1454</v>
      </c>
      <c r="D216" t="s">
        <v>568</v>
      </c>
    </row>
    <row r="217" spans="2:17">
      <c r="B217" t="s">
        <v>1456</v>
      </c>
      <c r="D217" t="s">
        <v>568</v>
      </c>
      <c r="F217">
        <v>3.6589999999999998</v>
      </c>
      <c r="G217">
        <v>3.5379999999999998</v>
      </c>
      <c r="H217">
        <v>3.9289999999999998</v>
      </c>
      <c r="I217">
        <v>5.0270000000000001</v>
      </c>
      <c r="J217">
        <v>5.3179999999999996</v>
      </c>
      <c r="K217">
        <v>6.3719999999999999</v>
      </c>
      <c r="L217">
        <v>6.2510000000000003</v>
      </c>
      <c r="N217">
        <v>6.2510000000000003</v>
      </c>
      <c r="O217">
        <v>6.2510000000000003</v>
      </c>
      <c r="P217">
        <v>6.2510000000000003</v>
      </c>
      <c r="Q217">
        <v>6.2510000000000003</v>
      </c>
    </row>
    <row r="218" spans="2:17">
      <c r="B218" t="s">
        <v>60</v>
      </c>
      <c r="D218" t="s">
        <v>568</v>
      </c>
    </row>
    <row r="219" spans="2:17">
      <c r="B219" t="s">
        <v>61</v>
      </c>
      <c r="D219" t="s">
        <v>568</v>
      </c>
    </row>
    <row r="220" spans="2:17">
      <c r="B220" t="s">
        <v>248</v>
      </c>
      <c r="D220" t="s">
        <v>568</v>
      </c>
      <c r="F220">
        <v>1.3280000000000001</v>
      </c>
      <c r="G220">
        <v>2.847</v>
      </c>
      <c r="H220">
        <v>2.8180000000000001</v>
      </c>
      <c r="I220">
        <v>2.8969999999999998</v>
      </c>
      <c r="J220">
        <v>4.6790000000000003</v>
      </c>
      <c r="K220">
        <v>8.1280000000000001</v>
      </c>
      <c r="L220">
        <v>8.5809999999999995</v>
      </c>
      <c r="N220">
        <v>8.5809999999999995</v>
      </c>
      <c r="O220">
        <v>8.5809999999999995</v>
      </c>
      <c r="P220">
        <v>8.5809999999999995</v>
      </c>
      <c r="Q220">
        <v>8.5809999999999995</v>
      </c>
    </row>
    <row r="221" spans="2:17">
      <c r="B221" t="s">
        <v>1462</v>
      </c>
      <c r="D221" t="s">
        <v>568</v>
      </c>
      <c r="F221">
        <v>128.23699999999999</v>
      </c>
      <c r="G221">
        <v>130.71299999999999</v>
      </c>
      <c r="H221">
        <v>137.56399999999999</v>
      </c>
      <c r="I221">
        <v>137.58099999999999</v>
      </c>
      <c r="J221">
        <v>137.65299999999999</v>
      </c>
      <c r="K221">
        <v>135.642</v>
      </c>
      <c r="L221">
        <v>138.76</v>
      </c>
      <c r="N221">
        <v>138.76</v>
      </c>
      <c r="O221">
        <v>138.76</v>
      </c>
      <c r="P221">
        <v>138.76</v>
      </c>
      <c r="Q221">
        <v>138.76</v>
      </c>
    </row>
    <row r="222" spans="2:17">
      <c r="B222" t="s">
        <v>1464</v>
      </c>
      <c r="D222" t="s">
        <v>568</v>
      </c>
      <c r="F222">
        <v>-1.681</v>
      </c>
      <c r="G222">
        <v>-6.44</v>
      </c>
      <c r="H222">
        <v>-8.9</v>
      </c>
      <c r="I222">
        <v>-13.273999999999999</v>
      </c>
      <c r="J222">
        <v>-7.306</v>
      </c>
      <c r="K222">
        <v>-14.885999999999999</v>
      </c>
      <c r="L222">
        <v>-14.782999999999999</v>
      </c>
      <c r="N222">
        <v>-14.782999999999999</v>
      </c>
      <c r="O222">
        <v>-14.782999999999999</v>
      </c>
      <c r="P222">
        <v>-14.782999999999999</v>
      </c>
      <c r="Q222">
        <v>-14.782999999999999</v>
      </c>
    </row>
    <row r="223" spans="2:17">
      <c r="B223" t="s">
        <v>1465</v>
      </c>
      <c r="D223" t="s">
        <v>568</v>
      </c>
      <c r="F223">
        <v>31.189</v>
      </c>
      <c r="G223">
        <v>-7.1580000000000004</v>
      </c>
      <c r="H223">
        <v>3.0219999999999998</v>
      </c>
      <c r="I223">
        <v>7.0060000000000002</v>
      </c>
      <c r="J223">
        <v>19.876000000000001</v>
      </c>
      <c r="K223">
        <v>32.822000000000003</v>
      </c>
      <c r="L223">
        <v>53.435000000000002</v>
      </c>
      <c r="N223">
        <v>66.270135519253003</v>
      </c>
      <c r="O223">
        <v>79.186590871969997</v>
      </c>
      <c r="P223">
        <v>95.449132662127994</v>
      </c>
      <c r="Q223">
        <v>113.493175809113</v>
      </c>
    </row>
    <row r="224" spans="2:17">
      <c r="B224" t="s">
        <v>1466</v>
      </c>
      <c r="D224" t="s">
        <v>568</v>
      </c>
      <c r="F224">
        <v>157.745</v>
      </c>
      <c r="G224">
        <v>117.11499999999999</v>
      </c>
      <c r="H224">
        <v>131.68600000000001</v>
      </c>
      <c r="I224">
        <v>131.31299999999999</v>
      </c>
      <c r="J224">
        <v>150.22300000000001</v>
      </c>
      <c r="K224">
        <v>153.578</v>
      </c>
      <c r="L224">
        <v>177.41200000000001</v>
      </c>
      <c r="N224">
        <v>190.24713551925299</v>
      </c>
      <c r="O224">
        <v>203.16359087197</v>
      </c>
      <c r="P224">
        <v>219.426132662128</v>
      </c>
      <c r="Q224">
        <v>237.47017580911299</v>
      </c>
    </row>
    <row r="225" spans="2:17">
      <c r="B225" t="s">
        <v>1460</v>
      </c>
      <c r="D225" t="s">
        <v>568</v>
      </c>
      <c r="F225">
        <v>157.745</v>
      </c>
      <c r="G225">
        <v>117.11499999999999</v>
      </c>
      <c r="H225">
        <v>131.68600000000001</v>
      </c>
      <c r="I225">
        <v>131.31299999999999</v>
      </c>
      <c r="J225">
        <v>150.22300000000001</v>
      </c>
      <c r="K225">
        <v>153.578</v>
      </c>
      <c r="L225">
        <v>177.41200000000001</v>
      </c>
      <c r="N225">
        <v>190.24713551925299</v>
      </c>
      <c r="O225">
        <v>203.16359087197</v>
      </c>
      <c r="P225">
        <v>219.426132662128</v>
      </c>
      <c r="Q225">
        <v>237.47017580911299</v>
      </c>
    </row>
    <row r="226" spans="2:17">
      <c r="B226" t="s">
        <v>1461</v>
      </c>
      <c r="D226" t="s">
        <v>568</v>
      </c>
      <c r="F226">
        <v>74.885000000000005</v>
      </c>
      <c r="G226">
        <v>54.104999999999997</v>
      </c>
      <c r="H226">
        <v>65.843999999999994</v>
      </c>
      <c r="I226">
        <v>63.603000000000002</v>
      </c>
      <c r="J226">
        <v>81.694000000000003</v>
      </c>
      <c r="K226">
        <v>83.602999999999994</v>
      </c>
      <c r="L226">
        <v>107.556</v>
      </c>
      <c r="N226">
        <v>120.391135519253</v>
      </c>
      <c r="O226">
        <v>133.30759087197001</v>
      </c>
      <c r="P226">
        <v>149.570132662128</v>
      </c>
      <c r="Q226">
        <v>167.61417580911299</v>
      </c>
    </row>
    <row r="227" spans="2:17">
      <c r="B227" t="s">
        <v>249</v>
      </c>
      <c r="D227" t="s">
        <v>568</v>
      </c>
    </row>
    <row r="228" spans="2:17">
      <c r="B228" t="s">
        <v>1377</v>
      </c>
      <c r="D228" t="s">
        <v>568</v>
      </c>
      <c r="F228">
        <v>63.817</v>
      </c>
      <c r="G228">
        <v>71.853999999999999</v>
      </c>
      <c r="H228">
        <v>43.34</v>
      </c>
      <c r="I228">
        <v>33.008000000000003</v>
      </c>
      <c r="J228">
        <v>-9.1690000000000005</v>
      </c>
      <c r="K228">
        <v>-27.332000000000001</v>
      </c>
      <c r="L228">
        <v>-47.018999999999998</v>
      </c>
      <c r="M228">
        <v>0</v>
      </c>
      <c r="N228">
        <v>-53.420609925788</v>
      </c>
      <c r="O228">
        <v>-54.797227443893</v>
      </c>
      <c r="P228">
        <v>-59.987973604727003</v>
      </c>
      <c r="Q228">
        <v>-66.657217095188003</v>
      </c>
    </row>
    <row r="229" spans="2:17">
      <c r="B229" t="s">
        <v>250</v>
      </c>
      <c r="D229" t="s">
        <v>568</v>
      </c>
      <c r="F229">
        <v>51.287999999999997</v>
      </c>
      <c r="G229">
        <v>45.137999999999998</v>
      </c>
      <c r="H229">
        <v>57.084000000000003</v>
      </c>
      <c r="I229">
        <v>60.881999999999998</v>
      </c>
      <c r="J229">
        <v>56.16</v>
      </c>
      <c r="K229">
        <v>47.622</v>
      </c>
      <c r="L229">
        <v>53.898000000000003</v>
      </c>
      <c r="M229">
        <v>0</v>
      </c>
      <c r="N229">
        <v>59.794238153511003</v>
      </c>
      <c r="O229">
        <v>67.884182264684</v>
      </c>
      <c r="P229">
        <v>75.552440263728002</v>
      </c>
      <c r="Q229">
        <v>83.378853379351</v>
      </c>
    </row>
    <row r="230" spans="2:17">
      <c r="B230" t="s">
        <v>251</v>
      </c>
      <c r="D230" t="s">
        <v>568</v>
      </c>
      <c r="F230">
        <v>-4.92</v>
      </c>
      <c r="G230">
        <v>-15.993</v>
      </c>
      <c r="H230">
        <v>-13.227</v>
      </c>
      <c r="I230">
        <v>-10.81</v>
      </c>
      <c r="J230">
        <v>-5.6040000000000001</v>
      </c>
      <c r="K230">
        <v>-5.5940000000000003</v>
      </c>
      <c r="L230">
        <v>-6.2110000000000003</v>
      </c>
      <c r="M230">
        <v>0</v>
      </c>
      <c r="N230">
        <v>-6.2110000000000003</v>
      </c>
      <c r="O230">
        <v>-6.2110000000000003</v>
      </c>
      <c r="P230">
        <v>-6.2110000000000003</v>
      </c>
      <c r="Q230">
        <v>-6.2110000000000003</v>
      </c>
    </row>
    <row r="231" spans="2:17">
      <c r="B231" t="s">
        <v>252</v>
      </c>
      <c r="D231" t="s">
        <v>568</v>
      </c>
      <c r="F231">
        <v>0</v>
      </c>
      <c r="G231">
        <v>0</v>
      </c>
      <c r="H231">
        <v>0</v>
      </c>
      <c r="I231">
        <v>0</v>
      </c>
      <c r="J231">
        <v>0</v>
      </c>
      <c r="K231">
        <v>0</v>
      </c>
      <c r="L231">
        <v>0</v>
      </c>
      <c r="M231">
        <v>0</v>
      </c>
      <c r="N231">
        <v>0</v>
      </c>
      <c r="O231">
        <v>0</v>
      </c>
      <c r="P231">
        <v>0</v>
      </c>
      <c r="Q231">
        <v>0</v>
      </c>
    </row>
    <row r="232" spans="2:17">
      <c r="B232" t="s">
        <v>253</v>
      </c>
      <c r="D232" t="s">
        <v>568</v>
      </c>
      <c r="F232">
        <v>0</v>
      </c>
      <c r="G232">
        <v>0</v>
      </c>
      <c r="H232">
        <v>0</v>
      </c>
      <c r="I232">
        <v>0</v>
      </c>
      <c r="J232">
        <v>0</v>
      </c>
      <c r="K232">
        <v>0</v>
      </c>
      <c r="L232">
        <v>0</v>
      </c>
      <c r="M232">
        <v>0</v>
      </c>
      <c r="N232">
        <v>0</v>
      </c>
      <c r="O232">
        <v>0</v>
      </c>
      <c r="P232">
        <v>0</v>
      </c>
      <c r="Q232">
        <v>0</v>
      </c>
    </row>
    <row r="233" spans="2:17">
      <c r="B233" t="s">
        <v>254</v>
      </c>
      <c r="D233" t="s">
        <v>568</v>
      </c>
    </row>
    <row r="234" spans="2:17">
      <c r="B234" t="s">
        <v>255</v>
      </c>
      <c r="D234" t="s">
        <v>568</v>
      </c>
      <c r="F234">
        <v>0</v>
      </c>
      <c r="G234">
        <v>0</v>
      </c>
      <c r="H234">
        <v>0</v>
      </c>
      <c r="I234">
        <v>0</v>
      </c>
      <c r="J234">
        <v>0</v>
      </c>
      <c r="K234">
        <v>0</v>
      </c>
      <c r="L234">
        <v>0</v>
      </c>
      <c r="M234">
        <v>0</v>
      </c>
      <c r="N234">
        <v>0</v>
      </c>
      <c r="O234">
        <v>0</v>
      </c>
      <c r="P234">
        <v>0</v>
      </c>
      <c r="Q234">
        <v>0</v>
      </c>
    </row>
    <row r="235" spans="2:17">
      <c r="B235" t="s">
        <v>256</v>
      </c>
      <c r="D235" t="s">
        <v>568</v>
      </c>
    </row>
    <row r="236" spans="2:17">
      <c r="B236" t="s">
        <v>257</v>
      </c>
      <c r="D236" t="s">
        <v>568</v>
      </c>
      <c r="F236">
        <v>0</v>
      </c>
      <c r="G236">
        <v>0</v>
      </c>
      <c r="H236">
        <v>0</v>
      </c>
      <c r="I236">
        <v>0</v>
      </c>
      <c r="J236">
        <v>0</v>
      </c>
      <c r="K236">
        <v>0</v>
      </c>
      <c r="L236">
        <v>0</v>
      </c>
      <c r="M236">
        <v>0</v>
      </c>
      <c r="N236">
        <v>0</v>
      </c>
      <c r="O236">
        <v>0</v>
      </c>
      <c r="P236">
        <v>0</v>
      </c>
      <c r="Q236">
        <v>0</v>
      </c>
    </row>
    <row r="237" spans="2:17">
      <c r="B237" t="s">
        <v>258</v>
      </c>
      <c r="D237" t="s">
        <v>568</v>
      </c>
      <c r="F237">
        <v>0</v>
      </c>
      <c r="G237">
        <v>0</v>
      </c>
      <c r="H237">
        <v>0</v>
      </c>
      <c r="I237">
        <v>0</v>
      </c>
      <c r="J237">
        <v>0</v>
      </c>
      <c r="K237">
        <v>0</v>
      </c>
      <c r="L237">
        <v>0</v>
      </c>
      <c r="M237">
        <v>0</v>
      </c>
      <c r="N237">
        <v>0</v>
      </c>
      <c r="O237">
        <v>0</v>
      </c>
      <c r="P237">
        <v>0</v>
      </c>
      <c r="Q237">
        <v>0</v>
      </c>
    </row>
    <row r="238" spans="2:17">
      <c r="B238" t="s">
        <v>259</v>
      </c>
      <c r="D238" t="s">
        <v>568</v>
      </c>
      <c r="F238">
        <v>17.815000000000001</v>
      </c>
      <c r="G238">
        <v>22.225000000000001</v>
      </c>
      <c r="H238">
        <v>24.63</v>
      </c>
      <c r="I238">
        <v>22.84</v>
      </c>
      <c r="J238">
        <v>32.533999999999999</v>
      </c>
      <c r="K238">
        <v>25.324999999999999</v>
      </c>
      <c r="L238">
        <v>33.064999999999998</v>
      </c>
      <c r="M238">
        <v>0</v>
      </c>
      <c r="N238">
        <v>36.682186436339997</v>
      </c>
      <c r="O238">
        <v>41.645153560091003</v>
      </c>
      <c r="P238">
        <v>46.34942738729</v>
      </c>
      <c r="Q238">
        <v>51.150725202943001</v>
      </c>
    </row>
    <row r="239" spans="2:17">
      <c r="B239" t="s">
        <v>260</v>
      </c>
      <c r="D239" t="s">
        <v>568</v>
      </c>
      <c r="F239">
        <v>1</v>
      </c>
      <c r="G239">
        <v>1</v>
      </c>
      <c r="H239">
        <v>1</v>
      </c>
      <c r="I239">
        <v>1</v>
      </c>
      <c r="J239">
        <v>1</v>
      </c>
      <c r="K239">
        <v>1</v>
      </c>
      <c r="L239">
        <v>1</v>
      </c>
      <c r="M239">
        <v>1</v>
      </c>
      <c r="N239">
        <v>1</v>
      </c>
      <c r="O239">
        <v>1</v>
      </c>
      <c r="P239">
        <v>1</v>
      </c>
      <c r="Q239">
        <v>1</v>
      </c>
    </row>
    <row r="240" spans="2:17">
      <c r="B240" t="s">
        <v>261</v>
      </c>
      <c r="D240" t="s">
        <v>568</v>
      </c>
      <c r="F240">
        <v>0</v>
      </c>
      <c r="G240">
        <v>0</v>
      </c>
      <c r="H240">
        <v>0</v>
      </c>
      <c r="I240">
        <v>0</v>
      </c>
      <c r="J240">
        <v>0</v>
      </c>
      <c r="K240">
        <v>0</v>
      </c>
      <c r="L240">
        <v>0</v>
      </c>
      <c r="M240">
        <v>0</v>
      </c>
      <c r="N240">
        <v>0</v>
      </c>
      <c r="O240">
        <v>0</v>
      </c>
      <c r="P240">
        <v>0</v>
      </c>
      <c r="Q240">
        <v>0</v>
      </c>
    </row>
    <row r="241" spans="2:17">
      <c r="B241" t="s">
        <v>262</v>
      </c>
      <c r="D241" t="s">
        <v>568</v>
      </c>
      <c r="F241">
        <v>21.460999999999999</v>
      </c>
      <c r="G241">
        <v>19.880078276111998</v>
      </c>
      <c r="H241">
        <v>20.959262312320998</v>
      </c>
      <c r="I241">
        <v>14.324999999999999</v>
      </c>
      <c r="J241">
        <v>27.645</v>
      </c>
      <c r="K241">
        <v>35.191000000000003</v>
      </c>
      <c r="L241">
        <v>45.981999999999999</v>
      </c>
      <c r="N241">
        <v>48.760324665919001</v>
      </c>
      <c r="O241">
        <v>46.741239072717001</v>
      </c>
      <c r="P241">
        <v>54.640661780159</v>
      </c>
      <c r="Q241">
        <v>64.227882456985</v>
      </c>
    </row>
    <row r="242" spans="2:17">
      <c r="B242" t="s">
        <v>263</v>
      </c>
      <c r="D242" t="s">
        <v>568</v>
      </c>
      <c r="F242">
        <v>0</v>
      </c>
      <c r="G242">
        <v>0</v>
      </c>
      <c r="H242">
        <v>0</v>
      </c>
      <c r="I242">
        <v>0</v>
      </c>
      <c r="J242">
        <v>0</v>
      </c>
      <c r="K242">
        <v>0</v>
      </c>
      <c r="L242">
        <v>0</v>
      </c>
      <c r="M242">
        <v>0</v>
      </c>
      <c r="N242">
        <v>0</v>
      </c>
      <c r="O242">
        <v>0</v>
      </c>
      <c r="P242">
        <v>0</v>
      </c>
      <c r="Q242">
        <v>0</v>
      </c>
    </row>
    <row r="243" spans="2:17">
      <c r="B243" t="s">
        <v>264</v>
      </c>
      <c r="D243" t="s">
        <v>568</v>
      </c>
      <c r="F243">
        <v>4.0620000000000003</v>
      </c>
      <c r="G243">
        <v>3.9849999999999999</v>
      </c>
      <c r="H243">
        <v>5.2750000000000004</v>
      </c>
      <c r="I243">
        <v>6.5439999999999996</v>
      </c>
      <c r="J243">
        <v>6.7789999999999999</v>
      </c>
      <c r="K243">
        <v>6.7050000000000001</v>
      </c>
      <c r="L243">
        <v>6.8869999999999996</v>
      </c>
      <c r="M243">
        <v>0</v>
      </c>
      <c r="N243">
        <v>7.3587028696600001</v>
      </c>
      <c r="O243">
        <v>8.3543087471599993</v>
      </c>
      <c r="P243">
        <v>9.2980189420780004</v>
      </c>
      <c r="Q243">
        <v>10.261192826913</v>
      </c>
    </row>
    <row r="244" spans="2:17">
      <c r="B244" t="s">
        <v>265</v>
      </c>
      <c r="D244" t="s">
        <v>568</v>
      </c>
      <c r="F244">
        <v>3.6280000000000001</v>
      </c>
      <c r="G244">
        <v>-10.409000000000001</v>
      </c>
      <c r="H244">
        <v>-2.431262312321</v>
      </c>
      <c r="I244">
        <v>2.2869999999999999</v>
      </c>
      <c r="J244">
        <v>18.687999999999999</v>
      </c>
      <c r="K244">
        <v>-3.6320000000000001</v>
      </c>
      <c r="L244">
        <v>-6.8559999999999999</v>
      </c>
      <c r="M244">
        <v>0</v>
      </c>
      <c r="N244">
        <v>-7.821393057691</v>
      </c>
      <c r="O244">
        <v>-10.731356342951001</v>
      </c>
      <c r="P244">
        <v>-10.171987344608</v>
      </c>
      <c r="Q244">
        <v>-10.381780995853999</v>
      </c>
    </row>
    <row r="245" spans="2:17">
      <c r="B245" t="s">
        <v>266</v>
      </c>
      <c r="D245" t="s">
        <v>568</v>
      </c>
      <c r="F245">
        <v>1.2789999999999999</v>
      </c>
      <c r="G245">
        <v>-1.3480000000000001</v>
      </c>
      <c r="H245">
        <v>7.6040000000000001</v>
      </c>
      <c r="I245">
        <v>4.1829999999999998</v>
      </c>
      <c r="J245">
        <v>4.3040000000000003</v>
      </c>
      <c r="K245">
        <v>8.7330000000000005</v>
      </c>
      <c r="L245">
        <v>5.0979999999999999</v>
      </c>
      <c r="M245">
        <v>0</v>
      </c>
      <c r="N245">
        <v>0</v>
      </c>
      <c r="O245">
        <v>0</v>
      </c>
      <c r="P245">
        <v>0</v>
      </c>
      <c r="Q245">
        <v>0</v>
      </c>
    </row>
    <row r="246" spans="2:17">
      <c r="B246" t="s">
        <v>267</v>
      </c>
      <c r="D246" t="s">
        <v>568</v>
      </c>
      <c r="F246">
        <v>30.43</v>
      </c>
      <c r="G246">
        <v>12.108078276112</v>
      </c>
      <c r="H246">
        <v>31.407</v>
      </c>
      <c r="I246">
        <v>27.338999999999999</v>
      </c>
      <c r="J246">
        <v>57.415999999999997</v>
      </c>
      <c r="K246">
        <v>46.997</v>
      </c>
      <c r="L246">
        <v>51.110999999999997</v>
      </c>
      <c r="N246">
        <v>48.297634477888003</v>
      </c>
      <c r="O246">
        <v>44.364191476925001</v>
      </c>
      <c r="P246">
        <v>53.766693377629998</v>
      </c>
      <c r="Q246">
        <v>64.107294288042993</v>
      </c>
    </row>
    <row r="247" spans="2:17">
      <c r="B247" t="s">
        <v>268</v>
      </c>
      <c r="D247" t="s">
        <v>568</v>
      </c>
      <c r="F247">
        <v>-6.8339999999999996</v>
      </c>
      <c r="G247">
        <v>-8.9410000000000007</v>
      </c>
      <c r="H247">
        <v>-8.1989999999999998</v>
      </c>
      <c r="I247">
        <v>-7.226</v>
      </c>
      <c r="J247">
        <v>-5.5439999999999996</v>
      </c>
      <c r="K247">
        <v>-6.3970000000000002</v>
      </c>
      <c r="L247">
        <v>-5.0419999999999998</v>
      </c>
      <c r="M247">
        <v>0</v>
      </c>
      <c r="N247">
        <v>-8.0708354054329998</v>
      </c>
      <c r="O247">
        <v>-9.1627902388199995</v>
      </c>
      <c r="P247">
        <v>-10.197827226795001</v>
      </c>
      <c r="Q247">
        <v>-11.254211487581999</v>
      </c>
    </row>
    <row r="248" spans="2:17">
      <c r="B248" t="s">
        <v>269</v>
      </c>
      <c r="D248" t="s">
        <v>568</v>
      </c>
      <c r="F248">
        <v>-3.2719999999999998</v>
      </c>
      <c r="G248">
        <v>-21.609000000000002</v>
      </c>
      <c r="H248">
        <v>-0.39200000000000002</v>
      </c>
      <c r="I248">
        <v>0</v>
      </c>
      <c r="J248">
        <v>0</v>
      </c>
      <c r="K248">
        <v>0</v>
      </c>
      <c r="L248">
        <v>0</v>
      </c>
      <c r="M248">
        <v>0</v>
      </c>
      <c r="N248">
        <v>0</v>
      </c>
      <c r="O248">
        <v>0</v>
      </c>
      <c r="P248">
        <v>0</v>
      </c>
      <c r="Q248">
        <v>0</v>
      </c>
    </row>
    <row r="249" spans="2:17">
      <c r="B249" t="s">
        <v>270</v>
      </c>
      <c r="D249" t="s">
        <v>568</v>
      </c>
      <c r="F249">
        <v>0.161</v>
      </c>
      <c r="G249">
        <v>8.4600000000000009</v>
      </c>
      <c r="H249">
        <v>7.4009999999999998</v>
      </c>
      <c r="I249">
        <v>1</v>
      </c>
      <c r="J249">
        <v>0.04</v>
      </c>
      <c r="K249">
        <v>8.8999999999999996E-2</v>
      </c>
      <c r="L249">
        <v>2.3E-2</v>
      </c>
      <c r="M249">
        <v>0</v>
      </c>
      <c r="N249">
        <v>0</v>
      </c>
      <c r="O249">
        <v>0</v>
      </c>
      <c r="P249">
        <v>0</v>
      </c>
      <c r="Q249">
        <v>0</v>
      </c>
    </row>
    <row r="250" spans="2:17">
      <c r="B250" t="s">
        <v>271</v>
      </c>
      <c r="D250" t="s">
        <v>568</v>
      </c>
      <c r="F250">
        <v>0</v>
      </c>
      <c r="G250">
        <v>3.2610000000000001</v>
      </c>
      <c r="H250">
        <v>0</v>
      </c>
      <c r="I250">
        <v>2.5999999999999999E-2</v>
      </c>
      <c r="J250">
        <v>0</v>
      </c>
      <c r="K250">
        <v>0</v>
      </c>
      <c r="L250">
        <v>0</v>
      </c>
      <c r="M250">
        <v>0</v>
      </c>
      <c r="N250">
        <v>0</v>
      </c>
      <c r="O250">
        <v>0</v>
      </c>
      <c r="P250">
        <v>0</v>
      </c>
      <c r="Q250">
        <v>0</v>
      </c>
    </row>
    <row r="251" spans="2:17">
      <c r="B251" t="s">
        <v>272</v>
      </c>
      <c r="D251" t="s">
        <v>568</v>
      </c>
      <c r="F251">
        <v>-9.9450000000000003</v>
      </c>
      <c r="G251">
        <v>-18.829000000000001</v>
      </c>
      <c r="H251">
        <v>-1.19</v>
      </c>
      <c r="I251">
        <v>-6.2</v>
      </c>
      <c r="J251">
        <v>-5.5039999999999996</v>
      </c>
      <c r="K251">
        <v>-6.3079999999999998</v>
      </c>
      <c r="L251">
        <v>-5.0190000000000001</v>
      </c>
      <c r="N251">
        <v>-8.0708354054329998</v>
      </c>
      <c r="O251">
        <v>-9.1627902388199995</v>
      </c>
      <c r="P251">
        <v>-10.197827226795001</v>
      </c>
      <c r="Q251">
        <v>-11.254211487581999</v>
      </c>
    </row>
    <row r="252" spans="2:17">
      <c r="B252" t="s">
        <v>273</v>
      </c>
      <c r="D252" t="s">
        <v>568</v>
      </c>
      <c r="F252">
        <v>-10.611000000000001</v>
      </c>
      <c r="G252">
        <v>-2.7149999999999999</v>
      </c>
      <c r="H252">
        <v>-5.016</v>
      </c>
      <c r="I252">
        <v>-7.7220000000000004</v>
      </c>
      <c r="J252">
        <v>-9.6530000000000005</v>
      </c>
      <c r="K252">
        <v>-18.709</v>
      </c>
      <c r="L252">
        <v>-25.369</v>
      </c>
      <c r="M252">
        <v>0</v>
      </c>
      <c r="N252">
        <v>-33.825189146667</v>
      </c>
      <c r="O252">
        <v>-33.824783719999999</v>
      </c>
      <c r="P252">
        <v>-38.378119990000002</v>
      </c>
      <c r="Q252">
        <v>-46.183839310000003</v>
      </c>
    </row>
    <row r="253" spans="2:17">
      <c r="B253" t="s">
        <v>274</v>
      </c>
      <c r="D253" t="s">
        <v>568</v>
      </c>
      <c r="F253">
        <v>0.53200000000000003</v>
      </c>
      <c r="G253">
        <v>0.86899999999999999</v>
      </c>
      <c r="H253">
        <v>0.79700000000000004</v>
      </c>
      <c r="I253">
        <v>0</v>
      </c>
      <c r="J253">
        <v>0</v>
      </c>
      <c r="K253">
        <v>0.84199999999999997</v>
      </c>
      <c r="L253">
        <v>-1.1779999999999999</v>
      </c>
      <c r="M253">
        <v>0</v>
      </c>
      <c r="N253">
        <v>0</v>
      </c>
      <c r="O253">
        <v>0</v>
      </c>
      <c r="P253">
        <v>0</v>
      </c>
      <c r="Q253">
        <v>0</v>
      </c>
    </row>
    <row r="254" spans="2:17">
      <c r="B254" t="s">
        <v>275</v>
      </c>
      <c r="D254" t="s">
        <v>568</v>
      </c>
      <c r="F254">
        <v>-0.30599999999999999</v>
      </c>
      <c r="G254">
        <v>10.922000000000001</v>
      </c>
      <c r="H254">
        <v>-37.94</v>
      </c>
      <c r="I254">
        <v>-10.282999999999999</v>
      </c>
      <c r="J254">
        <v>-35.165999999999997</v>
      </c>
      <c r="K254">
        <v>-4.0350000000000001</v>
      </c>
      <c r="L254">
        <v>5.8390000000000004</v>
      </c>
      <c r="M254">
        <v>0</v>
      </c>
      <c r="N254">
        <v>5.8390000000000004</v>
      </c>
      <c r="O254">
        <v>5.8390000000000004</v>
      </c>
      <c r="P254">
        <v>5.8390000000000004</v>
      </c>
      <c r="Q254">
        <v>5.8390000000000004</v>
      </c>
    </row>
    <row r="255" spans="2:17">
      <c r="B255" t="s">
        <v>276</v>
      </c>
      <c r="D255" t="s">
        <v>568</v>
      </c>
      <c r="F255">
        <v>0</v>
      </c>
      <c r="G255">
        <v>0</v>
      </c>
      <c r="H255">
        <v>0.35599999999999998</v>
      </c>
      <c r="I255">
        <v>1.7000000000000001E-2</v>
      </c>
      <c r="J255">
        <v>7.1999999999999995E-2</v>
      </c>
      <c r="K255">
        <v>-2.8530000000000002</v>
      </c>
      <c r="L255">
        <v>0</v>
      </c>
      <c r="M255">
        <v>0</v>
      </c>
      <c r="N255">
        <v>0</v>
      </c>
      <c r="O255">
        <v>0</v>
      </c>
      <c r="P255">
        <v>0</v>
      </c>
      <c r="Q255">
        <v>0</v>
      </c>
    </row>
    <row r="256" spans="2:17">
      <c r="B256" t="s">
        <v>277</v>
      </c>
      <c r="D256" t="s">
        <v>568</v>
      </c>
      <c r="F256">
        <v>-10.385</v>
      </c>
      <c r="G256">
        <v>9.0760000000000005</v>
      </c>
      <c r="H256">
        <v>-41.802999999999997</v>
      </c>
      <c r="I256">
        <v>-17.988</v>
      </c>
      <c r="J256">
        <v>-44.747</v>
      </c>
      <c r="K256">
        <v>-24.754999999999999</v>
      </c>
      <c r="L256">
        <v>-20.707999999999998</v>
      </c>
      <c r="N256">
        <v>-27.986189146667002</v>
      </c>
      <c r="O256">
        <v>-27.985783720000001</v>
      </c>
      <c r="P256">
        <v>-32.539119990000003</v>
      </c>
      <c r="Q256">
        <v>-40.344839309999998</v>
      </c>
    </row>
    <row r="257" spans="2:17">
      <c r="B257" t="s">
        <v>1527</v>
      </c>
      <c r="D257" t="s">
        <v>568</v>
      </c>
      <c r="F257">
        <v>-1.147</v>
      </c>
      <c r="G257">
        <v>6.4049217238880001</v>
      </c>
      <c r="H257">
        <v>-0.80900000000000005</v>
      </c>
      <c r="I257">
        <v>-7.1230000000000002</v>
      </c>
      <c r="J257">
        <v>0.11</v>
      </c>
      <c r="K257">
        <v>-1.7310000000000001</v>
      </c>
      <c r="L257">
        <v>-5.7000000000000002E-2</v>
      </c>
      <c r="N257">
        <v>0</v>
      </c>
      <c r="O257">
        <v>0</v>
      </c>
      <c r="P257">
        <v>0</v>
      </c>
      <c r="Q257">
        <v>0</v>
      </c>
    </row>
    <row r="258" spans="2:17">
      <c r="B258" t="s">
        <v>278</v>
      </c>
      <c r="D258" t="s">
        <v>568</v>
      </c>
      <c r="F258">
        <v>8.9529999999999994</v>
      </c>
      <c r="G258">
        <v>8.76</v>
      </c>
      <c r="H258">
        <v>-12.395</v>
      </c>
      <c r="I258">
        <v>-3.972</v>
      </c>
      <c r="J258">
        <v>7.2750000000000004</v>
      </c>
      <c r="K258">
        <v>14.202999999999999</v>
      </c>
      <c r="L258">
        <v>25.327000000000002</v>
      </c>
      <c r="N258">
        <v>12.240609925788</v>
      </c>
      <c r="O258">
        <v>7.2156175181049997</v>
      </c>
      <c r="P258">
        <v>11.029746160834</v>
      </c>
      <c r="Q258">
        <v>12.508243490461</v>
      </c>
    </row>
    <row r="259" spans="2:17">
      <c r="B259" t="s">
        <v>88</v>
      </c>
      <c r="D259" t="s">
        <v>568</v>
      </c>
      <c r="F259">
        <v>349.90499999999997</v>
      </c>
      <c r="G259">
        <v>371.27687362485102</v>
      </c>
      <c r="H259">
        <v>410.264435663732</v>
      </c>
      <c r="I259">
        <v>431.94099999999997</v>
      </c>
      <c r="J259">
        <v>394.38</v>
      </c>
      <c r="K259">
        <v>393.589</v>
      </c>
      <c r="L259">
        <v>427.94</v>
      </c>
      <c r="N259">
        <v>474.75502384900398</v>
      </c>
      <c r="O259">
        <v>538.98766110707004</v>
      </c>
      <c r="P259">
        <v>599.87218981149101</v>
      </c>
      <c r="Q259">
        <v>662.01244044601503</v>
      </c>
    </row>
    <row r="260" spans="2:17">
      <c r="B260" t="s">
        <v>89</v>
      </c>
      <c r="D260" t="s">
        <v>568</v>
      </c>
      <c r="F260">
        <v>-312.24299999999999</v>
      </c>
      <c r="G260">
        <v>-338.83279534873799</v>
      </c>
      <c r="H260">
        <v>-372.87217335141099</v>
      </c>
      <c r="I260">
        <v>-400.37700000000001</v>
      </c>
      <c r="J260">
        <v>-345.505</v>
      </c>
      <c r="K260">
        <v>-336.21499999999997</v>
      </c>
      <c r="L260">
        <v>-355.47300000000001</v>
      </c>
      <c r="N260">
        <v>-396.94272216678098</v>
      </c>
      <c r="O260">
        <v>-461.19687688349802</v>
      </c>
      <c r="P260">
        <v>-509.60809013346</v>
      </c>
      <c r="Q260">
        <v>-556.99775771629004</v>
      </c>
    </row>
    <row r="261" spans="2:17">
      <c r="B261" t="s">
        <v>90</v>
      </c>
      <c r="D261" t="s">
        <v>568</v>
      </c>
      <c r="F261">
        <v>0</v>
      </c>
      <c r="G261">
        <v>0.33700000000000002</v>
      </c>
      <c r="H261">
        <v>0.64800000000000002</v>
      </c>
      <c r="I261">
        <v>0.32900000000000001</v>
      </c>
      <c r="J261">
        <v>0.154</v>
      </c>
      <c r="K261">
        <v>0.58199999999999996</v>
      </c>
      <c r="L261">
        <v>1.085</v>
      </c>
      <c r="N261">
        <v>1.085</v>
      </c>
      <c r="O261">
        <v>0.88400159554699997</v>
      </c>
      <c r="P261">
        <v>0.66659864663400004</v>
      </c>
      <c r="Q261">
        <v>0.97804341628400004</v>
      </c>
    </row>
    <row r="262" spans="2:17">
      <c r="B262" t="s">
        <v>279</v>
      </c>
      <c r="D262" t="s">
        <v>568</v>
      </c>
      <c r="F262">
        <v>3.6280000000000001</v>
      </c>
      <c r="G262">
        <v>-10.409000000000001</v>
      </c>
      <c r="H262">
        <v>-2.431262312321</v>
      </c>
      <c r="I262">
        <v>2.2869999999999999</v>
      </c>
      <c r="J262">
        <v>18.687999999999999</v>
      </c>
      <c r="K262">
        <v>-3.6320000000000001</v>
      </c>
      <c r="L262">
        <v>-6.8559999999999999</v>
      </c>
      <c r="N262">
        <v>-7.821393057691</v>
      </c>
      <c r="O262">
        <v>-10.731356342951001</v>
      </c>
      <c r="P262">
        <v>-10.171987344608</v>
      </c>
      <c r="Q262">
        <v>-10.381780995853999</v>
      </c>
    </row>
    <row r="263" spans="2:17">
      <c r="B263" t="s">
        <v>280</v>
      </c>
      <c r="D263" t="s">
        <v>568</v>
      </c>
      <c r="F263">
        <v>0.25034347157199999</v>
      </c>
      <c r="G263">
        <v>9.7407132245E-2</v>
      </c>
      <c r="H263">
        <v>0.24808840721700001</v>
      </c>
      <c r="I263">
        <v>0.21108751881999999</v>
      </c>
      <c r="J263">
        <v>0.44331544608700002</v>
      </c>
      <c r="K263">
        <v>0.36238790318199998</v>
      </c>
      <c r="L263">
        <v>0.39292880370900002</v>
      </c>
      <c r="N263">
        <v>0.37124359925400002</v>
      </c>
      <c r="O263">
        <v>0.34101296491600003</v>
      </c>
      <c r="P263">
        <v>0.413286908023</v>
      </c>
      <c r="Q263">
        <v>0.492771710024</v>
      </c>
    </row>
    <row r="264" spans="2:17">
      <c r="B264" t="s">
        <v>64</v>
      </c>
      <c r="D264" t="s">
        <v>568</v>
      </c>
    </row>
    <row r="265" spans="2:17">
      <c r="B265" t="s">
        <v>98</v>
      </c>
      <c r="D265" t="s">
        <v>568</v>
      </c>
      <c r="F265">
        <v>-3.2719999999999998</v>
      </c>
      <c r="G265">
        <v>-21.609000000000002</v>
      </c>
      <c r="H265">
        <v>-0.39200000000000002</v>
      </c>
      <c r="I265">
        <v>0</v>
      </c>
      <c r="J265">
        <v>0</v>
      </c>
      <c r="K265">
        <v>0</v>
      </c>
      <c r="L265">
        <v>0</v>
      </c>
      <c r="N265">
        <v>0</v>
      </c>
      <c r="O265">
        <v>0</v>
      </c>
      <c r="P265">
        <v>0</v>
      </c>
      <c r="Q265">
        <v>0</v>
      </c>
    </row>
    <row r="266" spans="2:17">
      <c r="B266" t="s">
        <v>97</v>
      </c>
      <c r="D266" t="s">
        <v>568</v>
      </c>
      <c r="F266">
        <v>0.161</v>
      </c>
      <c r="G266">
        <v>8.4600000000000009</v>
      </c>
      <c r="H266">
        <v>7.4009999999999998</v>
      </c>
      <c r="I266">
        <v>1</v>
      </c>
      <c r="J266">
        <v>0.04</v>
      </c>
      <c r="K266">
        <v>8.8999999999999996E-2</v>
      </c>
      <c r="L266">
        <v>2.3E-2</v>
      </c>
      <c r="N266">
        <v>0</v>
      </c>
      <c r="O266">
        <v>0</v>
      </c>
      <c r="P266">
        <v>0</v>
      </c>
      <c r="Q266">
        <v>0</v>
      </c>
    </row>
    <row r="267" spans="2:17">
      <c r="B267" t="s">
        <v>62</v>
      </c>
      <c r="D267" t="s">
        <v>568</v>
      </c>
    </row>
    <row r="268" spans="2:17">
      <c r="B268" t="s">
        <v>63</v>
      </c>
      <c r="D268" t="s">
        <v>568</v>
      </c>
    </row>
    <row r="269" spans="2:17">
      <c r="B269" t="s">
        <v>99</v>
      </c>
      <c r="D269" t="s">
        <v>568</v>
      </c>
    </row>
    <row r="270" spans="2:17">
      <c r="B270" t="s">
        <v>100</v>
      </c>
      <c r="D270" t="s">
        <v>568</v>
      </c>
    </row>
    <row r="271" spans="2:17">
      <c r="B271" t="s">
        <v>281</v>
      </c>
      <c r="D271" t="s">
        <v>568</v>
      </c>
      <c r="F271">
        <v>0</v>
      </c>
      <c r="G271">
        <v>3.2610000000000001</v>
      </c>
      <c r="H271">
        <v>0</v>
      </c>
      <c r="I271">
        <v>2.5999999999999999E-2</v>
      </c>
      <c r="J271">
        <v>0</v>
      </c>
      <c r="K271">
        <v>0</v>
      </c>
      <c r="L271">
        <v>0</v>
      </c>
      <c r="N271">
        <v>0</v>
      </c>
      <c r="O271">
        <v>0</v>
      </c>
      <c r="P271">
        <v>0</v>
      </c>
      <c r="Q271">
        <v>0</v>
      </c>
    </row>
    <row r="272" spans="2:17">
      <c r="B272" t="s">
        <v>108</v>
      </c>
      <c r="D272" t="s">
        <v>568</v>
      </c>
    </row>
    <row r="273" spans="2:17">
      <c r="B273" t="s">
        <v>109</v>
      </c>
      <c r="D273" t="s">
        <v>568</v>
      </c>
    </row>
    <row r="274" spans="2:17">
      <c r="B274" t="s">
        <v>282</v>
      </c>
      <c r="D274" t="s">
        <v>568</v>
      </c>
    </row>
    <row r="275" spans="2:17">
      <c r="B275" t="s">
        <v>283</v>
      </c>
      <c r="D275" t="s">
        <v>568</v>
      </c>
      <c r="F275">
        <v>0</v>
      </c>
      <c r="G275">
        <v>0</v>
      </c>
      <c r="H275">
        <v>7.0000000000000001E-3</v>
      </c>
      <c r="I275">
        <v>0</v>
      </c>
      <c r="J275">
        <v>0</v>
      </c>
      <c r="K275">
        <v>0</v>
      </c>
      <c r="L275">
        <v>0</v>
      </c>
      <c r="N275">
        <v>0</v>
      </c>
      <c r="O275">
        <v>0</v>
      </c>
      <c r="P275">
        <v>0</v>
      </c>
      <c r="Q275">
        <v>0</v>
      </c>
    </row>
    <row r="276" spans="2:17">
      <c r="B276" t="s">
        <v>284</v>
      </c>
      <c r="D276" t="s">
        <v>568</v>
      </c>
    </row>
    <row r="277" spans="2:17">
      <c r="B277" t="s">
        <v>285</v>
      </c>
      <c r="D277" t="s">
        <v>568</v>
      </c>
      <c r="F277">
        <v>2.4941</v>
      </c>
      <c r="G277">
        <v>3.1114999999999999</v>
      </c>
      <c r="H277">
        <v>3.4481999999999999</v>
      </c>
      <c r="I277">
        <v>3.1976</v>
      </c>
      <c r="J277">
        <v>3.3788999999999998</v>
      </c>
      <c r="K277">
        <v>3.5455000000000001</v>
      </c>
      <c r="L277">
        <v>4.6291000000000002</v>
      </c>
      <c r="M277">
        <v>0</v>
      </c>
      <c r="N277">
        <v>5.1355061010879997</v>
      </c>
      <c r="O277">
        <v>5.8303214984130003</v>
      </c>
      <c r="P277">
        <v>6.4889198342209999</v>
      </c>
      <c r="Q277">
        <v>7.1611015284119999</v>
      </c>
    </row>
    <row r="278" spans="2:17">
      <c r="B278" t="s">
        <v>286</v>
      </c>
      <c r="D278" t="s">
        <v>568</v>
      </c>
      <c r="F278">
        <v>-4.2350000000000003</v>
      </c>
      <c r="G278">
        <v>-4.7519999999999998</v>
      </c>
      <c r="H278">
        <v>-5.3239999999999998</v>
      </c>
      <c r="I278">
        <v>-5.6070000000000002</v>
      </c>
      <c r="J278">
        <v>-4.3179999999999996</v>
      </c>
      <c r="K278">
        <v>-2.1230000000000002</v>
      </c>
      <c r="L278">
        <v>-0.91300000000000003</v>
      </c>
      <c r="N278">
        <v>-0.19376499999999999</v>
      </c>
      <c r="O278">
        <v>-0.39476340445300001</v>
      </c>
      <c r="P278">
        <v>-0.612166353366</v>
      </c>
      <c r="Q278">
        <v>-0.300721583716</v>
      </c>
    </row>
    <row r="279" spans="2:17">
      <c r="B279" t="s">
        <v>287</v>
      </c>
      <c r="D279" t="s">
        <v>568</v>
      </c>
      <c r="F279">
        <v>-6.625</v>
      </c>
      <c r="G279">
        <v>-5.1749999999999998</v>
      </c>
      <c r="H279">
        <v>1.7629999999999999</v>
      </c>
      <c r="I279">
        <v>-0.90500000000000003</v>
      </c>
      <c r="J279">
        <v>-5.8289999999999997</v>
      </c>
      <c r="K279">
        <v>-4.6219999999999999</v>
      </c>
      <c r="L279">
        <v>-13.587</v>
      </c>
      <c r="N279">
        <v>-21.499509146645</v>
      </c>
      <c r="O279">
        <v>-22.300472999242999</v>
      </c>
      <c r="P279">
        <v>-25.713252602428</v>
      </c>
      <c r="Q279">
        <v>-30.22488586211</v>
      </c>
    </row>
    <row r="280" spans="2:17">
      <c r="B280" t="s">
        <v>288</v>
      </c>
      <c r="D280" t="s">
        <v>568</v>
      </c>
      <c r="F280">
        <v>0</v>
      </c>
      <c r="G280">
        <v>0</v>
      </c>
      <c r="H280">
        <v>0</v>
      </c>
      <c r="I280">
        <v>0</v>
      </c>
      <c r="J280">
        <v>0</v>
      </c>
      <c r="K280">
        <v>0</v>
      </c>
      <c r="L280">
        <v>0</v>
      </c>
      <c r="N280">
        <v>0</v>
      </c>
      <c r="O280">
        <v>0</v>
      </c>
      <c r="P280">
        <v>0</v>
      </c>
      <c r="Q280">
        <v>0</v>
      </c>
    </row>
    <row r="281" spans="2:17">
      <c r="B281" t="s">
        <v>289</v>
      </c>
      <c r="D281" t="s">
        <v>568</v>
      </c>
      <c r="F281">
        <v>-2.8980000000000001</v>
      </c>
      <c r="G281">
        <v>-4.7009999999999996</v>
      </c>
      <c r="H281">
        <v>-2.7170000000000001</v>
      </c>
      <c r="I281">
        <v>-1.83</v>
      </c>
      <c r="J281">
        <v>-2.1070000000000002</v>
      </c>
      <c r="K281">
        <v>-0.46100000000000002</v>
      </c>
      <c r="L281">
        <v>-0.745</v>
      </c>
      <c r="N281">
        <v>-8.0708354054329998</v>
      </c>
      <c r="O281">
        <v>-9.1627902388199995</v>
      </c>
      <c r="P281">
        <v>-10.197827226795001</v>
      </c>
      <c r="Q281">
        <v>-11.254211487581999</v>
      </c>
    </row>
    <row r="282" spans="2:17">
      <c r="B282" t="s">
        <v>290</v>
      </c>
      <c r="D282" t="s">
        <v>568</v>
      </c>
      <c r="F282">
        <v>-3.9359999999999999</v>
      </c>
      <c r="G282">
        <v>-4.24</v>
      </c>
      <c r="H282">
        <v>-5.4820000000000002</v>
      </c>
      <c r="I282">
        <v>-5.3959999999999999</v>
      </c>
      <c r="J282">
        <v>-3.4369999999999998</v>
      </c>
      <c r="K282">
        <v>-5.9359999999999999</v>
      </c>
      <c r="L282">
        <v>-4.2969999999999997</v>
      </c>
      <c r="N282">
        <v>0</v>
      </c>
      <c r="O282">
        <v>0</v>
      </c>
      <c r="P282">
        <v>0</v>
      </c>
      <c r="Q282">
        <v>0</v>
      </c>
    </row>
    <row r="283" spans="2:17">
      <c r="B283" t="s">
        <v>291</v>
      </c>
      <c r="D283" t="s">
        <v>568</v>
      </c>
    </row>
    <row r="284" spans="2:17">
      <c r="B284" t="s">
        <v>292</v>
      </c>
      <c r="D284" t="s">
        <v>568</v>
      </c>
    </row>
    <row r="285" spans="2:17">
      <c r="B285" t="s">
        <v>293</v>
      </c>
      <c r="D285" t="s">
        <v>568</v>
      </c>
    </row>
    <row r="286" spans="2:17">
      <c r="B286" t="s">
        <v>294</v>
      </c>
      <c r="D286" t="s">
        <v>568</v>
      </c>
      <c r="E286">
        <v>1.3</v>
      </c>
    </row>
    <row r="287" spans="2:17">
      <c r="B287" t="s">
        <v>295</v>
      </c>
      <c r="D287" t="s">
        <v>568</v>
      </c>
      <c r="E287">
        <v>0.06</v>
      </c>
    </row>
    <row r="288" spans="2:17">
      <c r="B288" t="s">
        <v>296</v>
      </c>
      <c r="D288" t="s">
        <v>568</v>
      </c>
      <c r="E288">
        <v>6.5000000000000002E-2</v>
      </c>
    </row>
    <row r="289" spans="2:17">
      <c r="B289" t="s">
        <v>1496</v>
      </c>
      <c r="D289" t="s">
        <v>568</v>
      </c>
      <c r="E289" t="s">
        <v>568</v>
      </c>
    </row>
    <row r="290" spans="2:17">
      <c r="B290" t="s">
        <v>1497</v>
      </c>
      <c r="D290" t="s">
        <v>568</v>
      </c>
      <c r="E290" t="s">
        <v>568</v>
      </c>
    </row>
    <row r="291" spans="2:17">
      <c r="B291" t="s">
        <v>1498</v>
      </c>
      <c r="D291" t="s">
        <v>568</v>
      </c>
      <c r="E291" t="s">
        <v>568</v>
      </c>
    </row>
    <row r="292" spans="2:17">
      <c r="B292" t="s">
        <v>297</v>
      </c>
      <c r="D292" t="s">
        <v>568</v>
      </c>
      <c r="F292">
        <v>10.050000000000001</v>
      </c>
      <c r="G292">
        <v>8.2059999999999995</v>
      </c>
      <c r="H292">
        <v>4.9000000000000002E-2</v>
      </c>
      <c r="I292">
        <v>4.9000000000000002E-2</v>
      </c>
      <c r="J292">
        <v>4.9000000000000002E-2</v>
      </c>
      <c r="K292">
        <v>1.526</v>
      </c>
      <c r="L292">
        <v>1.6739999999999999</v>
      </c>
      <c r="N292">
        <v>1.6739999999999999</v>
      </c>
      <c r="O292">
        <v>1.6739999999999999</v>
      </c>
      <c r="P292">
        <v>1.6739999999999999</v>
      </c>
      <c r="Q292">
        <v>1.6739999999999999</v>
      </c>
    </row>
    <row r="293" spans="2:17">
      <c r="B293" t="s">
        <v>298</v>
      </c>
      <c r="D293" t="s">
        <v>568</v>
      </c>
      <c r="F293">
        <v>0</v>
      </c>
      <c r="G293">
        <v>0</v>
      </c>
      <c r="H293">
        <v>0</v>
      </c>
      <c r="I293">
        <v>0</v>
      </c>
      <c r="J293">
        <v>0</v>
      </c>
      <c r="K293">
        <v>0</v>
      </c>
      <c r="L293">
        <v>0</v>
      </c>
      <c r="M293">
        <v>0</v>
      </c>
      <c r="N293">
        <v>0</v>
      </c>
      <c r="O293">
        <v>0</v>
      </c>
      <c r="P293">
        <v>0</v>
      </c>
      <c r="Q293">
        <v>0</v>
      </c>
    </row>
    <row r="294" spans="2:17">
      <c r="B294" t="s">
        <v>299</v>
      </c>
      <c r="D294" t="s">
        <v>568</v>
      </c>
    </row>
    <row r="295" spans="2:17">
      <c r="B295" t="s">
        <v>300</v>
      </c>
      <c r="D295" t="s">
        <v>568</v>
      </c>
    </row>
    <row r="296" spans="2:17">
      <c r="B296" t="s">
        <v>301</v>
      </c>
      <c r="D296" t="s">
        <v>568</v>
      </c>
    </row>
    <row r="297" spans="2:17">
      <c r="B297" t="s">
        <v>302</v>
      </c>
      <c r="D297" t="s">
        <v>568</v>
      </c>
      <c r="E297">
        <v>0.3</v>
      </c>
    </row>
    <row r="298" spans="2:17">
      <c r="B298" t="s">
        <v>303</v>
      </c>
      <c r="D298" t="s">
        <v>568</v>
      </c>
      <c r="E298">
        <v>5.6000000000000001E-2</v>
      </c>
    </row>
    <row r="299" spans="2:17">
      <c r="B299" t="s">
        <v>304</v>
      </c>
      <c r="D299" t="s">
        <v>568</v>
      </c>
      <c r="E299">
        <v>0.3</v>
      </c>
    </row>
    <row r="300" spans="2:17">
      <c r="B300" t="s">
        <v>305</v>
      </c>
      <c r="D300" t="s">
        <v>568</v>
      </c>
      <c r="E300">
        <v>0.122923076923</v>
      </c>
    </row>
    <row r="301" spans="2:17">
      <c r="B301" t="s">
        <v>306</v>
      </c>
      <c r="D301" t="s">
        <v>568</v>
      </c>
      <c r="F301">
        <v>21.057500000000001</v>
      </c>
      <c r="G301">
        <v>-7.5125217238879998</v>
      </c>
      <c r="H301">
        <v>26.3398</v>
      </c>
      <c r="I301">
        <v>20.854900000000001</v>
      </c>
      <c r="J301">
        <v>50.630600000000001</v>
      </c>
      <c r="K301">
        <v>33.442100000000003</v>
      </c>
      <c r="L301">
        <v>41.633099999999999</v>
      </c>
      <c r="N301">
        <v>40.362434572455001</v>
      </c>
      <c r="O301">
        <v>35.477735621222003</v>
      </c>
      <c r="P301">
        <v>43.997382598191003</v>
      </c>
      <c r="Q301">
        <v>53.063587909063003</v>
      </c>
    </row>
    <row r="302" spans="2:17">
      <c r="B302" t="s">
        <v>490</v>
      </c>
      <c r="D302" t="s">
        <v>568</v>
      </c>
      <c r="F302">
        <v>23.3125</v>
      </c>
      <c r="G302">
        <v>21.001478276112</v>
      </c>
      <c r="H302">
        <v>24.686062312320999</v>
      </c>
      <c r="I302">
        <v>18.2499</v>
      </c>
      <c r="J302">
        <v>30.6676</v>
      </c>
      <c r="K302">
        <v>36.677100000000003</v>
      </c>
      <c r="L302">
        <v>46.621099999999998</v>
      </c>
      <c r="N302">
        <v>48.895960165919</v>
      </c>
      <c r="O302">
        <v>47.017573455833997</v>
      </c>
      <c r="P302">
        <v>55.069178227515003</v>
      </c>
      <c r="Q302">
        <v>64.438387565585998</v>
      </c>
    </row>
    <row r="303" spans="2:17">
      <c r="B303" t="s">
        <v>307</v>
      </c>
      <c r="D303" t="s">
        <v>568</v>
      </c>
      <c r="F303">
        <v>216.642</v>
      </c>
      <c r="G303">
        <v>172.976</v>
      </c>
      <c r="H303">
        <v>161.79900000000001</v>
      </c>
      <c r="I303">
        <v>153.511</v>
      </c>
      <c r="J303">
        <v>135.44999999999999</v>
      </c>
      <c r="K303">
        <v>120.652</v>
      </c>
      <c r="L303">
        <v>124.182</v>
      </c>
      <c r="N303">
        <v>130.61552559346501</v>
      </c>
      <c r="O303">
        <v>142.15536342807701</v>
      </c>
      <c r="P303">
        <v>153.22715905740199</v>
      </c>
      <c r="Q303">
        <v>164.601958713925</v>
      </c>
    </row>
    <row r="304" spans="2:17">
      <c r="B304" t="s">
        <v>308</v>
      </c>
      <c r="D304" t="s">
        <v>568</v>
      </c>
      <c r="F304">
        <v>219.72450000000001</v>
      </c>
      <c r="G304">
        <v>194.809</v>
      </c>
      <c r="H304">
        <v>167.38749999999999</v>
      </c>
      <c r="I304">
        <v>157.655</v>
      </c>
      <c r="J304">
        <v>144.48050000000001</v>
      </c>
      <c r="K304">
        <v>128.05099999999999</v>
      </c>
      <c r="L304">
        <v>122.417</v>
      </c>
      <c r="N304">
        <v>127.398762796732</v>
      </c>
      <c r="O304">
        <v>136.38544451077101</v>
      </c>
      <c r="P304">
        <v>147.69126124273899</v>
      </c>
      <c r="Q304">
        <v>158.91455888566301</v>
      </c>
    </row>
    <row r="305" spans="2:17">
      <c r="B305" t="s">
        <v>309</v>
      </c>
      <c r="D305" t="s">
        <v>568</v>
      </c>
      <c r="F305">
        <v>0.10609877369200001</v>
      </c>
      <c r="G305">
        <v>0.107805482684</v>
      </c>
      <c r="H305">
        <v>0.14747852923499999</v>
      </c>
      <c r="I305">
        <v>0.115758459928</v>
      </c>
      <c r="J305">
        <v>0.212261170193</v>
      </c>
      <c r="K305">
        <v>0.28642572100199998</v>
      </c>
      <c r="L305">
        <v>0.380838445641</v>
      </c>
      <c r="N305">
        <v>0.38380247258700001</v>
      </c>
      <c r="O305">
        <v>0.34474040558000002</v>
      </c>
      <c r="P305">
        <v>0.372866869469</v>
      </c>
      <c r="Q305">
        <v>0.40549077452299997</v>
      </c>
    </row>
    <row r="306" spans="2:17">
      <c r="B306" t="s">
        <v>310</v>
      </c>
      <c r="D306" t="s">
        <v>568</v>
      </c>
      <c r="F306">
        <v>0.23007101927699999</v>
      </c>
      <c r="G306">
        <v>0.27163790903599999</v>
      </c>
      <c r="H306">
        <v>0.32047729277600001</v>
      </c>
      <c r="I306">
        <v>0.35505312068099998</v>
      </c>
      <c r="J306">
        <v>0.32916730057299998</v>
      </c>
      <c r="K306">
        <v>0.315961574129</v>
      </c>
      <c r="L306">
        <v>0.35558489507899999</v>
      </c>
      <c r="N306">
        <v>0.401527777872</v>
      </c>
      <c r="O306">
        <v>0.395623418507</v>
      </c>
      <c r="P306">
        <v>0.42057941419599998</v>
      </c>
      <c r="Q306">
        <v>0.44627844733900002</v>
      </c>
    </row>
    <row r="307" spans="2:17">
      <c r="B307" t="s">
        <v>311</v>
      </c>
      <c r="D307" t="s">
        <v>568</v>
      </c>
    </row>
    <row r="308" spans="2:17">
      <c r="B308" t="s">
        <v>312</v>
      </c>
      <c r="D308" t="s">
        <v>568</v>
      </c>
    </row>
    <row r="309" spans="2:17">
      <c r="B309" t="s">
        <v>313</v>
      </c>
      <c r="D309" t="s">
        <v>568</v>
      </c>
    </row>
    <row r="310" spans="2:17">
      <c r="B310" t="s">
        <v>314</v>
      </c>
      <c r="D310" t="s">
        <v>568</v>
      </c>
    </row>
    <row r="311" spans="2:17">
      <c r="B311" t="s">
        <v>315</v>
      </c>
      <c r="D311" t="s">
        <v>568</v>
      </c>
      <c r="F311">
        <v>8.7626641517000003E-2</v>
      </c>
      <c r="G311">
        <v>0.11154209416700001</v>
      </c>
      <c r="H311">
        <v>0.13426462352499999</v>
      </c>
      <c r="I311">
        <v>8.2680273462999998E-2</v>
      </c>
      <c r="J311">
        <v>8.0004057000999995E-2</v>
      </c>
      <c r="K311">
        <v>0.11229480498699999</v>
      </c>
      <c r="L311">
        <v>0.110475767631</v>
      </c>
      <c r="N311">
        <v>0.10429070335399999</v>
      </c>
      <c r="O311">
        <v>0.142435634408</v>
      </c>
      <c r="P311">
        <v>0.145469475589</v>
      </c>
      <c r="Q311">
        <v>0.14424742391199999</v>
      </c>
    </row>
    <row r="312" spans="2:17">
      <c r="B312" t="s">
        <v>316</v>
      </c>
      <c r="D312" t="s">
        <v>568</v>
      </c>
    </row>
    <row r="313" spans="2:17">
      <c r="B313" t="s">
        <v>317</v>
      </c>
      <c r="D313" t="s">
        <v>568</v>
      </c>
      <c r="F313">
        <v>8.7626641517000003E-2</v>
      </c>
      <c r="G313">
        <v>0.11154209416700001</v>
      </c>
      <c r="H313">
        <v>0.13426462352499999</v>
      </c>
      <c r="I313">
        <v>8.2680273462999998E-2</v>
      </c>
      <c r="J313">
        <v>8.0004057000999995E-2</v>
      </c>
      <c r="K313">
        <v>0.11229480498699999</v>
      </c>
      <c r="L313">
        <v>0.110475767631</v>
      </c>
      <c r="N313">
        <v>0.10429070335399999</v>
      </c>
      <c r="O313">
        <v>0.142435634408</v>
      </c>
      <c r="P313">
        <v>0.145469475589</v>
      </c>
      <c r="Q313">
        <v>0.14424742391199999</v>
      </c>
    </row>
    <row r="314" spans="2:17">
      <c r="B314" t="s">
        <v>318</v>
      </c>
      <c r="D314" t="s">
        <v>568</v>
      </c>
    </row>
    <row r="315" spans="2:17">
      <c r="B315" t="s">
        <v>319</v>
      </c>
      <c r="D315" t="s">
        <v>568</v>
      </c>
    </row>
    <row r="316" spans="2:17">
      <c r="B316" t="s">
        <v>320</v>
      </c>
      <c r="D316" t="s">
        <v>568</v>
      </c>
    </row>
    <row r="317" spans="2:17">
      <c r="B317" t="s">
        <v>321</v>
      </c>
      <c r="D317" t="s">
        <v>568</v>
      </c>
    </row>
    <row r="318" spans="2:17">
      <c r="B318" t="s">
        <v>322</v>
      </c>
      <c r="D318" t="s">
        <v>568</v>
      </c>
    </row>
    <row r="319" spans="2:17">
      <c r="B319" t="s">
        <v>323</v>
      </c>
      <c r="D319" t="s">
        <v>568</v>
      </c>
    </row>
    <row r="320" spans="2:17">
      <c r="B320" t="s">
        <v>324</v>
      </c>
      <c r="D320" t="s">
        <v>568</v>
      </c>
    </row>
    <row r="321" spans="2:17">
      <c r="B321" t="s">
        <v>325</v>
      </c>
      <c r="D321" t="s">
        <v>568</v>
      </c>
    </row>
    <row r="322" spans="2:17">
      <c r="B322" t="s">
        <v>326</v>
      </c>
      <c r="D322" t="s">
        <v>568</v>
      </c>
    </row>
    <row r="323" spans="2:17">
      <c r="B323" t="s">
        <v>327</v>
      </c>
      <c r="D323" t="s">
        <v>568</v>
      </c>
    </row>
    <row r="324" spans="2:17">
      <c r="B324" t="s">
        <v>328</v>
      </c>
      <c r="D324" t="s">
        <v>568</v>
      </c>
    </row>
    <row r="325" spans="2:17">
      <c r="B325" t="s">
        <v>329</v>
      </c>
      <c r="D325" t="s">
        <v>568</v>
      </c>
    </row>
    <row r="326" spans="2:17">
      <c r="B326" t="s">
        <v>330</v>
      </c>
      <c r="D326" t="s">
        <v>568</v>
      </c>
    </row>
    <row r="327" spans="2:17">
      <c r="B327" t="s">
        <v>331</v>
      </c>
      <c r="D327" t="s">
        <v>568</v>
      </c>
    </row>
    <row r="328" spans="2:17">
      <c r="B328" t="s">
        <v>332</v>
      </c>
      <c r="D328" t="s">
        <v>568</v>
      </c>
    </row>
    <row r="329" spans="2:17">
      <c r="B329" t="s">
        <v>333</v>
      </c>
      <c r="D329" t="s">
        <v>568</v>
      </c>
    </row>
    <row r="330" spans="2:17">
      <c r="B330" t="s">
        <v>334</v>
      </c>
      <c r="D330" t="s">
        <v>568</v>
      </c>
    </row>
    <row r="331" spans="2:17">
      <c r="B331" t="s">
        <v>335</v>
      </c>
      <c r="D331" t="s">
        <v>568</v>
      </c>
    </row>
    <row r="332" spans="2:17">
      <c r="B332" t="s">
        <v>336</v>
      </c>
      <c r="D332" t="s">
        <v>568</v>
      </c>
    </row>
    <row r="333" spans="2:17">
      <c r="B333" t="s">
        <v>337</v>
      </c>
      <c r="D333" t="s">
        <v>568</v>
      </c>
    </row>
    <row r="334" spans="2:17">
      <c r="B334" t="s">
        <v>338</v>
      </c>
      <c r="D334" t="s">
        <v>568</v>
      </c>
      <c r="F334">
        <v>0.68230233920600003</v>
      </c>
      <c r="G334">
        <v>0.61681999679699995</v>
      </c>
      <c r="H334">
        <v>0.54525808369899997</v>
      </c>
      <c r="I334">
        <v>0.56226660585599997</v>
      </c>
      <c r="J334">
        <v>0.59082864242599997</v>
      </c>
      <c r="K334">
        <v>0.57174362088399999</v>
      </c>
      <c r="L334">
        <v>0.53393933728999998</v>
      </c>
      <c r="N334">
        <v>0.49418151877400002</v>
      </c>
      <c r="O334">
        <v>0.461940947085</v>
      </c>
      <c r="P334">
        <v>0.43395111021400001</v>
      </c>
      <c r="Q334">
        <v>0.40947412874900002</v>
      </c>
    </row>
    <row r="335" spans="2:17">
      <c r="B335" t="s">
        <v>339</v>
      </c>
      <c r="D335" t="s">
        <v>568</v>
      </c>
    </row>
    <row r="336" spans="2:17">
      <c r="B336" t="s">
        <v>340</v>
      </c>
      <c r="D336" t="s">
        <v>568</v>
      </c>
    </row>
    <row r="337" spans="2:17">
      <c r="B337" t="s">
        <v>341</v>
      </c>
      <c r="D337" t="s">
        <v>568</v>
      </c>
    </row>
    <row r="338" spans="2:17">
      <c r="B338" t="s">
        <v>342</v>
      </c>
      <c r="D338" t="s">
        <v>568</v>
      </c>
    </row>
    <row r="339" spans="2:17">
      <c r="B339" t="s">
        <v>343</v>
      </c>
      <c r="D339" t="s">
        <v>568</v>
      </c>
      <c r="F339">
        <v>0.56272416798799996</v>
      </c>
      <c r="G339">
        <v>0.51836786417900005</v>
      </c>
      <c r="H339">
        <v>0.46662830934999999</v>
      </c>
      <c r="I339">
        <v>0.490680440153</v>
      </c>
      <c r="J339">
        <v>0.52916983619900004</v>
      </c>
      <c r="K339">
        <v>0.51147516825899997</v>
      </c>
      <c r="L339">
        <v>0.471388512408</v>
      </c>
      <c r="N339">
        <v>0.43340356534199997</v>
      </c>
      <c r="O339">
        <v>0.40084135795699999</v>
      </c>
      <c r="P339">
        <v>0.37816551117500002</v>
      </c>
      <c r="Q339">
        <v>0.35980218408699999</v>
      </c>
    </row>
    <row r="340" spans="2:17">
      <c r="B340" t="s">
        <v>344</v>
      </c>
      <c r="D340" t="s">
        <v>568</v>
      </c>
      <c r="F340">
        <v>0.119578171218</v>
      </c>
      <c r="G340">
        <v>9.8452132617999996E-2</v>
      </c>
      <c r="H340">
        <v>7.8629774350000001E-2</v>
      </c>
      <c r="I340">
        <v>7.1586165702999999E-2</v>
      </c>
      <c r="J340">
        <v>6.1658806226999999E-2</v>
      </c>
      <c r="K340">
        <v>6.0268452623999998E-2</v>
      </c>
      <c r="L340">
        <v>6.2550824882000006E-2</v>
      </c>
      <c r="N340">
        <v>6.0777953433E-2</v>
      </c>
      <c r="O340">
        <v>6.1099589129000001E-2</v>
      </c>
      <c r="P340">
        <v>5.5785599039000003E-2</v>
      </c>
      <c r="Q340">
        <v>4.9671944662999998E-2</v>
      </c>
    </row>
    <row r="341" spans="2:17">
      <c r="B341" t="s">
        <v>345</v>
      </c>
      <c r="D341" t="s">
        <v>568</v>
      </c>
    </row>
    <row r="342" spans="2:17">
      <c r="B342" t="s">
        <v>346</v>
      </c>
      <c r="D342" t="s">
        <v>568</v>
      </c>
    </row>
    <row r="343" spans="2:17">
      <c r="B343" t="s">
        <v>347</v>
      </c>
      <c r="D343" t="s">
        <v>568</v>
      </c>
      <c r="F343">
        <v>0.20714285714299999</v>
      </c>
      <c r="G343">
        <v>8.8656359549999994E-2</v>
      </c>
      <c r="H343">
        <v>8.3001956449999997E-2</v>
      </c>
      <c r="I343">
        <v>5.5274910319999997E-3</v>
      </c>
      <c r="J343">
        <v>0.27320749989600002</v>
      </c>
      <c r="K343">
        <v>0.33975257805199999</v>
      </c>
      <c r="L343">
        <v>0.477959434199</v>
      </c>
      <c r="N343">
        <v>0.48026822072000003</v>
      </c>
      <c r="O343">
        <v>0.44459363242200001</v>
      </c>
      <c r="P343">
        <v>0.45731897480200001</v>
      </c>
      <c r="Q343">
        <v>0.49107747554300002</v>
      </c>
    </row>
    <row r="344" spans="2:17">
      <c r="B344" t="s">
        <v>348</v>
      </c>
      <c r="D344" t="s">
        <v>568</v>
      </c>
    </row>
    <row r="345" spans="2:17">
      <c r="B345" t="s">
        <v>349</v>
      </c>
      <c r="D345" t="s">
        <v>568</v>
      </c>
    </row>
    <row r="346" spans="2:17">
      <c r="B346" t="s">
        <v>350</v>
      </c>
      <c r="D346" t="s">
        <v>568</v>
      </c>
    </row>
    <row r="347" spans="2:17">
      <c r="B347" t="s">
        <v>351</v>
      </c>
      <c r="D347" t="s">
        <v>568</v>
      </c>
    </row>
    <row r="348" spans="2:17">
      <c r="B348" t="s">
        <v>352</v>
      </c>
      <c r="D348" t="s">
        <v>568</v>
      </c>
      <c r="F348">
        <v>0.21481792717100001</v>
      </c>
      <c r="G348">
        <v>0.37376474026299999</v>
      </c>
      <c r="H348">
        <v>0.41862886155599999</v>
      </c>
      <c r="I348">
        <v>0.40705761768799997</v>
      </c>
      <c r="J348">
        <v>0.210485655823</v>
      </c>
      <c r="K348">
        <v>0.24037557018899999</v>
      </c>
      <c r="L348">
        <v>0.19158552576499999</v>
      </c>
      <c r="N348">
        <v>0.200471977292</v>
      </c>
      <c r="O348">
        <v>0.22009116004599999</v>
      </c>
      <c r="P348">
        <v>0.237660804753</v>
      </c>
      <c r="Q348">
        <v>0.23342278930099999</v>
      </c>
    </row>
    <row r="349" spans="2:17">
      <c r="B349" t="s">
        <v>353</v>
      </c>
      <c r="D349" t="s">
        <v>568</v>
      </c>
    </row>
    <row r="350" spans="2:17">
      <c r="B350" t="s">
        <v>354</v>
      </c>
      <c r="D350" t="s">
        <v>568</v>
      </c>
    </row>
    <row r="351" spans="2:17">
      <c r="B351" t="s">
        <v>355</v>
      </c>
      <c r="D351" t="s">
        <v>568</v>
      </c>
    </row>
    <row r="352" spans="2:17">
      <c r="B352" t="s">
        <v>356</v>
      </c>
      <c r="D352" t="s">
        <v>568</v>
      </c>
    </row>
    <row r="353" spans="2:4">
      <c r="B353" t="s">
        <v>357</v>
      </c>
      <c r="D353" t="s">
        <v>568</v>
      </c>
    </row>
    <row r="354" spans="2:4">
      <c r="B354" t="s">
        <v>358</v>
      </c>
      <c r="D354" t="s">
        <v>568</v>
      </c>
    </row>
    <row r="355" spans="2:4">
      <c r="B355" t="s">
        <v>359</v>
      </c>
      <c r="D355" t="s">
        <v>568</v>
      </c>
    </row>
    <row r="356" spans="2:4">
      <c r="B356" t="s">
        <v>360</v>
      </c>
      <c r="D356" t="s">
        <v>568</v>
      </c>
    </row>
    <row r="357" spans="2:4">
      <c r="B357" t="s">
        <v>361</v>
      </c>
      <c r="D357" t="s">
        <v>568</v>
      </c>
    </row>
    <row r="358" spans="2:4">
      <c r="B358" t="s">
        <v>362</v>
      </c>
      <c r="D358" t="s">
        <v>568</v>
      </c>
    </row>
    <row r="359" spans="2:4">
      <c r="B359" t="s">
        <v>363</v>
      </c>
      <c r="D359" t="s">
        <v>568</v>
      </c>
    </row>
    <row r="360" spans="2:4">
      <c r="B360" t="s">
        <v>364</v>
      </c>
      <c r="D360" t="s">
        <v>568</v>
      </c>
    </row>
    <row r="361" spans="2:4">
      <c r="B361" t="s">
        <v>365</v>
      </c>
      <c r="D361" t="s">
        <v>568</v>
      </c>
    </row>
    <row r="362" spans="2:4">
      <c r="B362" t="s">
        <v>367</v>
      </c>
      <c r="D362" t="s">
        <v>568</v>
      </c>
    </row>
    <row r="363" spans="2:4">
      <c r="B363" t="s">
        <v>368</v>
      </c>
      <c r="D363" t="s">
        <v>568</v>
      </c>
    </row>
    <row r="364" spans="2:4">
      <c r="B364" t="s">
        <v>369</v>
      </c>
      <c r="D364" t="s">
        <v>568</v>
      </c>
    </row>
    <row r="365" spans="2:4">
      <c r="B365" t="s">
        <v>370</v>
      </c>
      <c r="D365" t="s">
        <v>568</v>
      </c>
    </row>
    <row r="366" spans="2:4">
      <c r="B366" t="s">
        <v>371</v>
      </c>
      <c r="D366" t="s">
        <v>568</v>
      </c>
    </row>
    <row r="367" spans="2:4">
      <c r="B367" t="s">
        <v>372</v>
      </c>
      <c r="D367" t="s">
        <v>568</v>
      </c>
    </row>
    <row r="368" spans="2:4">
      <c r="B368" t="s">
        <v>373</v>
      </c>
      <c r="D368" t="s">
        <v>568</v>
      </c>
    </row>
    <row r="369" spans="2:17">
      <c r="B369" t="s">
        <v>374</v>
      </c>
      <c r="D369" t="s">
        <v>568</v>
      </c>
    </row>
    <row r="370" spans="2:17">
      <c r="B370" t="s">
        <v>375</v>
      </c>
      <c r="D370" t="s">
        <v>568</v>
      </c>
    </row>
    <row r="371" spans="2:17">
      <c r="B371" t="s">
        <v>376</v>
      </c>
      <c r="D371" t="s">
        <v>568</v>
      </c>
      <c r="F371">
        <v>0.57803921568600003</v>
      </c>
      <c r="G371">
        <v>0.53757890018700005</v>
      </c>
      <c r="H371">
        <v>0.49836918199399999</v>
      </c>
      <c r="I371">
        <v>0.58741489128000002</v>
      </c>
      <c r="J371">
        <v>0.51630684428100004</v>
      </c>
      <c r="K371">
        <v>0.41987185176000003</v>
      </c>
      <c r="L371">
        <v>0.33045504003600001</v>
      </c>
      <c r="N371">
        <v>0.31925980198699999</v>
      </c>
      <c r="O371">
        <v>0.335315207532</v>
      </c>
      <c r="P371">
        <v>0.30502022044499999</v>
      </c>
      <c r="Q371">
        <v>0.27549973515600001</v>
      </c>
    </row>
    <row r="372" spans="2:17">
      <c r="B372" t="s">
        <v>377</v>
      </c>
      <c r="D372" t="s">
        <v>568</v>
      </c>
    </row>
    <row r="373" spans="2:17">
      <c r="B373" t="s">
        <v>378</v>
      </c>
      <c r="D373" t="s">
        <v>568</v>
      </c>
    </row>
    <row r="374" spans="2:17">
      <c r="B374" t="s">
        <v>379</v>
      </c>
      <c r="D374" t="s">
        <v>568</v>
      </c>
    </row>
    <row r="375" spans="2:17">
      <c r="B375" t="s">
        <v>380</v>
      </c>
      <c r="D375" t="s">
        <v>568</v>
      </c>
    </row>
    <row r="376" spans="2:17">
      <c r="B376" t="s">
        <v>381</v>
      </c>
      <c r="D376" t="s">
        <v>568</v>
      </c>
      <c r="F376">
        <v>0.48739495798299998</v>
      </c>
      <c r="G376">
        <v>0.45679624174299999</v>
      </c>
      <c r="H376">
        <v>0.42813888800299998</v>
      </c>
      <c r="I376">
        <v>0.54612343509799999</v>
      </c>
      <c r="J376">
        <v>0.46901490792200001</v>
      </c>
      <c r="K376">
        <v>0.372162368435</v>
      </c>
      <c r="L376">
        <v>0.28080796808300001</v>
      </c>
      <c r="N376">
        <v>0.267728007893</v>
      </c>
      <c r="O376">
        <v>0.27308982768000001</v>
      </c>
      <c r="P376">
        <v>0.249290012625</v>
      </c>
      <c r="Q376">
        <v>0.22823647476200001</v>
      </c>
    </row>
    <row r="377" spans="2:17">
      <c r="B377" t="s">
        <v>382</v>
      </c>
      <c r="D377" t="s">
        <v>568</v>
      </c>
      <c r="F377">
        <v>9.0644257702999997E-2</v>
      </c>
      <c r="G377">
        <v>8.0782658443999997E-2</v>
      </c>
      <c r="H377">
        <v>7.0230293991000003E-2</v>
      </c>
      <c r="I377">
        <v>4.1291456183000001E-2</v>
      </c>
      <c r="J377">
        <v>4.7291936359000003E-2</v>
      </c>
      <c r="K377">
        <v>4.7709483325000003E-2</v>
      </c>
      <c r="L377">
        <v>4.9647071952999999E-2</v>
      </c>
      <c r="N377">
        <v>5.1531794095E-2</v>
      </c>
      <c r="O377">
        <v>6.2225379852000003E-2</v>
      </c>
      <c r="P377">
        <v>5.5730207820000002E-2</v>
      </c>
      <c r="Q377">
        <v>4.7263260393000002E-2</v>
      </c>
    </row>
    <row r="378" spans="2:17">
      <c r="B378" t="s">
        <v>383</v>
      </c>
      <c r="D378" t="s">
        <v>568</v>
      </c>
    </row>
    <row r="379" spans="2:17">
      <c r="B379" t="s">
        <v>384</v>
      </c>
      <c r="D379" t="s">
        <v>568</v>
      </c>
    </row>
    <row r="380" spans="2:17">
      <c r="B380" t="s">
        <v>385</v>
      </c>
      <c r="D380" t="s">
        <v>568</v>
      </c>
    </row>
    <row r="381" spans="2:17">
      <c r="B381" t="s">
        <v>386</v>
      </c>
      <c r="D381" t="s">
        <v>568</v>
      </c>
    </row>
    <row r="382" spans="2:17">
      <c r="B382" t="s">
        <v>387</v>
      </c>
      <c r="D382" t="s">
        <v>568</v>
      </c>
    </row>
    <row r="383" spans="2:17">
      <c r="B383" t="s">
        <v>388</v>
      </c>
      <c r="D383" t="s">
        <v>568</v>
      </c>
    </row>
    <row r="384" spans="2:17">
      <c r="B384" t="s">
        <v>389</v>
      </c>
      <c r="D384" t="s">
        <v>568</v>
      </c>
    </row>
    <row r="385" spans="2:4">
      <c r="B385" t="s">
        <v>390</v>
      </c>
      <c r="D385" t="s">
        <v>568</v>
      </c>
    </row>
  </sheetData>
  <pageMargins left="0.7" right="0.7" top="0.75" bottom="0.75" header="0.3" footer="0.3"/>
  <pageSetup paperSize="9" orientation="portrait" r:id="rId1"/>
  <customProperties>
    <customPr name="LIVENUMBERS" r:id="rId2"/>
    <customPr name="Password" r:id="rId3"/>
    <customPr name="REORDER" r:id="rId4"/>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3"/>
  <sheetViews>
    <sheetView tabSelected="1" workbookViewId="0">
      <selection activeCell="F12" sqref="F12"/>
    </sheetView>
  </sheetViews>
  <sheetFormatPr defaultColWidth="0" defaultRowHeight="18" customHeight="1" zeroHeight="1"/>
  <cols>
    <col min="1" max="1" width="2.5703125" style="536" customWidth="1"/>
    <col min="2" max="2" width="61.140625" style="536" bestFit="1" customWidth="1"/>
    <col min="3" max="3" width="18.42578125" style="536" customWidth="1"/>
    <col min="4" max="9" width="9.140625" style="536" customWidth="1"/>
    <col min="10" max="10" width="2.5703125" style="536" customWidth="1"/>
    <col min="11" max="21" width="9.140625" style="536" hidden="1" customWidth="1"/>
    <col min="22" max="16384" width="9.140625" style="536" hidden="1"/>
  </cols>
  <sheetData>
    <row r="1" spans="2:9" ht="5.0999999999999996" customHeight="1"/>
    <row r="2" spans="2:9" ht="18" customHeight="1"/>
    <row r="3" spans="2:9" ht="18" customHeight="1"/>
    <row r="4" spans="2:9" ht="18" customHeight="1">
      <c r="B4" s="537" t="s">
        <v>1721</v>
      </c>
    </row>
    <row r="5" spans="2:9" ht="5.0999999999999996" customHeight="1"/>
    <row r="6" spans="2:9" ht="18" customHeight="1">
      <c r="B6" s="1198" t="s">
        <v>1724</v>
      </c>
      <c r="C6" s="1198"/>
      <c r="D6" s="1198"/>
      <c r="E6" s="1198"/>
      <c r="F6" s="1198"/>
      <c r="G6" s="1198"/>
      <c r="H6" s="1198"/>
      <c r="I6" s="1198"/>
    </row>
    <row r="7" spans="2:9" ht="18" customHeight="1">
      <c r="B7" s="538" t="s">
        <v>1604</v>
      </c>
      <c r="C7" s="539" t="s">
        <v>1603</v>
      </c>
    </row>
    <row r="8" spans="2:9" ht="18" customHeight="1">
      <c r="B8" s="538" t="s">
        <v>1722</v>
      </c>
      <c r="C8" s="629" t="str">
        <f>"A$"&amp;ROUND(Valuation!I30,2)&amp;"/ 12 Month/ "&amp;ROUND(Valuation!I32*100,1)&amp;"%"</f>
        <v>A$37.6/ 12 Month/ 10.6%</v>
      </c>
    </row>
    <row r="9" spans="2:9" ht="18" customHeight="1">
      <c r="B9" s="538" t="s">
        <v>1582</v>
      </c>
      <c r="C9" s="540">
        <v>2</v>
      </c>
    </row>
    <row r="10" spans="2:9" ht="18" customHeight="1">
      <c r="B10" s="538" t="s">
        <v>1723</v>
      </c>
      <c r="C10" s="541"/>
    </row>
    <row r="11" spans="2:9" ht="18" customHeight="1">
      <c r="B11" s="538" t="s">
        <v>1605</v>
      </c>
      <c r="C11" s="541">
        <f>MODEL!V220</f>
        <v>142.78136499999999</v>
      </c>
    </row>
    <row r="12" spans="2:9" ht="18" customHeight="1">
      <c r="B12" s="538" t="s">
        <v>1606</v>
      </c>
      <c r="C12" s="539" t="s">
        <v>568</v>
      </c>
    </row>
    <row r="13" spans="2:9" ht="18" customHeight="1">
      <c r="B13" s="538" t="s">
        <v>1607</v>
      </c>
      <c r="C13" s="539"/>
    </row>
    <row r="14" spans="2:9" ht="18" customHeight="1">
      <c r="B14" s="538" t="s">
        <v>1608</v>
      </c>
      <c r="C14" s="539"/>
    </row>
    <row r="15" spans="2:9" ht="5.0999999999999996" customHeight="1"/>
    <row r="16" spans="2:9" ht="18" customHeight="1">
      <c r="B16" s="1198" t="s">
        <v>1609</v>
      </c>
      <c r="C16" s="1198"/>
      <c r="D16" s="1198"/>
      <c r="E16" s="1198"/>
      <c r="F16" s="1198"/>
      <c r="G16" s="1198"/>
      <c r="H16" s="1198"/>
      <c r="I16" s="1198"/>
    </row>
    <row r="17" spans="2:2" ht="18" customHeight="1">
      <c r="B17" s="542" t="s">
        <v>2007</v>
      </c>
    </row>
    <row r="18" spans="2:2" ht="18" customHeight="1">
      <c r="B18" s="543" t="s">
        <v>1842</v>
      </c>
    </row>
    <row r="19" spans="2:2" ht="18" customHeight="1">
      <c r="B19" s="542" t="s">
        <v>1904</v>
      </c>
    </row>
    <row r="20" spans="2:2" ht="18" customHeight="1">
      <c r="B20" s="543" t="s">
        <v>1905</v>
      </c>
    </row>
    <row r="21" spans="2:2" ht="18" customHeight="1"/>
    <row r="22" spans="2:2" ht="18" customHeight="1"/>
    <row r="23" spans="2:2" ht="18" customHeight="1"/>
  </sheetData>
  <protectedRanges>
    <protectedRange password="EFD2" sqref="C18:E18 D19:E20 C8:E14 D15:E16 C21:E22" name="Cover_2_1"/>
    <protectedRange password="EFD2" sqref="C15:C16" name="Cover_2_1_1"/>
    <protectedRange password="EFD2" sqref="B17 B19" name="Cover_2_1_1_1_1_1_1"/>
  </protectedRanges>
  <mergeCells count="2">
    <mergeCell ref="B6:I6"/>
    <mergeCell ref="B16:I16"/>
  </mergeCells>
  <dataValidations count="1">
    <dataValidation type="list" allowBlank="1" showInputMessage="1" showErrorMessage="1" sqref="C7" xr:uid="{00000000-0002-0000-0700-000000000000}">
      <formula1>"Buy, Sell, Neutral, Not Rated, Rating Suspended"</formula1>
    </dataValidation>
  </dataValidations>
  <pageMargins left="0.7" right="0.7" top="0.75" bottom="0.75" header="0.3" footer="0.3"/>
  <pageSetup paperSize="9" orientation="portrait" horizontalDpi="300" verticalDpi="300" r:id="rId1"/>
  <customProperties>
    <customPr name="Qube.Worksheet.ID" r:id="rId2"/>
    <customPr name="Qube.Worksheet.Visibility"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1"/>
  <sheetViews>
    <sheetView workbookViewId="0"/>
  </sheetViews>
  <sheetFormatPr defaultRowHeight="12.75"/>
  <sheetData/>
  <pageMargins left="0.7" right="0.7" top="0.75" bottom="0.75" header="0.3" footer="0.3"/>
  <pageSetup paperSize="9" orientation="portrait" horizontalDpi="300" verticalDpi="300" r:id="rId1"/>
  <customProperties>
    <customPr name="Qube.Worksheet.Visibility"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F1:Q1"/>
  <sheetViews>
    <sheetView workbookViewId="0"/>
  </sheetViews>
  <sheetFormatPr defaultRowHeight="12.75"/>
  <cols>
    <col min="6" max="17" width="10.140625" style="177" bestFit="1" customWidth="1"/>
  </cols>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J261"/>
  <sheetViews>
    <sheetView topLeftCell="A3" workbookViewId="0"/>
  </sheetViews>
  <sheetFormatPr defaultColWidth="9.140625" defaultRowHeight="11.25"/>
  <cols>
    <col min="1" max="1" width="0.7109375" style="250" customWidth="1"/>
    <col min="2" max="2" width="23.7109375" style="183" customWidth="1"/>
    <col min="3" max="3" width="6.85546875" style="183" customWidth="1"/>
    <col min="4" max="7" width="8.7109375" style="183" customWidth="1"/>
    <col min="8" max="8" width="2.7109375" style="183" customWidth="1"/>
    <col min="9" max="9" width="23.7109375" style="183" customWidth="1"/>
    <col min="10" max="10" width="6.85546875" style="183" customWidth="1"/>
    <col min="11" max="14" width="8.7109375" style="183" customWidth="1"/>
    <col min="15" max="15" width="19.140625" style="183" customWidth="1"/>
    <col min="16" max="16" width="0.85546875" style="181" customWidth="1"/>
    <col min="17" max="17" width="9.140625" style="183"/>
    <col min="18" max="18" width="23.85546875" style="183" customWidth="1"/>
    <col min="19" max="19" width="9.7109375" style="183" customWidth="1"/>
    <col min="20" max="24" width="10.28515625" style="183" customWidth="1"/>
    <col min="25" max="26" width="9.140625" style="183"/>
    <col min="27" max="27" width="14.140625" style="183" customWidth="1"/>
    <col min="28" max="36" width="9.140625" style="183"/>
    <col min="37" max="37" width="18.5703125" style="183" customWidth="1"/>
    <col min="38" max="16384" width="9.140625" style="183"/>
  </cols>
  <sheetData>
    <row r="1" spans="1:39" s="181" customFormat="1" ht="44.25" hidden="1" customHeight="1">
      <c r="A1" s="250"/>
      <c r="B1" s="184"/>
      <c r="C1" s="183"/>
      <c r="D1" s="251"/>
      <c r="E1" s="251"/>
      <c r="F1" s="251"/>
      <c r="G1" s="251"/>
      <c r="H1" s="183"/>
      <c r="I1" s="238"/>
      <c r="J1" s="183"/>
      <c r="K1" s="183"/>
      <c r="L1" s="183"/>
      <c r="M1" s="183"/>
      <c r="N1" s="183"/>
      <c r="O1" s="183"/>
      <c r="Q1" s="183"/>
      <c r="R1" s="183"/>
      <c r="S1" s="183"/>
      <c r="T1" s="183"/>
      <c r="U1" s="183"/>
      <c r="V1" s="183"/>
      <c r="W1" s="183"/>
      <c r="X1" s="183"/>
      <c r="Y1" s="183"/>
      <c r="Z1" s="183"/>
      <c r="AA1" s="183"/>
      <c r="AB1" s="183"/>
      <c r="AC1" s="183"/>
      <c r="AD1" s="183"/>
      <c r="AE1" s="183"/>
      <c r="AF1" s="183"/>
      <c r="AG1" s="183"/>
    </row>
    <row r="2" spans="1:39" s="181" customFormat="1" ht="44.25" hidden="1" customHeight="1">
      <c r="A2" s="250"/>
      <c r="B2" s="184"/>
      <c r="C2" s="183"/>
      <c r="D2" s="251"/>
      <c r="E2" s="251"/>
      <c r="F2" s="251"/>
      <c r="G2" s="251"/>
      <c r="H2" s="183"/>
      <c r="I2" s="238"/>
      <c r="J2" s="183"/>
      <c r="K2" s="183"/>
      <c r="L2" s="183"/>
      <c r="M2" s="183"/>
      <c r="N2" s="183"/>
      <c r="O2" s="183"/>
      <c r="Q2" s="183"/>
      <c r="R2" s="183"/>
      <c r="S2" s="183"/>
      <c r="T2" s="183"/>
      <c r="U2" s="183"/>
      <c r="V2" s="183"/>
      <c r="W2" s="183"/>
      <c r="X2" s="183"/>
      <c r="Y2" s="183"/>
      <c r="Z2" s="183"/>
      <c r="AA2" s="183"/>
      <c r="AB2" s="183"/>
      <c r="AC2" s="183"/>
      <c r="AD2" s="183"/>
      <c r="AE2" s="183"/>
      <c r="AF2" s="183"/>
      <c r="AG2" s="183"/>
    </row>
    <row r="3" spans="1:39" s="181" customFormat="1" ht="1.5" customHeight="1">
      <c r="A3" s="250"/>
      <c r="B3" s="184"/>
      <c r="C3" s="183"/>
      <c r="D3" s="251"/>
      <c r="E3" s="251"/>
      <c r="F3" s="251"/>
      <c r="G3" s="251"/>
      <c r="H3" s="183"/>
      <c r="I3" s="238"/>
      <c r="J3" s="183"/>
      <c r="K3" s="183"/>
      <c r="L3" s="183"/>
      <c r="M3" s="183"/>
      <c r="N3" s="183"/>
      <c r="O3" s="183"/>
      <c r="Q3" s="183"/>
      <c r="R3" s="183"/>
      <c r="S3" s="183"/>
      <c r="T3" s="183"/>
      <c r="U3" s="183"/>
      <c r="V3" s="183"/>
      <c r="W3" s="183"/>
      <c r="X3" s="183"/>
      <c r="Y3" s="183"/>
      <c r="Z3" s="183"/>
      <c r="AA3" s="183"/>
      <c r="AB3" s="183"/>
      <c r="AC3" s="183"/>
      <c r="AD3" s="183"/>
      <c r="AE3" s="183"/>
      <c r="AF3" s="183"/>
      <c r="AG3" s="183"/>
    </row>
    <row r="4" spans="1:39" s="181" customFormat="1" ht="3" customHeight="1">
      <c r="A4" s="250"/>
      <c r="B4" s="184"/>
      <c r="C4" s="183"/>
      <c r="D4" s="251"/>
      <c r="E4" s="251"/>
      <c r="F4" s="251"/>
      <c r="G4" s="251"/>
      <c r="H4" s="183"/>
      <c r="I4" s="238"/>
      <c r="J4" s="183"/>
      <c r="K4" s="183"/>
      <c r="L4" s="183"/>
      <c r="M4" s="183"/>
      <c r="N4" s="183"/>
      <c r="O4" s="183"/>
      <c r="Q4" s="183"/>
      <c r="R4" s="183"/>
      <c r="S4" s="183"/>
      <c r="T4" s="183"/>
      <c r="U4" s="183"/>
      <c r="V4" s="183"/>
      <c r="W4" s="183"/>
      <c r="X4" s="183"/>
      <c r="Y4" s="183"/>
      <c r="Z4" s="183"/>
      <c r="AA4" s="183"/>
      <c r="AB4" s="183"/>
      <c r="AC4" s="183"/>
      <c r="AD4" s="183"/>
      <c r="AE4" s="183"/>
      <c r="AF4" s="183"/>
      <c r="AG4" s="183"/>
    </row>
    <row r="5" spans="1:39" ht="4.5" customHeight="1">
      <c r="B5" s="252"/>
      <c r="C5" s="250"/>
      <c r="D5" s="250"/>
      <c r="E5" s="250"/>
      <c r="F5" s="250"/>
      <c r="G5" s="250"/>
      <c r="H5" s="250"/>
      <c r="I5" s="250"/>
      <c r="J5" s="250"/>
      <c r="K5" s="253"/>
      <c r="L5" s="253"/>
      <c r="M5" s="253"/>
      <c r="N5" s="253"/>
    </row>
    <row r="6" spans="1:39" ht="3.75" customHeight="1">
      <c r="B6" s="184"/>
      <c r="C6" s="184"/>
      <c r="D6" s="184"/>
      <c r="E6" s="184"/>
      <c r="F6" s="184"/>
      <c r="G6" s="184"/>
      <c r="H6" s="185"/>
      <c r="I6" s="185"/>
      <c r="K6" s="184"/>
      <c r="L6" s="184"/>
      <c r="M6" s="184"/>
      <c r="N6" s="184"/>
    </row>
    <row r="7" spans="1:39" ht="4.5" hidden="1" customHeight="1">
      <c r="A7" s="183"/>
      <c r="B7" s="184"/>
      <c r="C7" s="184"/>
      <c r="D7" s="184"/>
      <c r="E7" s="184"/>
      <c r="F7" s="184"/>
      <c r="G7" s="184"/>
      <c r="H7" s="185"/>
      <c r="I7" s="185"/>
      <c r="N7" s="184"/>
    </row>
    <row r="8" spans="1:39" ht="4.5" hidden="1" customHeight="1">
      <c r="A8" s="183"/>
      <c r="K8" s="184"/>
      <c r="L8" s="184"/>
      <c r="M8" s="184"/>
      <c r="N8" s="184"/>
    </row>
    <row r="9" spans="1:39" ht="4.5" customHeight="1">
      <c r="A9" s="183"/>
      <c r="K9" s="184"/>
      <c r="L9" s="184"/>
      <c r="M9" s="184"/>
      <c r="N9" s="184"/>
    </row>
    <row r="10" spans="1:39" ht="55.5" customHeight="1">
      <c r="A10" s="183"/>
      <c r="B10" s="299" t="s">
        <v>488</v>
      </c>
      <c r="C10" s="258"/>
      <c r="D10" s="258"/>
      <c r="E10" s="258"/>
      <c r="F10" s="258"/>
      <c r="G10" s="258"/>
      <c r="H10" s="258"/>
      <c r="I10" s="258"/>
      <c r="J10" s="258"/>
      <c r="K10" s="300"/>
      <c r="L10" s="300"/>
      <c r="M10" s="300"/>
      <c r="N10" s="300"/>
      <c r="P10" s="183"/>
    </row>
    <row r="11" spans="1:39" ht="11.25" customHeight="1">
      <c r="A11" s="183"/>
      <c r="B11" s="254"/>
      <c r="C11" s="184"/>
      <c r="D11" s="184"/>
      <c r="E11" s="184"/>
      <c r="F11" s="184"/>
      <c r="G11" s="184"/>
      <c r="H11" s="184"/>
      <c r="I11" s="184"/>
      <c r="J11" s="184"/>
      <c r="K11" s="207"/>
      <c r="L11" s="207"/>
      <c r="M11" s="207"/>
      <c r="N11" s="207"/>
      <c r="P11" s="183"/>
    </row>
    <row r="12" spans="1:39" ht="12" customHeight="1">
      <c r="A12" s="183"/>
      <c r="B12" s="258"/>
      <c r="C12" s="259"/>
      <c r="D12" s="259"/>
      <c r="E12" s="259"/>
      <c r="F12" s="259"/>
      <c r="G12" s="258"/>
      <c r="H12" s="184"/>
      <c r="I12" s="259"/>
      <c r="J12" s="279"/>
      <c r="K12" s="258"/>
      <c r="L12" s="280"/>
      <c r="M12" s="259"/>
      <c r="N12" s="259"/>
    </row>
    <row r="13" spans="1:39" ht="12" customHeight="1">
      <c r="A13" s="183"/>
      <c r="B13" s="260" t="s">
        <v>1512</v>
      </c>
      <c r="C13" s="260"/>
      <c r="D13" s="301" t="s">
        <v>1529</v>
      </c>
      <c r="E13" s="261" t="s">
        <v>1510</v>
      </c>
      <c r="F13" s="261" t="s">
        <v>1511</v>
      </c>
      <c r="G13" s="261" t="s">
        <v>1528</v>
      </c>
      <c r="H13" s="180"/>
      <c r="I13" s="260" t="s">
        <v>1513</v>
      </c>
      <c r="J13" s="260"/>
      <c r="K13" s="261" t="str">
        <f>D13</f>
        <v>6/12</v>
      </c>
      <c r="L13" s="261" t="str">
        <f>E13</f>
        <v>6/13E</v>
      </c>
      <c r="M13" s="261" t="str">
        <f>F13</f>
        <v>6/14E</v>
      </c>
      <c r="N13" s="261" t="str">
        <f>G13</f>
        <v>6/15E</v>
      </c>
      <c r="R13" s="1203" t="s">
        <v>529</v>
      </c>
      <c r="S13" s="1207"/>
      <c r="T13" s="1207"/>
      <c r="U13" s="1207"/>
      <c r="V13" s="1207"/>
      <c r="W13" s="1207"/>
      <c r="X13" s="1207"/>
      <c r="Y13" s="1207"/>
      <c r="Z13" s="1207"/>
      <c r="AA13" s="1207"/>
      <c r="AB13" s="1204"/>
    </row>
    <row r="14" spans="1:39" ht="12" customHeight="1">
      <c r="B14" s="258"/>
      <c r="C14" s="258"/>
      <c r="D14" s="259"/>
      <c r="E14" s="259"/>
      <c r="F14" s="259"/>
      <c r="G14" s="259"/>
      <c r="H14" s="180"/>
      <c r="I14" s="258"/>
      <c r="J14" s="258"/>
      <c r="K14" s="263"/>
      <c r="L14" s="263"/>
      <c r="M14" s="263"/>
      <c r="N14" s="263"/>
      <c r="O14" s="188"/>
      <c r="P14" s="187"/>
      <c r="Q14" s="188"/>
      <c r="R14" s="1211"/>
      <c r="S14" s="1216"/>
      <c r="T14" s="1216"/>
      <c r="U14" s="1216"/>
      <c r="V14" s="1216"/>
      <c r="W14" s="1216"/>
      <c r="X14" s="1216"/>
      <c r="Y14" s="1216"/>
      <c r="Z14" s="1216"/>
      <c r="AA14" s="1216"/>
      <c r="AB14" s="1217"/>
    </row>
    <row r="15" spans="1:39" ht="12" customHeight="1">
      <c r="B15" s="262" t="s">
        <v>530</v>
      </c>
      <c r="C15" s="263"/>
      <c r="D15" s="264">
        <f>IF(ISERROR(INDUST_TPLATE!D37),"",(INDUST_TPLATE!D37))</f>
        <v>0</v>
      </c>
      <c r="E15" s="264">
        <f>IF(ISERROR(INDUST_TPLATE!E37),"",(INDUST_TPLATE!E37))</f>
        <v>0</v>
      </c>
      <c r="F15" s="264">
        <f>IF(ISERROR(INDUST_TPLATE!F37),"",(INDUST_TPLATE!F37))</f>
        <v>252.77361319340332</v>
      </c>
      <c r="G15" s="264">
        <f>IF(ISERROR(INDUST_TPLATE!G37),"",(INDUST_TPLATE!G37))</f>
        <v>314.3</v>
      </c>
      <c r="H15" s="180"/>
      <c r="I15" s="259"/>
      <c r="J15" s="259"/>
      <c r="K15" s="259"/>
      <c r="L15" s="259"/>
      <c r="M15" s="259"/>
      <c r="N15" s="259"/>
      <c r="R15" s="1205"/>
      <c r="S15" s="1208"/>
      <c r="T15" s="1208"/>
      <c r="U15" s="1208"/>
      <c r="V15" s="1208"/>
      <c r="W15" s="1208"/>
      <c r="X15" s="1208"/>
      <c r="Y15" s="1208"/>
      <c r="Z15" s="1208"/>
      <c r="AA15" s="1208"/>
      <c r="AB15" s="1206"/>
      <c r="AL15" s="189"/>
      <c r="AM15" s="189"/>
    </row>
    <row r="16" spans="1:39" ht="12" customHeight="1">
      <c r="B16" s="262" t="s">
        <v>531</v>
      </c>
      <c r="C16" s="262"/>
      <c r="D16" s="265" t="str">
        <f>IF(ISERROR(INDUST_TPLATE!D75-INDUST_TPLATE!D55-INDUST_TPLATE!D92-INDUST_TPLATE!D234-INDUST_TPLATE!D235),"",(INDUST_TPLATE!D75-INDUST_TPLATE!D55-INDUST_TPLATE!D92-INDUST_TPLATE!D234-INDUST_TPLATE!D235))</f>
        <v/>
      </c>
      <c r="E16" s="265" t="str">
        <f>IF(ISERROR(INDUST_TPLATE!E75-INDUST_TPLATE!E55-INDUST_TPLATE!E92-INDUST_TPLATE!E234-INDUST_TPLATE!E235),"",(INDUST_TPLATE!E75-INDUST_TPLATE!E55-INDUST_TPLATE!E92-INDUST_TPLATE!E234-INDUST_TPLATE!E235))</f>
        <v/>
      </c>
      <c r="F16" s="265" t="str">
        <f>IF(ISERROR(INDUST_TPLATE!F75-INDUST_TPLATE!F55-INDUST_TPLATE!F92-INDUST_TPLATE!F234-INDUST_TPLATE!F235),"",(INDUST_TPLATE!F75-INDUST_TPLATE!F55-INDUST_TPLATE!F92-INDUST_TPLATE!F234-INDUST_TPLATE!F235))</f>
        <v/>
      </c>
      <c r="G16" s="265" t="str">
        <f>IF(ISERROR(INDUST_TPLATE!G75-INDUST_TPLATE!G55-INDUST_TPLATE!G92-INDUST_TPLATE!G234-INDUST_TPLATE!G235),"",(INDUST_TPLATE!G75-INDUST_TPLATE!G55-INDUST_TPLATE!G92-INDUST_TPLATE!G234-INDUST_TPLATE!G235))</f>
        <v/>
      </c>
      <c r="H16" s="180"/>
      <c r="I16" s="262" t="s">
        <v>790</v>
      </c>
      <c r="J16" s="281"/>
      <c r="K16" s="282"/>
      <c r="L16" s="282"/>
      <c r="M16" s="282"/>
      <c r="N16" s="282"/>
      <c r="AL16" s="189"/>
      <c r="AM16" s="189"/>
    </row>
    <row r="17" spans="2:46" ht="12" customHeight="1">
      <c r="B17" s="263" t="s">
        <v>533</v>
      </c>
      <c r="C17" s="263"/>
      <c r="D17" s="264" t="str">
        <f>IF(ISERROR(INDUST_TPLATE!D81-INDUST_TPLATE!D80),"",(INDUST_TPLATE!D81-INDUST_TPLATE!D80))</f>
        <v/>
      </c>
      <c r="E17" s="264" t="str">
        <f>IF(ISERROR(INDUST_TPLATE!E81-INDUST_TPLATE!E80),"",(INDUST_TPLATE!E81-INDUST_TPLATE!E80))</f>
        <v/>
      </c>
      <c r="F17" s="264" t="str">
        <f>IF(ISERROR(INDUST_TPLATE!F81-INDUST_TPLATE!F80),"",(INDUST_TPLATE!F81-INDUST_TPLATE!F80))</f>
        <v/>
      </c>
      <c r="G17" s="264" t="str">
        <f>IF(ISERROR(INDUST_TPLATE!G81-INDUST_TPLATE!G80),"",(INDUST_TPLATE!G81-INDUST_TPLATE!G80))</f>
        <v/>
      </c>
      <c r="H17" s="180"/>
      <c r="I17" s="283" t="s">
        <v>1229</v>
      </c>
      <c r="J17" s="284"/>
      <c r="K17" s="285" t="e">
        <f>MODEL!#REF!</f>
        <v>#REF!</v>
      </c>
      <c r="L17" s="285" t="e">
        <f>MODEL!#REF!</f>
        <v>#REF!</v>
      </c>
      <c r="M17" s="285" t="e">
        <f>MODEL!#REF!</f>
        <v>#REF!</v>
      </c>
      <c r="N17" s="285" t="e">
        <f>MODEL!#REF!</f>
        <v>#REF!</v>
      </c>
      <c r="AL17" s="189"/>
      <c r="AM17" s="189"/>
    </row>
    <row r="18" spans="2:46" ht="12" customHeight="1">
      <c r="B18" s="262" t="s">
        <v>534</v>
      </c>
      <c r="C18" s="263"/>
      <c r="D18" s="265" t="str">
        <f>IF(ISERROR(D16-D17),"",(D16-D17))</f>
        <v/>
      </c>
      <c r="E18" s="265" t="str">
        <f>IF(ISERROR(E16-E17),"",(E16-E17))</f>
        <v/>
      </c>
      <c r="F18" s="265" t="str">
        <f>IF(ISERROR(F16-F17),"",(F16-F17))</f>
        <v/>
      </c>
      <c r="G18" s="265" t="str">
        <f>IF(ISERROR(G16-G17),"",(G16-G17))</f>
        <v/>
      </c>
      <c r="H18" s="180"/>
      <c r="I18" s="283" t="s">
        <v>105</v>
      </c>
      <c r="J18" s="286"/>
      <c r="K18" s="285" t="e">
        <f>MODEL!#REF!</f>
        <v>#REF!</v>
      </c>
      <c r="L18" s="285" t="e">
        <f>MODEL!#REF!</f>
        <v>#REF!</v>
      </c>
      <c r="M18" s="285" t="e">
        <f>MODEL!#REF!</f>
        <v>#REF!</v>
      </c>
      <c r="N18" s="285" t="e">
        <f>MODEL!#REF!</f>
        <v>#REF!</v>
      </c>
      <c r="R18" s="1209" t="s">
        <v>532</v>
      </c>
      <c r="S18" s="1209"/>
      <c r="T18" s="1209"/>
      <c r="U18" s="1209"/>
      <c r="V18" s="1209"/>
      <c r="W18" s="1209"/>
      <c r="AL18" s="189"/>
      <c r="AM18" s="189"/>
    </row>
    <row r="19" spans="2:46" ht="12" customHeight="1">
      <c r="B19" s="263" t="s">
        <v>535</v>
      </c>
      <c r="C19" s="263"/>
      <c r="D19" s="264" t="str">
        <f>IF(ISERROR(INDUST_TPLATE!D80),"",(INDUST_TPLATE!D80))</f>
        <v/>
      </c>
      <c r="E19" s="264" t="str">
        <f>IF(ISERROR(INDUST_TPLATE!E80),"",(INDUST_TPLATE!E80))</f>
        <v/>
      </c>
      <c r="F19" s="264" t="str">
        <f>IF(ISERROR(INDUST_TPLATE!F80),"",(INDUST_TPLATE!F80))</f>
        <v/>
      </c>
      <c r="G19" s="264" t="str">
        <f>IF(ISERROR(INDUST_TPLATE!G80),"",(INDUST_TPLATE!G80))</f>
        <v/>
      </c>
      <c r="H19" s="180"/>
      <c r="I19" s="283" t="s">
        <v>474</v>
      </c>
      <c r="J19" s="286"/>
      <c r="K19" s="285" t="e">
        <f>MODEL!#REF!</f>
        <v>#REF!</v>
      </c>
      <c r="L19" s="285" t="e">
        <f>MODEL!#REF!</f>
        <v>#REF!</v>
      </c>
      <c r="M19" s="285" t="e">
        <f>MODEL!#REF!</f>
        <v>#REF!</v>
      </c>
      <c r="N19" s="285" t="e">
        <f>MODEL!#REF!</f>
        <v>#REF!</v>
      </c>
      <c r="O19" s="184"/>
      <c r="R19" s="1209"/>
      <c r="S19" s="1209"/>
      <c r="T19" s="1209"/>
      <c r="U19" s="1209"/>
      <c r="V19" s="1209"/>
      <c r="W19" s="1209"/>
      <c r="AL19" s="189"/>
      <c r="AM19" s="189"/>
    </row>
    <row r="20" spans="2:46" ht="12" customHeight="1">
      <c r="B20" s="263" t="s">
        <v>536</v>
      </c>
      <c r="C20" s="263"/>
      <c r="D20" s="266">
        <f>IF(ISERROR(INDUST_TPLATE!D55),"",(INDUST_TPLATE!D55))</f>
        <v>0</v>
      </c>
      <c r="E20" s="266">
        <f>IF(ISERROR(INDUST_TPLATE!E55),"",(INDUST_TPLATE!E55))</f>
        <v>0</v>
      </c>
      <c r="F20" s="266">
        <f>IF(ISERROR(INDUST_TPLATE!F55),"",(INDUST_TPLATE!F55))</f>
        <v>0</v>
      </c>
      <c r="G20" s="266">
        <f>IF(ISERROR(INDUST_TPLATE!G55),"",(INDUST_TPLATE!G55))</f>
        <v>0</v>
      </c>
      <c r="H20" s="180"/>
      <c r="I20" s="283" t="s">
        <v>485</v>
      </c>
      <c r="J20" s="286"/>
      <c r="K20" s="285" t="e">
        <f>K22-SUM(K17:K19)</f>
        <v>#REF!</v>
      </c>
      <c r="L20" s="285" t="e">
        <f>L22-SUM(L17:L19)</f>
        <v>#REF!</v>
      </c>
      <c r="M20" s="285" t="e">
        <f>M22-SUM(M17:M19)</f>
        <v>#REF!</v>
      </c>
      <c r="N20" s="285" t="e">
        <f>N22-SUM(N17:N19)</f>
        <v>#REF!</v>
      </c>
      <c r="O20" s="202"/>
      <c r="P20" s="183"/>
      <c r="R20" s="180"/>
      <c r="S20" s="180"/>
      <c r="T20" s="180"/>
      <c r="U20" s="180"/>
      <c r="V20" s="180"/>
      <c r="W20" s="180"/>
      <c r="AL20" s="189"/>
      <c r="AM20" s="189"/>
    </row>
    <row r="21" spans="2:46" ht="12" customHeight="1">
      <c r="B21" s="263" t="s">
        <v>539</v>
      </c>
      <c r="C21" s="263"/>
      <c r="D21" s="266" t="str">
        <f>IF(ISERROR(D18-D19+D20),"",(D18-D19+D20))</f>
        <v/>
      </c>
      <c r="E21" s="266" t="str">
        <f>IF(ISERROR(E18-E19+E20),"",(E18-E19+E20))</f>
        <v/>
      </c>
      <c r="F21" s="266" t="str">
        <f>IF(ISERROR(F18-F19+F20),"",(F18-F19+F20))</f>
        <v/>
      </c>
      <c r="G21" s="266" t="str">
        <f>IF(ISERROR(G18-G19+G20),"",(G18-G19+G20))</f>
        <v/>
      </c>
      <c r="H21" s="180"/>
      <c r="I21" s="263"/>
      <c r="J21" s="286"/>
      <c r="K21" s="282"/>
      <c r="L21" s="282"/>
      <c r="M21" s="282"/>
      <c r="N21" s="282"/>
      <c r="O21" s="201"/>
      <c r="P21" s="183"/>
      <c r="R21" s="180"/>
      <c r="S21" s="180"/>
      <c r="T21" s="180"/>
      <c r="U21" s="180"/>
      <c r="V21" s="180"/>
      <c r="W21" s="180"/>
      <c r="AL21" s="189"/>
      <c r="AM21" s="189"/>
    </row>
    <row r="22" spans="2:46" ht="12" customHeight="1">
      <c r="B22" s="263" t="s">
        <v>1436</v>
      </c>
      <c r="C22" s="263"/>
      <c r="D22" s="266" t="str">
        <f>IF(ISERROR(INDUST_TPLATE!D86),"",(INDUST_TPLATE!D86))</f>
        <v/>
      </c>
      <c r="E22" s="266" t="str">
        <f>IF(ISERROR(INDUST_TPLATE!E86),"",(INDUST_TPLATE!E86))</f>
        <v/>
      </c>
      <c r="F22" s="266" t="str">
        <f>IF(ISERROR(INDUST_TPLATE!F86),"",(INDUST_TPLATE!F86))</f>
        <v/>
      </c>
      <c r="G22" s="266" t="str">
        <f>IF(ISERROR(INDUST_TPLATE!G86),"",(INDUST_TPLATE!G86))</f>
        <v/>
      </c>
      <c r="H22" s="180"/>
      <c r="I22" s="278" t="s">
        <v>543</v>
      </c>
      <c r="J22" s="286"/>
      <c r="K22" s="264">
        <f>D15</f>
        <v>0</v>
      </c>
      <c r="L22" s="264">
        <f>E15</f>
        <v>0</v>
      </c>
      <c r="M22" s="264">
        <f>F15</f>
        <v>252.77361319340332</v>
      </c>
      <c r="N22" s="264">
        <f>G15</f>
        <v>314.3</v>
      </c>
      <c r="O22" s="201"/>
      <c r="P22" s="183"/>
      <c r="R22" s="191"/>
      <c r="S22" s="194"/>
      <c r="T22" s="194"/>
      <c r="U22" s="194"/>
      <c r="V22" s="194"/>
      <c r="W22" s="194"/>
      <c r="X22" s="194"/>
      <c r="Y22" s="194"/>
      <c r="Z22" s="195"/>
      <c r="AL22" s="189"/>
      <c r="AM22" s="189"/>
      <c r="AS22" s="183" t="s">
        <v>537</v>
      </c>
      <c r="AT22" s="183" t="s">
        <v>538</v>
      </c>
    </row>
    <row r="23" spans="2:46" ht="12" customHeight="1">
      <c r="B23" s="262" t="s">
        <v>546</v>
      </c>
      <c r="C23" s="263"/>
      <c r="D23" s="267" t="str">
        <f>IF(ISERROR(D21+D22),"",(D21+D22))</f>
        <v/>
      </c>
      <c r="E23" s="267" t="str">
        <f>IF(ISERROR(E21+E22),"",(E21+E22))</f>
        <v/>
      </c>
      <c r="F23" s="267" t="str">
        <f>IF(ISERROR(F21+F22),"",(F21+F22))</f>
        <v/>
      </c>
      <c r="G23" s="267" t="str">
        <f>IF(ISERROR(G21+G22),"",(G21+G22))</f>
        <v/>
      </c>
      <c r="H23" s="180"/>
      <c r="I23" s="278"/>
      <c r="J23" s="286"/>
      <c r="K23" s="282"/>
      <c r="L23" s="282"/>
      <c r="M23" s="282"/>
      <c r="N23" s="282"/>
      <c r="O23" s="201"/>
      <c r="P23" s="183"/>
      <c r="R23" s="193" t="s">
        <v>540</v>
      </c>
      <c r="S23" s="193"/>
      <c r="T23" s="193"/>
      <c r="U23" s="193"/>
      <c r="V23" s="193"/>
      <c r="W23" s="193"/>
      <c r="X23" s="193"/>
      <c r="Y23" s="193"/>
      <c r="Z23" s="196"/>
      <c r="AA23" s="193"/>
      <c r="AB23" s="193"/>
      <c r="AL23" s="189"/>
      <c r="AM23" s="189"/>
      <c r="AS23" s="183" t="s">
        <v>541</v>
      </c>
      <c r="AT23" s="183" t="s">
        <v>542</v>
      </c>
    </row>
    <row r="24" spans="2:46" ht="12" customHeight="1">
      <c r="B24" s="263" t="s">
        <v>549</v>
      </c>
      <c r="C24" s="263"/>
      <c r="D24" s="266" t="str">
        <f>IF(ISERROR(INDUST_TPLATE!D89-INDUST_TPLATE!D233),"",(INDUST_TPLATE!D89-INDUST_TPLATE!D233))</f>
        <v/>
      </c>
      <c r="E24" s="266" t="str">
        <f>IF(ISERROR(INDUST_TPLATE!E89-INDUST_TPLATE!E233),"",(INDUST_TPLATE!E89-INDUST_TPLATE!E233))</f>
        <v/>
      </c>
      <c r="F24" s="266" t="str">
        <f>IF(ISERROR(INDUST_TPLATE!F89-INDUST_TPLATE!F233),"",(INDUST_TPLATE!F89-INDUST_TPLATE!F233))</f>
        <v/>
      </c>
      <c r="G24" s="266" t="str">
        <f>IF(ISERROR(INDUST_TPLATE!G89-INDUST_TPLATE!G233),"",(INDUST_TPLATE!G89-INDUST_TPLATE!G233))</f>
        <v/>
      </c>
      <c r="H24" s="180"/>
      <c r="I24" s="262"/>
      <c r="J24" s="281"/>
      <c r="K24" s="285"/>
      <c r="L24" s="285"/>
      <c r="M24" s="285"/>
      <c r="N24" s="285"/>
      <c r="O24" s="202"/>
      <c r="P24" s="183"/>
      <c r="R24" s="197"/>
      <c r="S24" s="198"/>
      <c r="T24" s="198"/>
      <c r="U24" s="198"/>
      <c r="V24" s="198"/>
      <c r="W24" s="198"/>
      <c r="X24" s="198"/>
      <c r="Y24" s="198"/>
      <c r="Z24" s="199"/>
      <c r="AA24" s="193"/>
      <c r="AB24" s="193"/>
      <c r="AL24" s="189"/>
      <c r="AM24" s="189"/>
      <c r="AS24" s="183" t="s">
        <v>544</v>
      </c>
      <c r="AT24" s="183" t="s">
        <v>545</v>
      </c>
    </row>
    <row r="25" spans="2:46" ht="12" customHeight="1">
      <c r="B25" s="263" t="s">
        <v>552</v>
      </c>
      <c r="C25" s="263"/>
      <c r="D25" s="266" t="str">
        <f>IF(ISERROR(INDUST_TPLATE!D92),"",(INDUST_TPLATE!D92))</f>
        <v/>
      </c>
      <c r="E25" s="266" t="str">
        <f>IF(ISERROR(INDUST_TPLATE!E92),"",(INDUST_TPLATE!E92))</f>
        <v/>
      </c>
      <c r="F25" s="266" t="str">
        <f>IF(ISERROR(INDUST_TPLATE!F92),"",(INDUST_TPLATE!F92))</f>
        <v/>
      </c>
      <c r="G25" s="266" t="str">
        <f>IF(ISERROR(INDUST_TPLATE!G92),"",(INDUST_TPLATE!G92))</f>
        <v/>
      </c>
      <c r="H25" s="180"/>
      <c r="I25" s="262" t="s">
        <v>1107</v>
      </c>
      <c r="J25" s="286"/>
      <c r="K25" s="285"/>
      <c r="L25" s="285"/>
      <c r="M25" s="285"/>
      <c r="N25" s="285"/>
      <c r="O25" s="201"/>
      <c r="P25" s="183"/>
      <c r="R25" s="200"/>
      <c r="S25" s="200"/>
      <c r="T25" s="200"/>
      <c r="U25" s="200"/>
      <c r="V25" s="200"/>
      <c r="W25" s="200"/>
      <c r="X25" s="200"/>
      <c r="Y25" s="200"/>
      <c r="Z25" s="200"/>
      <c r="AA25" s="200"/>
      <c r="AB25" s="200"/>
      <c r="AL25" s="189"/>
      <c r="AM25" s="189"/>
      <c r="AS25" s="183" t="s">
        <v>547</v>
      </c>
      <c r="AT25" s="183" t="s">
        <v>548</v>
      </c>
    </row>
    <row r="26" spans="2:46" ht="12" customHeight="1">
      <c r="B26" s="263" t="s">
        <v>556</v>
      </c>
      <c r="C26" s="263"/>
      <c r="D26" s="266" t="str">
        <f>IF(ISERROR(INDUST_TPLATE!D124),"",(INDUST_TPLATE!D124))</f>
        <v/>
      </c>
      <c r="E26" s="266" t="str">
        <f>IF(ISERROR(INDUST_TPLATE!E124),"",(INDUST_TPLATE!E124))</f>
        <v/>
      </c>
      <c r="F26" s="266" t="str">
        <f>IF(ISERROR(INDUST_TPLATE!F124),"",(INDUST_TPLATE!F124))</f>
        <v/>
      </c>
      <c r="G26" s="266" t="str">
        <f>IF(ISERROR(INDUST_TPLATE!G124),"",(INDUST_TPLATE!G124))</f>
        <v/>
      </c>
      <c r="H26" s="180"/>
      <c r="I26" s="283" t="s">
        <v>1229</v>
      </c>
      <c r="J26" s="286"/>
      <c r="K26" s="285" t="e">
        <f>MODEL!#REF!</f>
        <v>#REF!</v>
      </c>
      <c r="L26" s="285" t="e">
        <f>MODEL!#REF!</f>
        <v>#REF!</v>
      </c>
      <c r="M26" s="285" t="e">
        <f>MODEL!#REF!</f>
        <v>#REF!</v>
      </c>
      <c r="N26" s="285" t="e">
        <f>MODEL!#REF!</f>
        <v>#REF!</v>
      </c>
      <c r="O26" s="201"/>
      <c r="P26" s="183"/>
      <c r="R26" s="200"/>
      <c r="S26" s="200"/>
      <c r="T26" s="200"/>
      <c r="U26" s="200"/>
      <c r="V26" s="200"/>
      <c r="W26" s="200"/>
      <c r="X26" s="200"/>
      <c r="Y26" s="200"/>
      <c r="Z26" s="200"/>
      <c r="AA26" s="200"/>
      <c r="AB26" s="200"/>
      <c r="AL26" s="189"/>
      <c r="AM26" s="189"/>
      <c r="AS26" s="183" t="s">
        <v>550</v>
      </c>
      <c r="AT26" s="183" t="s">
        <v>551</v>
      </c>
    </row>
    <row r="27" spans="2:46" ht="12" customHeight="1">
      <c r="B27" s="263" t="s">
        <v>559</v>
      </c>
      <c r="C27" s="263"/>
      <c r="D27" s="266">
        <f>IF(ISERROR(INDUST_TPLATE!D125),"",(INDUST_TPLATE!D125))</f>
        <v>0</v>
      </c>
      <c r="E27" s="266">
        <f>IF(ISERROR(INDUST_TPLATE!E125),"",(INDUST_TPLATE!E125))</f>
        <v>0</v>
      </c>
      <c r="F27" s="266">
        <f>IF(ISERROR(INDUST_TPLATE!F125),"",(INDUST_TPLATE!F125))</f>
        <v>0</v>
      </c>
      <c r="G27" s="266">
        <f>IF(ISERROR(INDUST_TPLATE!G125),"",(INDUST_TPLATE!G125))</f>
        <v>0</v>
      </c>
      <c r="H27" s="180"/>
      <c r="I27" s="283" t="s">
        <v>105</v>
      </c>
      <c r="J27" s="286"/>
      <c r="K27" s="285" t="e">
        <f>MODEL!#REF!</f>
        <v>#REF!</v>
      </c>
      <c r="L27" s="285" t="e">
        <f>MODEL!#REF!</f>
        <v>#REF!</v>
      </c>
      <c r="M27" s="285" t="e">
        <f>MODEL!#REF!</f>
        <v>#REF!</v>
      </c>
      <c r="N27" s="285" t="e">
        <f>MODEL!#REF!</f>
        <v>#REF!</v>
      </c>
      <c r="O27" s="201"/>
      <c r="P27" s="183"/>
      <c r="R27" s="1225" t="s">
        <v>553</v>
      </c>
      <c r="S27" s="1225"/>
      <c r="T27" s="1225"/>
      <c r="U27" s="1225"/>
      <c r="V27" s="1225"/>
      <c r="W27" s="1225"/>
      <c r="X27" s="1225"/>
      <c r="Y27" s="1225"/>
      <c r="Z27" s="1225"/>
      <c r="AA27" s="200"/>
      <c r="AB27" s="200"/>
      <c r="AL27" s="189"/>
      <c r="AM27" s="189"/>
      <c r="AS27" s="183" t="s">
        <v>554</v>
      </c>
      <c r="AT27" s="183" t="s">
        <v>555</v>
      </c>
    </row>
    <row r="28" spans="2:46" ht="12" customHeight="1">
      <c r="B28" s="263" t="s">
        <v>562</v>
      </c>
      <c r="C28" s="263"/>
      <c r="D28" s="266" t="str">
        <f>IF(ISERROR(D29-(D23-D24-D26-D27+D25)),"",(D29-(D23-D24-D26-D27+D25)))</f>
        <v/>
      </c>
      <c r="E28" s="266" t="str">
        <f>IF(ISERROR(E29-(E23-E24-E26-E27+E25)),"",(E29-(E23-E24-E26-E27+E25)))</f>
        <v/>
      </c>
      <c r="F28" s="266" t="str">
        <f>IF(ISERROR(F29-(F23-F24-F26-F27+F25)),"",(F29-(F23-F24-F26-F27+F25)))</f>
        <v/>
      </c>
      <c r="G28" s="266" t="str">
        <f>IF(ISERROR(G29-(G23-G24-G26-G27+G25)),"",(G29-(G23-G24-G26-G27+G25)))</f>
        <v/>
      </c>
      <c r="H28" s="180"/>
      <c r="I28" s="283" t="s">
        <v>474</v>
      </c>
      <c r="J28" s="286"/>
      <c r="K28" s="285" t="e">
        <f>MODEL!#REF!</f>
        <v>#REF!</v>
      </c>
      <c r="L28" s="285" t="e">
        <f>MODEL!#REF!</f>
        <v>#REF!</v>
      </c>
      <c r="M28" s="285" t="e">
        <f>MODEL!#REF!</f>
        <v>#REF!</v>
      </c>
      <c r="N28" s="285" t="e">
        <f>MODEL!#REF!</f>
        <v>#REF!</v>
      </c>
      <c r="O28" s="202"/>
      <c r="P28" s="183"/>
      <c r="R28" s="1225"/>
      <c r="S28" s="1225"/>
      <c r="T28" s="1225"/>
      <c r="U28" s="1225"/>
      <c r="V28" s="1225"/>
      <c r="W28" s="1225"/>
      <c r="X28" s="1225"/>
      <c r="Y28" s="1225"/>
      <c r="Z28" s="1225"/>
      <c r="AA28" s="200"/>
      <c r="AB28" s="200"/>
      <c r="AL28" s="189"/>
      <c r="AM28" s="189"/>
      <c r="AS28" s="183" t="s">
        <v>557</v>
      </c>
      <c r="AT28" s="183" t="s">
        <v>558</v>
      </c>
    </row>
    <row r="29" spans="2:46" ht="12" customHeight="1">
      <c r="B29" s="262" t="s">
        <v>1500</v>
      </c>
      <c r="C29" s="262"/>
      <c r="D29" s="267" t="str">
        <f>IF(ISERROR(INDUST_TPLATE!D22),"",(INDUST_TPLATE!D22))</f>
        <v/>
      </c>
      <c r="E29" s="267" t="str">
        <f>IF(ISERROR(INDUST_TPLATE!E22),"",(INDUST_TPLATE!E22))</f>
        <v/>
      </c>
      <c r="F29" s="267" t="str">
        <f>IF(ISERROR(INDUST_TPLATE!F22),"",(INDUST_TPLATE!F22))</f>
        <v/>
      </c>
      <c r="G29" s="267" t="str">
        <f>IF(ISERROR(INDUST_TPLATE!G22),"",(INDUST_TPLATE!G22))</f>
        <v/>
      </c>
      <c r="H29" s="180"/>
      <c r="I29" s="283" t="str">
        <f>I20</f>
        <v>Global Distribution</v>
      </c>
      <c r="J29" s="286"/>
      <c r="K29" s="285" t="e">
        <f>MODEL!#REF!</f>
        <v>#REF!</v>
      </c>
      <c r="L29" s="285" t="e">
        <f>MODEL!#REF!</f>
        <v>#REF!</v>
      </c>
      <c r="M29" s="285" t="e">
        <f>MODEL!#REF!</f>
        <v>#REF!</v>
      </c>
      <c r="N29" s="285" t="e">
        <f>MODEL!#REF!</f>
        <v>#REF!</v>
      </c>
      <c r="O29" s="201"/>
      <c r="R29" s="200"/>
      <c r="S29" s="200"/>
      <c r="T29" s="200"/>
      <c r="U29" s="200"/>
      <c r="V29" s="200"/>
      <c r="W29" s="200"/>
      <c r="X29" s="200"/>
      <c r="Y29" s="200"/>
      <c r="Z29" s="200"/>
      <c r="AA29" s="200"/>
      <c r="AB29" s="200"/>
      <c r="AL29" s="189"/>
      <c r="AM29" s="189"/>
      <c r="AS29" s="183" t="s">
        <v>560</v>
      </c>
      <c r="AT29" s="183" t="s">
        <v>561</v>
      </c>
    </row>
    <row r="30" spans="2:46" ht="12" customHeight="1">
      <c r="B30" s="263" t="s">
        <v>567</v>
      </c>
      <c r="C30" s="263"/>
      <c r="D30" s="266" t="str">
        <f>IF(ISERROR(INDUST_TPLATE!D96),"",(INDUST_TPLATE!D96))</f>
        <v/>
      </c>
      <c r="E30" s="266" t="str">
        <f>IF(ISERROR(INDUST_TPLATE!E96),"",(INDUST_TPLATE!E96))</f>
        <v/>
      </c>
      <c r="F30" s="266" t="str">
        <f>IF(ISERROR(INDUST_TPLATE!F96),"",(INDUST_TPLATE!F96))</f>
        <v/>
      </c>
      <c r="G30" s="266" t="str">
        <f>IF(ISERROR(INDUST_TPLATE!G96),"",(INDUST_TPLATE!G96))</f>
        <v/>
      </c>
      <c r="H30" s="180"/>
      <c r="I30" s="263" t="s">
        <v>799</v>
      </c>
      <c r="J30" s="286"/>
      <c r="K30" s="264" t="e">
        <f>MODEL!#REF!</f>
        <v>#REF!</v>
      </c>
      <c r="L30" s="264" t="e">
        <f>MODEL!#REF!</f>
        <v>#REF!</v>
      </c>
      <c r="M30" s="264" t="e">
        <f>MODEL!#REF!</f>
        <v>#REF!</v>
      </c>
      <c r="N30" s="264" t="e">
        <f>MODEL!#REF!</f>
        <v>#REF!</v>
      </c>
      <c r="R30" s="1220" t="s">
        <v>1499</v>
      </c>
      <c r="S30" s="1220"/>
      <c r="T30" s="1220"/>
      <c r="U30" s="1220"/>
      <c r="V30" s="1220"/>
      <c r="W30" s="1220"/>
      <c r="X30" s="1220"/>
      <c r="Y30" s="1220"/>
      <c r="Z30" s="1220"/>
      <c r="AA30" s="1220"/>
      <c r="AB30" s="1220"/>
      <c r="AL30" s="189"/>
      <c r="AM30" s="189"/>
      <c r="AS30" s="183" t="s">
        <v>563</v>
      </c>
      <c r="AT30" s="183" t="s">
        <v>564</v>
      </c>
    </row>
    <row r="31" spans="2:46" ht="12" customHeight="1">
      <c r="B31" s="263" t="s">
        <v>570</v>
      </c>
      <c r="C31" s="263"/>
      <c r="D31" s="266" t="str">
        <f>IF(ISERROR(D29+D30),"",(D29+D30))</f>
        <v/>
      </c>
      <c r="E31" s="266" t="str">
        <f>IF(ISERROR(E29+E30),"",(E29+E30))</f>
        <v/>
      </c>
      <c r="F31" s="266" t="str">
        <f>IF(ISERROR(F29+F30),"",(F29+F30))</f>
        <v/>
      </c>
      <c r="G31" s="266" t="str">
        <f>IF(ISERROR(G29+G30),"",(G29+G30))</f>
        <v/>
      </c>
      <c r="H31" s="180"/>
      <c r="I31" s="278"/>
      <c r="J31" s="286"/>
      <c r="K31" s="264" t="e">
        <f>SUM(K26:K30)</f>
        <v>#REF!</v>
      </c>
      <c r="L31" s="264" t="e">
        <f>SUM(L26:L30)</f>
        <v>#REF!</v>
      </c>
      <c r="M31" s="264" t="e">
        <f>SUM(M26:M30)</f>
        <v>#REF!</v>
      </c>
      <c r="N31" s="264" t="e">
        <f>SUM(N26:N30)</f>
        <v>#REF!</v>
      </c>
      <c r="R31" s="1220"/>
      <c r="S31" s="1220"/>
      <c r="T31" s="1220"/>
      <c r="U31" s="1220"/>
      <c r="V31" s="1220"/>
      <c r="W31" s="1220"/>
      <c r="X31" s="1220"/>
      <c r="Y31" s="1220"/>
      <c r="Z31" s="1220"/>
      <c r="AA31" s="1220"/>
      <c r="AB31" s="1220"/>
      <c r="AL31" s="189"/>
      <c r="AM31" s="189"/>
      <c r="AS31" s="183" t="s">
        <v>565</v>
      </c>
      <c r="AT31" s="183" t="s">
        <v>566</v>
      </c>
    </row>
    <row r="32" spans="2:46" ht="12" customHeight="1">
      <c r="B32" s="263" t="s">
        <v>573</v>
      </c>
      <c r="C32" s="263"/>
      <c r="D32" s="264" t="e">
        <f>INDUST_TPLATE!D25</f>
        <v>#VALUE!</v>
      </c>
      <c r="E32" s="264" t="e">
        <f>INDUST_TPLATE!E25</f>
        <v>#VALUE!</v>
      </c>
      <c r="F32" s="264" t="e">
        <f>INDUST_TPLATE!F25</f>
        <v>#VALUE!</v>
      </c>
      <c r="G32" s="264" t="e">
        <f>INDUST_TPLATE!G25</f>
        <v>#VALUE!</v>
      </c>
      <c r="H32" s="180"/>
      <c r="I32" s="263"/>
      <c r="J32" s="263"/>
      <c r="K32" s="275"/>
      <c r="L32" s="275"/>
      <c r="M32" s="275"/>
      <c r="N32" s="275"/>
      <c r="R32" s="1220"/>
      <c r="S32" s="1220"/>
      <c r="T32" s="1220"/>
      <c r="U32" s="1220"/>
      <c r="V32" s="1220"/>
      <c r="W32" s="1220"/>
      <c r="X32" s="1220"/>
      <c r="Y32" s="1220"/>
      <c r="Z32" s="1220"/>
      <c r="AA32" s="1220"/>
      <c r="AB32" s="1220"/>
      <c r="AL32" s="189"/>
      <c r="AM32" s="189"/>
      <c r="AS32" s="183" t="s">
        <v>568</v>
      </c>
      <c r="AT32" s="183" t="s">
        <v>569</v>
      </c>
    </row>
    <row r="33" spans="2:46" ht="12" customHeight="1">
      <c r="B33" s="262" t="s">
        <v>1520</v>
      </c>
      <c r="C33" s="263"/>
      <c r="D33" s="266"/>
      <c r="E33" s="266"/>
      <c r="F33" s="266"/>
      <c r="G33" s="266"/>
      <c r="H33" s="180"/>
      <c r="I33" s="271" t="s">
        <v>1514</v>
      </c>
      <c r="J33" s="271"/>
      <c r="K33" s="272" t="str">
        <f>D13</f>
        <v>6/12</v>
      </c>
      <c r="L33" s="272" t="str">
        <f>E13</f>
        <v>6/13E</v>
      </c>
      <c r="M33" s="272" t="str">
        <f>F13</f>
        <v>6/14E</v>
      </c>
      <c r="N33" s="272" t="str">
        <f>G13</f>
        <v>6/15E</v>
      </c>
      <c r="R33" s="1220"/>
      <c r="S33" s="1220"/>
      <c r="T33" s="1220"/>
      <c r="U33" s="1220"/>
      <c r="V33" s="1220"/>
      <c r="W33" s="1220"/>
      <c r="X33" s="1220"/>
      <c r="Y33" s="1220"/>
      <c r="Z33" s="1220"/>
      <c r="AA33" s="1220"/>
      <c r="AB33" s="1220"/>
      <c r="AL33" s="189"/>
      <c r="AM33" s="189"/>
      <c r="AS33" s="183" t="s">
        <v>571</v>
      </c>
      <c r="AT33" s="183" t="s">
        <v>572</v>
      </c>
    </row>
    <row r="34" spans="2:46" ht="12" customHeight="1">
      <c r="B34" s="263" t="s">
        <v>581</v>
      </c>
      <c r="C34" s="263"/>
      <c r="D34" s="264" t="str">
        <f>IF(ISERROR(D29-D28),"",(D29-D28))</f>
        <v/>
      </c>
      <c r="E34" s="264" t="str">
        <f>IF(ISERROR(E29-E28),"",(E29-E28))</f>
        <v/>
      </c>
      <c r="F34" s="264" t="str">
        <f>IF(ISERROR(F29-F28),"",(F29-F28))</f>
        <v/>
      </c>
      <c r="G34" s="264" t="str">
        <f>IF(ISERROR(G29-G28),"",(G29-G28))</f>
        <v/>
      </c>
      <c r="H34" s="180"/>
      <c r="I34" s="258"/>
      <c r="J34" s="258"/>
      <c r="K34" s="263"/>
      <c r="L34" s="263"/>
      <c r="M34" s="263"/>
      <c r="N34" s="263"/>
      <c r="R34" s="200"/>
      <c r="S34" s="200"/>
      <c r="T34" s="200"/>
      <c r="U34" s="200"/>
      <c r="V34" s="200"/>
      <c r="W34" s="200"/>
      <c r="X34" s="200"/>
      <c r="Y34" s="200"/>
      <c r="Z34" s="200"/>
      <c r="AA34" s="200"/>
      <c r="AB34" s="200"/>
      <c r="AL34" s="189"/>
      <c r="AM34" s="189"/>
      <c r="AS34" s="183" t="s">
        <v>574</v>
      </c>
      <c r="AT34" s="183" t="s">
        <v>575</v>
      </c>
    </row>
    <row r="35" spans="2:46" ht="12" customHeight="1">
      <c r="B35" s="263" t="s">
        <v>535</v>
      </c>
      <c r="C35" s="263"/>
      <c r="D35" s="264" t="str">
        <f>IF(ISERROR(D19),"",(D19))</f>
        <v/>
      </c>
      <c r="E35" s="264" t="str">
        <f>IF(ISERROR(E19),"",(E19))</f>
        <v/>
      </c>
      <c r="F35" s="264" t="str">
        <f>IF(ISERROR(F19),"",(F19))</f>
        <v/>
      </c>
      <c r="G35" s="264" t="str">
        <f>IF(ISERROR(G19),"",(G19))</f>
        <v/>
      </c>
      <c r="H35" s="180"/>
      <c r="I35" s="262" t="s">
        <v>586</v>
      </c>
      <c r="J35" s="263"/>
      <c r="K35" s="263"/>
      <c r="L35" s="263"/>
      <c r="M35" s="263"/>
      <c r="N35" s="263"/>
      <c r="R35" s="1214" t="s">
        <v>576</v>
      </c>
      <c r="S35" s="1214"/>
      <c r="T35" s="203"/>
      <c r="U35" s="1221" t="s">
        <v>577</v>
      </c>
      <c r="V35" s="1222"/>
      <c r="W35" s="1218" t="s">
        <v>578</v>
      </c>
      <c r="X35" s="1219"/>
      <c r="Y35" s="1219"/>
      <c r="Z35" s="1219"/>
      <c r="AA35" s="1219"/>
      <c r="AB35" s="1219"/>
      <c r="AL35" s="189"/>
      <c r="AM35" s="189"/>
      <c r="AS35" s="183" t="s">
        <v>579</v>
      </c>
      <c r="AT35" s="183" t="s">
        <v>580</v>
      </c>
    </row>
    <row r="36" spans="2:46" ht="12" customHeight="1">
      <c r="B36" s="262" t="s">
        <v>1501</v>
      </c>
      <c r="C36" s="263"/>
      <c r="D36" s="267" t="str">
        <f>IF(ISERROR(D23-D24-D26-D27+D25+D19),"",(D23-D24-D26-D27+D25+D19))</f>
        <v/>
      </c>
      <c r="E36" s="267" t="str">
        <f>IF(ISERROR(E23-E24-E26-E27+E25+E19),"",(E23-E24-E26-E27+E25+E19))</f>
        <v/>
      </c>
      <c r="F36" s="267" t="str">
        <f>IF(ISERROR(F23-F24-F26-F27+F25+F19),"",(F23-F24-F26-F27+F25+F19))</f>
        <v/>
      </c>
      <c r="G36" s="267" t="str">
        <f>IF(ISERROR(G23-G24-G26-G27+G25+G19),"",(G23-G24-G26-G27+G25+G19))</f>
        <v/>
      </c>
      <c r="H36" s="180"/>
      <c r="I36" s="263" t="s">
        <v>590</v>
      </c>
      <c r="J36" s="263"/>
      <c r="K36" s="264" t="str">
        <f>IF(ISERROR(INDUST_TPLATE!D152),"",(INDUST_TPLATE!D152))</f>
        <v/>
      </c>
      <c r="L36" s="264" t="str">
        <f>IF(ISERROR(INDUST_TPLATE!E152),"",(INDUST_TPLATE!E152))</f>
        <v/>
      </c>
      <c r="M36" s="264" t="str">
        <f>IF(ISERROR(INDUST_TPLATE!F152),"",(INDUST_TPLATE!F152))</f>
        <v/>
      </c>
      <c r="N36" s="264" t="str">
        <f>IF(ISERROR(INDUST_TPLATE!G152),"",(INDUST_TPLATE!G152))</f>
        <v/>
      </c>
      <c r="R36" s="1214"/>
      <c r="S36" s="1214"/>
      <c r="T36" s="203"/>
      <c r="U36" s="1223"/>
      <c r="V36" s="1224"/>
      <c r="W36" s="1218"/>
      <c r="X36" s="1219"/>
      <c r="Y36" s="1219"/>
      <c r="Z36" s="1219"/>
      <c r="AA36" s="1219"/>
      <c r="AB36" s="1219"/>
      <c r="AL36" s="189"/>
      <c r="AM36" s="189"/>
      <c r="AS36" s="183" t="s">
        <v>582</v>
      </c>
      <c r="AT36" s="183" t="s">
        <v>583</v>
      </c>
    </row>
    <row r="37" spans="2:46" ht="12" customHeight="1">
      <c r="B37" s="263" t="s">
        <v>589</v>
      </c>
      <c r="C37" s="263"/>
      <c r="D37" s="264" t="e">
        <f>INDUST_TPLATE!D24</f>
        <v>#VALUE!</v>
      </c>
      <c r="E37" s="264" t="e">
        <f>INDUST_TPLATE!E24</f>
        <v>#VALUE!</v>
      </c>
      <c r="F37" s="264" t="e">
        <f>INDUST_TPLATE!F24</f>
        <v>#VALUE!</v>
      </c>
      <c r="G37" s="264" t="e">
        <f>INDUST_TPLATE!G24</f>
        <v>#VALUE!</v>
      </c>
      <c r="H37" s="180"/>
      <c r="I37" s="263" t="s">
        <v>594</v>
      </c>
      <c r="J37" s="263"/>
      <c r="K37" s="264" t="str">
        <f>IF(ISERROR(INDUST_TPLATE!D153),"",(INDUST_TPLATE!D153))</f>
        <v/>
      </c>
      <c r="L37" s="264" t="str">
        <f>IF(ISERROR(INDUST_TPLATE!E153),"",(INDUST_TPLATE!E153))</f>
        <v/>
      </c>
      <c r="M37" s="264" t="str">
        <f>IF(ISERROR(INDUST_TPLATE!F153),"",(INDUST_TPLATE!F153))</f>
        <v/>
      </c>
      <c r="N37" s="264" t="str">
        <f>IF(ISERROR(INDUST_TPLATE!G153),"",(INDUST_TPLATE!G153))</f>
        <v/>
      </c>
      <c r="V37" s="204"/>
      <c r="W37" s="204"/>
      <c r="X37" s="204"/>
      <c r="AL37" s="189"/>
      <c r="AM37" s="189"/>
      <c r="AS37" s="183" t="s">
        <v>584</v>
      </c>
      <c r="AT37" s="183" t="s">
        <v>585</v>
      </c>
    </row>
    <row r="38" spans="2:46" ht="12" customHeight="1">
      <c r="B38" s="263"/>
      <c r="C38" s="263"/>
      <c r="D38" s="266"/>
      <c r="E38" s="266"/>
      <c r="F38" s="266"/>
      <c r="G38" s="266"/>
      <c r="H38" s="180"/>
      <c r="I38" s="263" t="s">
        <v>601</v>
      </c>
      <c r="J38" s="263"/>
      <c r="K38" s="264" t="str">
        <f>IF(ISERROR(INDUST_TPLATE!D156),"",(INDUST_TPLATE!D156))</f>
        <v/>
      </c>
      <c r="L38" s="264" t="str">
        <f>IF(ISERROR(INDUST_TPLATE!E156),"",(INDUST_TPLATE!E156))</f>
        <v/>
      </c>
      <c r="M38" s="264" t="str">
        <f>IF(ISERROR(INDUST_TPLATE!F156),"",(INDUST_TPLATE!F156))</f>
        <v/>
      </c>
      <c r="N38" s="264" t="str">
        <f>IF(ISERROR(INDUST_TPLATE!G156),"",(INDUST_TPLATE!G156))</f>
        <v/>
      </c>
      <c r="R38" s="205"/>
      <c r="S38" s="205"/>
      <c r="T38" s="205"/>
      <c r="U38" s="205"/>
      <c r="V38" s="205"/>
      <c r="W38" s="205"/>
      <c r="X38" s="205"/>
      <c r="Y38" s="205"/>
      <c r="Z38" s="205"/>
      <c r="AA38" s="205"/>
      <c r="AB38" s="205"/>
      <c r="AL38" s="189"/>
      <c r="AM38" s="189"/>
      <c r="AS38" s="183" t="s">
        <v>587</v>
      </c>
      <c r="AT38" s="183" t="s">
        <v>588</v>
      </c>
    </row>
    <row r="39" spans="2:46" ht="12" customHeight="1">
      <c r="B39" s="263" t="s">
        <v>597</v>
      </c>
      <c r="C39" s="263" t="s">
        <v>598</v>
      </c>
      <c r="D39" s="268" t="e">
        <f>MODEL!#REF!</f>
        <v>#REF!</v>
      </c>
      <c r="E39" s="268" t="e">
        <f>MODEL!#REF!</f>
        <v>#REF!</v>
      </c>
      <c r="F39" s="268" t="e">
        <f>MODEL!#REF!</f>
        <v>#REF!</v>
      </c>
      <c r="G39" s="268" t="e">
        <f>MODEL!#REF!</f>
        <v>#REF!</v>
      </c>
      <c r="H39" s="180"/>
      <c r="I39" s="263" t="s">
        <v>605</v>
      </c>
      <c r="J39" s="262"/>
      <c r="K39" s="264" t="str">
        <f>IF(ISERROR(INDUST_TPLATE!D166+INDUST_TPLATE!D167),"",(INDUST_TPLATE!D166+INDUST_TPLATE!D167))</f>
        <v/>
      </c>
      <c r="L39" s="264" t="str">
        <f>IF(ISERROR(INDUST_TPLATE!E166+INDUST_TPLATE!E167),"",(INDUST_TPLATE!E166+INDUST_TPLATE!E167))</f>
        <v/>
      </c>
      <c r="M39" s="264" t="str">
        <f>IF(ISERROR(INDUST_TPLATE!F166+INDUST_TPLATE!F167),"",(INDUST_TPLATE!F166+INDUST_TPLATE!F167))</f>
        <v/>
      </c>
      <c r="N39" s="264" t="str">
        <f>IF(ISERROR(INDUST_TPLATE!G166+INDUST_TPLATE!G167),"",(INDUST_TPLATE!G166+INDUST_TPLATE!G167))</f>
        <v/>
      </c>
      <c r="R39" s="191"/>
      <c r="S39" s="194"/>
      <c r="T39" s="194"/>
      <c r="U39" s="194"/>
      <c r="V39" s="194"/>
      <c r="W39" s="194"/>
      <c r="X39" s="194"/>
      <c r="Y39" s="194"/>
      <c r="Z39" s="195"/>
      <c r="AA39" s="1215" t="s">
        <v>591</v>
      </c>
      <c r="AB39" s="1215"/>
      <c r="AC39" s="1215"/>
      <c r="AD39" s="1215"/>
      <c r="AE39" s="1215"/>
      <c r="AF39" s="1215"/>
      <c r="AG39" s="1215"/>
      <c r="AL39" s="189"/>
      <c r="AM39" s="189"/>
      <c r="AS39" s="183" t="s">
        <v>592</v>
      </c>
      <c r="AT39" s="183" t="s">
        <v>593</v>
      </c>
    </row>
    <row r="40" spans="2:46" ht="12" customHeight="1">
      <c r="B40" s="263" t="s">
        <v>604</v>
      </c>
      <c r="C40" s="263" t="s">
        <v>598</v>
      </c>
      <c r="D40" s="268" t="e">
        <f>MODEL!#REF!</f>
        <v>#REF!</v>
      </c>
      <c r="E40" s="268" t="e">
        <f>MODEL!#REF!</f>
        <v>#REF!</v>
      </c>
      <c r="F40" s="268" t="e">
        <f>MODEL!#REF!</f>
        <v>#REF!</v>
      </c>
      <c r="G40" s="268" t="e">
        <f>MODEL!#REF!</f>
        <v>#REF!</v>
      </c>
      <c r="H40" s="180"/>
      <c r="I40" s="263" t="s">
        <v>609</v>
      </c>
      <c r="J40" s="263"/>
      <c r="K40" s="264" t="str">
        <f>IF(ISERROR(INDUST_TPLATE!D169+INDUST_TPLATE!D170),"",(INDUST_TPLATE!D169+INDUST_TPLATE!D170))</f>
        <v/>
      </c>
      <c r="L40" s="264" t="str">
        <f>IF(ISERROR(INDUST_TPLATE!E169+INDUST_TPLATE!E170),"",(INDUST_TPLATE!E169+INDUST_TPLATE!E170))</f>
        <v/>
      </c>
      <c r="M40" s="264" t="str">
        <f>IF(ISERROR(INDUST_TPLATE!F169+INDUST_TPLATE!F170),"",(INDUST_TPLATE!F169+INDUST_TPLATE!F170))</f>
        <v/>
      </c>
      <c r="N40" s="264" t="str">
        <f>IF(ISERROR(INDUST_TPLATE!G169+INDUST_TPLATE!G170),"",(INDUST_TPLATE!G169+INDUST_TPLATE!G170))</f>
        <v/>
      </c>
      <c r="R40" s="190" t="str">
        <f>VLOOKUP(U35,AS22:AT177,2,FALSE)</f>
        <v>K:\EXCEL\M031\MCH\COMPANY\MISIND\Hwi\Profit.hwi\hwimodel.xls</v>
      </c>
      <c r="S40" s="193"/>
      <c r="T40" s="193"/>
      <c r="U40" s="193"/>
      <c r="V40" s="193"/>
      <c r="W40" s="193"/>
      <c r="X40" s="193"/>
      <c r="Y40" s="193"/>
      <c r="Z40" s="196"/>
      <c r="AA40" s="1215"/>
      <c r="AB40" s="1215"/>
      <c r="AC40" s="1215"/>
      <c r="AD40" s="1215"/>
      <c r="AE40" s="1215"/>
      <c r="AF40" s="1215"/>
      <c r="AG40" s="1215"/>
      <c r="AL40" s="189"/>
      <c r="AM40" s="189"/>
      <c r="AS40" s="183" t="s">
        <v>595</v>
      </c>
      <c r="AT40" s="183" t="s">
        <v>596</v>
      </c>
    </row>
    <row r="41" spans="2:46" ht="12" customHeight="1">
      <c r="B41" s="263" t="s">
        <v>608</v>
      </c>
      <c r="C41" s="263" t="s">
        <v>598</v>
      </c>
      <c r="D41" s="268" t="e">
        <f>MODEL!#REF!</f>
        <v>#REF!</v>
      </c>
      <c r="E41" s="268" t="e">
        <f>MODEL!#REF!</f>
        <v>#REF!</v>
      </c>
      <c r="F41" s="268" t="e">
        <f>MODEL!#REF!</f>
        <v>#REF!</v>
      </c>
      <c r="G41" s="268" t="e">
        <f>MODEL!#REF!</f>
        <v>#REF!</v>
      </c>
      <c r="H41" s="180"/>
      <c r="I41" s="263" t="s">
        <v>613</v>
      </c>
      <c r="J41" s="263"/>
      <c r="K41" s="264" t="str">
        <f>IF(ISERROR(INDUST_TPLATE!D155+INDUST_TPLATE!D164),"",(INDUST_TPLATE!D155+INDUST_TPLATE!D164))</f>
        <v/>
      </c>
      <c r="L41" s="264" t="str">
        <f>IF(ISERROR(INDUST_TPLATE!E155+INDUST_TPLATE!E164),"",(INDUST_TPLATE!E155+INDUST_TPLATE!E164))</f>
        <v/>
      </c>
      <c r="M41" s="264" t="str">
        <f>IF(ISERROR(INDUST_TPLATE!F155+INDUST_TPLATE!F164),"",(INDUST_TPLATE!F155+INDUST_TPLATE!F164))</f>
        <v/>
      </c>
      <c r="N41" s="264" t="str">
        <f>IF(ISERROR(INDUST_TPLATE!G155+INDUST_TPLATE!G164),"",(INDUST_TPLATE!G155+INDUST_TPLATE!G164))</f>
        <v/>
      </c>
      <c r="R41" s="206"/>
      <c r="S41" s="198"/>
      <c r="T41" s="198"/>
      <c r="U41" s="198"/>
      <c r="V41" s="198"/>
      <c r="W41" s="198"/>
      <c r="X41" s="198"/>
      <c r="Y41" s="198"/>
      <c r="Z41" s="199"/>
      <c r="AA41" s="1215"/>
      <c r="AB41" s="1215"/>
      <c r="AC41" s="1215"/>
      <c r="AD41" s="1215"/>
      <c r="AE41" s="1215"/>
      <c r="AF41" s="1215"/>
      <c r="AG41" s="1215"/>
      <c r="AL41" s="189"/>
      <c r="AM41" s="189"/>
      <c r="AS41" s="183" t="s">
        <v>602</v>
      </c>
      <c r="AT41" s="183" t="s">
        <v>603</v>
      </c>
    </row>
    <row r="42" spans="2:46" ht="12" customHeight="1">
      <c r="B42" s="262" t="s">
        <v>612</v>
      </c>
      <c r="C42" s="262" t="s">
        <v>598</v>
      </c>
      <c r="D42" s="269" t="e">
        <f>MODEL!#REF!</f>
        <v>#REF!</v>
      </c>
      <c r="E42" s="269" t="e">
        <f>MODEL!#REF!</f>
        <v>#REF!</v>
      </c>
      <c r="F42" s="269" t="e">
        <f>MODEL!#REF!</f>
        <v>#REF!</v>
      </c>
      <c r="G42" s="269" t="e">
        <f>MODEL!#REF!</f>
        <v>#REF!</v>
      </c>
      <c r="H42" s="180"/>
      <c r="I42" s="263" t="s">
        <v>619</v>
      </c>
      <c r="J42" s="263"/>
      <c r="K42" s="264" t="str">
        <f>IF(ISERROR(K43-SUM(K36:K41)),"",(K43-SUM(K36:K41)))</f>
        <v/>
      </c>
      <c r="L42" s="264" t="str">
        <f>IF(ISERROR(L43-SUM(L36:L41)),"",(L43-SUM(L36:L41)))</f>
        <v/>
      </c>
      <c r="M42" s="264" t="str">
        <f>IF(ISERROR(M43-SUM(M36:M41)),"",(M43-SUM(M36:M41)))</f>
        <v/>
      </c>
      <c r="N42" s="264" t="str">
        <f>IF(ISERROR(N43-SUM(N36:N41)),"",(N43-SUM(N36:N41)))</f>
        <v/>
      </c>
      <c r="R42" s="207"/>
      <c r="S42" s="207"/>
      <c r="T42" s="207"/>
      <c r="U42" s="207"/>
      <c r="V42" s="207"/>
      <c r="W42" s="207"/>
      <c r="X42" s="207"/>
      <c r="Y42" s="207"/>
      <c r="Z42" s="207"/>
      <c r="AA42" s="207"/>
      <c r="AB42" s="207"/>
      <c r="AL42" s="189"/>
      <c r="AM42" s="189"/>
      <c r="AS42" s="183" t="s">
        <v>606</v>
      </c>
      <c r="AT42" s="183" t="s">
        <v>607</v>
      </c>
    </row>
    <row r="43" spans="2:46" ht="12" customHeight="1">
      <c r="B43" s="263" t="s">
        <v>618</v>
      </c>
      <c r="C43" s="263" t="s">
        <v>598</v>
      </c>
      <c r="D43" s="268" t="str">
        <f>IF(ISERROR(D16/D15),"",(D16/D15))</f>
        <v/>
      </c>
      <c r="E43" s="268" t="str">
        <f>IF(ISERROR(E16/E15),"",(E16/E15))</f>
        <v/>
      </c>
      <c r="F43" s="268" t="str">
        <f>IF(ISERROR(F16/F15),"",(F16/F15))</f>
        <v/>
      </c>
      <c r="G43" s="268" t="str">
        <f>IF(ISERROR(G16/G15),"",(G16/G15))</f>
        <v/>
      </c>
      <c r="H43" s="180"/>
      <c r="I43" s="263" t="s">
        <v>623</v>
      </c>
      <c r="J43" s="263"/>
      <c r="K43" s="264" t="str">
        <f>IF(ISERROR(INDUST_TPLATE!D177),"",(INDUST_TPLATE!D177))</f>
        <v/>
      </c>
      <c r="L43" s="264" t="str">
        <f>IF(ISERROR(INDUST_TPLATE!E177),"",(INDUST_TPLATE!E177))</f>
        <v/>
      </c>
      <c r="M43" s="264" t="str">
        <f>IF(ISERROR(INDUST_TPLATE!F177),"",(INDUST_TPLATE!F177))</f>
        <v/>
      </c>
      <c r="N43" s="264" t="str">
        <f>IF(ISERROR(INDUST_TPLATE!G177),"",(INDUST_TPLATE!G177))</f>
        <v/>
      </c>
      <c r="AL43" s="189"/>
      <c r="AM43" s="189"/>
      <c r="AS43" s="183" t="s">
        <v>610</v>
      </c>
      <c r="AT43" s="183" t="s">
        <v>611</v>
      </c>
    </row>
    <row r="44" spans="2:46" ht="12" customHeight="1">
      <c r="B44" s="263" t="s">
        <v>622</v>
      </c>
      <c r="C44" s="263" t="s">
        <v>598</v>
      </c>
      <c r="D44" s="268" t="str">
        <f>IF(ISERROR(D18/D15),"",(D18/D15))</f>
        <v/>
      </c>
      <c r="E44" s="268" t="str">
        <f>IF(ISERROR(E18/E15),"",(E18/E15))</f>
        <v/>
      </c>
      <c r="F44" s="268" t="str">
        <f>IF(ISERROR(F18/F15),"",(F18/F15))</f>
        <v/>
      </c>
      <c r="G44" s="268" t="str">
        <f>IF(ISERROR(G18/G15),"",(G18/G15))</f>
        <v/>
      </c>
      <c r="H44" s="180"/>
      <c r="I44" s="263" t="s">
        <v>627</v>
      </c>
      <c r="J44" s="263"/>
      <c r="K44" s="264" t="str">
        <f>IF(ISERROR(INDUST_TPLATE!D180+INDUST_TPLATE!D192+INDUST_TPLATE!D183),"",(INDUST_TPLATE!D180+INDUST_TPLATE!D192+INDUST_TPLATE!D183))</f>
        <v/>
      </c>
      <c r="L44" s="264" t="str">
        <f>IF(ISERROR(INDUST_TPLATE!E180+INDUST_TPLATE!E192+INDUST_TPLATE!E183),"",(INDUST_TPLATE!E180+INDUST_TPLATE!E192+INDUST_TPLATE!E183))</f>
        <v/>
      </c>
      <c r="M44" s="264" t="str">
        <f>IF(ISERROR(INDUST_TPLATE!F180+INDUST_TPLATE!F192+INDUST_TPLATE!F183),"",(INDUST_TPLATE!F180+INDUST_TPLATE!F192+INDUST_TPLATE!F183))</f>
        <v/>
      </c>
      <c r="N44" s="264" t="str">
        <f>IF(ISERROR(INDUST_TPLATE!G180+INDUST_TPLATE!G192+INDUST_TPLATE!G183),"",(INDUST_TPLATE!G180+INDUST_TPLATE!G192+INDUST_TPLATE!G183))</f>
        <v/>
      </c>
      <c r="R44" s="1226" t="s">
        <v>615</v>
      </c>
      <c r="S44" s="1227"/>
      <c r="T44" s="1227"/>
      <c r="U44" s="1227"/>
      <c r="V44" s="1227"/>
      <c r="W44" s="1227"/>
      <c r="X44" s="1227"/>
      <c r="Y44" s="1227"/>
      <c r="Z44" s="1227"/>
      <c r="AA44" s="1227"/>
      <c r="AB44" s="1228"/>
      <c r="AL44" s="189"/>
      <c r="AM44" s="189"/>
      <c r="AS44" s="183" t="s">
        <v>616</v>
      </c>
      <c r="AT44" s="183" t="s">
        <v>617</v>
      </c>
    </row>
    <row r="45" spans="2:46" ht="12" customHeight="1">
      <c r="B45" s="263" t="s">
        <v>626</v>
      </c>
      <c r="C45" s="263" t="s">
        <v>598</v>
      </c>
      <c r="D45" s="268" t="str">
        <f>IF(ISERROR(D17/D15),"",(D17/D15))</f>
        <v/>
      </c>
      <c r="E45" s="268" t="str">
        <f>IF(ISERROR(E17/E15),"",(E17/E15))</f>
        <v/>
      </c>
      <c r="F45" s="268" t="str">
        <f>IF(ISERROR(F17/F15),"",(F17/F15))</f>
        <v/>
      </c>
      <c r="G45" s="268" t="str">
        <f>IF(ISERROR(G17/G15),"",(G17/G15))</f>
        <v/>
      </c>
      <c r="H45" s="180"/>
      <c r="I45" s="263" t="s">
        <v>632</v>
      </c>
      <c r="J45" s="263"/>
      <c r="K45" s="264" t="str">
        <f>IF(ISERROR(INDUST_TPLATE!D181),"",(INDUST_TPLATE!D181))</f>
        <v/>
      </c>
      <c r="L45" s="264" t="str">
        <f>IF(ISERROR(INDUST_TPLATE!E181),"",(INDUST_TPLATE!E181))</f>
        <v/>
      </c>
      <c r="M45" s="264" t="str">
        <f>IF(ISERROR(INDUST_TPLATE!F181),"",(INDUST_TPLATE!F181))</f>
        <v/>
      </c>
      <c r="N45" s="264" t="str">
        <f>IF(ISERROR(INDUST_TPLATE!G181),"",(INDUST_TPLATE!G181))</f>
        <v/>
      </c>
      <c r="R45" s="1229"/>
      <c r="S45" s="1230"/>
      <c r="T45" s="1230"/>
      <c r="U45" s="1230"/>
      <c r="V45" s="1230"/>
      <c r="W45" s="1230"/>
      <c r="X45" s="1230"/>
      <c r="Y45" s="1230"/>
      <c r="Z45" s="1230"/>
      <c r="AA45" s="1230"/>
      <c r="AB45" s="1231"/>
      <c r="AL45" s="189"/>
      <c r="AM45" s="189"/>
      <c r="AS45" s="183" t="s">
        <v>620</v>
      </c>
      <c r="AT45" s="183" t="s">
        <v>621</v>
      </c>
    </row>
    <row r="46" spans="2:46" ht="12" customHeight="1">
      <c r="B46" s="262" t="s">
        <v>630</v>
      </c>
      <c r="C46" s="262" t="s">
        <v>631</v>
      </c>
      <c r="D46" s="265" t="e">
        <f>IF(ISERROR(D21/D22),"",(D21/D22))*-1</f>
        <v>#VALUE!</v>
      </c>
      <c r="E46" s="265" t="e">
        <f>IF(ISERROR(E21/E22),"",(E21/E22))*-1</f>
        <v>#VALUE!</v>
      </c>
      <c r="F46" s="265" t="e">
        <f>IF(ISERROR(F21/F22),"",(F21/F22))*-1</f>
        <v>#VALUE!</v>
      </c>
      <c r="G46" s="265" t="e">
        <f>IF(ISERROR(G21/G22),"",(G21/G22))*-1</f>
        <v>#VALUE!</v>
      </c>
      <c r="H46" s="180"/>
      <c r="I46" s="263" t="s">
        <v>636</v>
      </c>
      <c r="J46" s="263"/>
      <c r="K46" s="264" t="str">
        <f>IF(ISERROR(INDUST_TPLATE!D193+INDUST_TPLATE!D184),"",(INDUST_TPLATE!D193+INDUST_TPLATE!D184))</f>
        <v/>
      </c>
      <c r="L46" s="264" t="str">
        <f>IF(ISERROR(INDUST_TPLATE!E193+INDUST_TPLATE!E184),"",(INDUST_TPLATE!E193+INDUST_TPLATE!E184))</f>
        <v/>
      </c>
      <c r="M46" s="264" t="str">
        <f>IF(ISERROR(INDUST_TPLATE!F193+INDUST_TPLATE!F184),"",(INDUST_TPLATE!F193+INDUST_TPLATE!F184))</f>
        <v/>
      </c>
      <c r="N46" s="264" t="str">
        <f>IF(ISERROR(INDUST_TPLATE!G193+INDUST_TPLATE!G184),"",(INDUST_TPLATE!G193+INDUST_TPLATE!G184))</f>
        <v/>
      </c>
      <c r="R46" s="1229"/>
      <c r="S46" s="1230"/>
      <c r="T46" s="1230"/>
      <c r="U46" s="1230"/>
      <c r="V46" s="1230"/>
      <c r="W46" s="1230"/>
      <c r="X46" s="1230"/>
      <c r="Y46" s="1230"/>
      <c r="Z46" s="1230"/>
      <c r="AA46" s="1230"/>
      <c r="AB46" s="1231"/>
      <c r="AL46" s="189"/>
      <c r="AM46" s="189"/>
      <c r="AS46" s="183" t="s">
        <v>624</v>
      </c>
      <c r="AT46" s="183" t="s">
        <v>625</v>
      </c>
    </row>
    <row r="47" spans="2:46" ht="12" customHeight="1">
      <c r="B47" s="263" t="s">
        <v>635</v>
      </c>
      <c r="C47" s="263" t="s">
        <v>631</v>
      </c>
      <c r="D47" s="264" t="str">
        <f>IF(ISERROR(-D56/D57),"",(-D56/D57))</f>
        <v/>
      </c>
      <c r="E47" s="264" t="str">
        <f>IF(ISERROR(-E56/E57),"",(-E56/E57))</f>
        <v/>
      </c>
      <c r="F47" s="264" t="str">
        <f>IF(ISERROR(-F56/F57),"",(-F56/F57))</f>
        <v/>
      </c>
      <c r="G47" s="264" t="str">
        <f>IF(ISERROR(-G56/G57),"",(-G56/G57))</f>
        <v/>
      </c>
      <c r="H47" s="180"/>
      <c r="I47" s="263" t="s">
        <v>619</v>
      </c>
      <c r="J47" s="263"/>
      <c r="K47" s="264" t="str">
        <f>IF(ISERROR(K48-SUM(K44:K46)),"",(K48-SUM(K44:K46)))</f>
        <v/>
      </c>
      <c r="L47" s="264" t="str">
        <f>IF(ISERROR(L48-SUM(L44:L46)),"",(L48-SUM(L44:L46)))</f>
        <v/>
      </c>
      <c r="M47" s="264" t="str">
        <f>IF(ISERROR(M48-SUM(M44:M46)),"",(M48-SUM(M44:M46)))</f>
        <v/>
      </c>
      <c r="N47" s="264" t="str">
        <f>IF(ISERROR(N48-SUM(N44:N46)),"",(N48-SUM(N44:N46)))</f>
        <v/>
      </c>
      <c r="R47" s="1229"/>
      <c r="S47" s="1230"/>
      <c r="T47" s="1230"/>
      <c r="U47" s="1230"/>
      <c r="V47" s="1230"/>
      <c r="W47" s="1230"/>
      <c r="X47" s="1230"/>
      <c r="Y47" s="1230"/>
      <c r="Z47" s="1230"/>
      <c r="AA47" s="1230"/>
      <c r="AB47" s="1231"/>
      <c r="AL47" s="189"/>
      <c r="AM47" s="189"/>
      <c r="AS47" s="183" t="s">
        <v>628</v>
      </c>
      <c r="AT47" s="183" t="s">
        <v>629</v>
      </c>
    </row>
    <row r="48" spans="2:46" ht="12" customHeight="1">
      <c r="B48" s="263" t="s">
        <v>639</v>
      </c>
      <c r="C48" s="263" t="s">
        <v>598</v>
      </c>
      <c r="D48" s="269" t="str">
        <f>IF(ISERROR(D24/(D23+D19)),"",(D24/(D23+D19)))</f>
        <v/>
      </c>
      <c r="E48" s="269" t="str">
        <f>IF(ISERROR(E24/(E23+E19)),"",(E24/(E23+E19)))</f>
        <v/>
      </c>
      <c r="F48" s="269" t="str">
        <f>IF(ISERROR(F24/(F23+F19)),"",(F24/(F23+F19)))</f>
        <v/>
      </c>
      <c r="G48" s="269" t="str">
        <f>IF(ISERROR(G24/(G23+G19)),"",(G24/(G23+G19)))</f>
        <v/>
      </c>
      <c r="H48" s="193"/>
      <c r="I48" s="263" t="s">
        <v>643</v>
      </c>
      <c r="J48" s="263"/>
      <c r="K48" s="264" t="str">
        <f>IF(ISERROR(INDUST_TPLATE!D199),"",(INDUST_TPLATE!D199))</f>
        <v/>
      </c>
      <c r="L48" s="264" t="str">
        <f>IF(ISERROR(INDUST_TPLATE!E199),"",(INDUST_TPLATE!E199))</f>
        <v/>
      </c>
      <c r="M48" s="264" t="str">
        <f>IF(ISERROR(INDUST_TPLATE!F199),"",(INDUST_TPLATE!F199))</f>
        <v/>
      </c>
      <c r="N48" s="264" t="str">
        <f>IF(ISERROR(INDUST_TPLATE!G199),"",(INDUST_TPLATE!G199))</f>
        <v/>
      </c>
      <c r="R48" s="1232"/>
      <c r="S48" s="1233"/>
      <c r="T48" s="1233"/>
      <c r="U48" s="1233"/>
      <c r="V48" s="1233"/>
      <c r="W48" s="1233"/>
      <c r="X48" s="1233"/>
      <c r="Y48" s="1233"/>
      <c r="Z48" s="1233"/>
      <c r="AA48" s="1233"/>
      <c r="AB48" s="1234"/>
      <c r="AL48" s="189"/>
      <c r="AM48" s="189"/>
      <c r="AS48" s="183" t="s">
        <v>633</v>
      </c>
      <c r="AT48" s="183" t="s">
        <v>634</v>
      </c>
    </row>
    <row r="49" spans="2:46" ht="12" customHeight="1">
      <c r="B49" s="262" t="s">
        <v>1502</v>
      </c>
      <c r="C49" s="262" t="s">
        <v>598</v>
      </c>
      <c r="D49" s="270" t="str">
        <f>IF(ISERROR(D29/(K54-K53-K52)),"",(D29/(K54-K53-K52)))</f>
        <v/>
      </c>
      <c r="E49" s="270" t="str">
        <f>IF(ISERROR(E29/(L54-L53-L52)),"",(E29/(L54-L53-L52)))</f>
        <v/>
      </c>
      <c r="F49" s="270" t="str">
        <f>IF(ISERROR(F29/(M54-M53-M52)),"",(F29/(M54-M53-M52)))</f>
        <v/>
      </c>
      <c r="G49" s="270" t="str">
        <f>IF(ISERROR(G29/(N54-N53-N52)),"",(G29/(N54-N53-N52)))</f>
        <v/>
      </c>
      <c r="H49" s="180"/>
      <c r="I49" s="262" t="s">
        <v>647</v>
      </c>
      <c r="J49" s="263"/>
      <c r="K49" s="264"/>
      <c r="L49" s="264"/>
      <c r="M49" s="264"/>
      <c r="N49" s="264"/>
      <c r="R49" s="208"/>
      <c r="S49" s="208"/>
      <c r="T49" s="208"/>
      <c r="U49" s="208"/>
      <c r="V49" s="208"/>
      <c r="W49" s="208"/>
      <c r="X49" s="208"/>
      <c r="Y49" s="208"/>
      <c r="Z49" s="208"/>
      <c r="AA49" s="208"/>
      <c r="AB49" s="208"/>
      <c r="AL49" s="189"/>
      <c r="AM49" s="189"/>
      <c r="AS49" s="183" t="s">
        <v>637</v>
      </c>
      <c r="AT49" s="183" t="s">
        <v>638</v>
      </c>
    </row>
    <row r="50" spans="2:46" ht="12" customHeight="1">
      <c r="B50" s="263"/>
      <c r="C50" s="263"/>
      <c r="D50" s="263"/>
      <c r="E50" s="263"/>
      <c r="F50" s="263"/>
      <c r="G50" s="263"/>
      <c r="H50" s="180"/>
      <c r="I50" s="263" t="s">
        <v>650</v>
      </c>
      <c r="J50" s="263"/>
      <c r="K50" s="264" t="str">
        <f>IF(ISERROR(INDUST_TPLATE!D206+INDUST_TPLATE!D208),"",(INDUST_TPLATE!D206+INDUST_TPLATE!D208))</f>
        <v/>
      </c>
      <c r="L50" s="264" t="str">
        <f>IF(ISERROR(INDUST_TPLATE!E206+INDUST_TPLATE!E208),"",(INDUST_TPLATE!E206+INDUST_TPLATE!E208))</f>
        <v/>
      </c>
      <c r="M50" s="264" t="str">
        <f>IF(ISERROR(INDUST_TPLATE!F206+INDUST_TPLATE!F208),"",(INDUST_TPLATE!F206+INDUST_TPLATE!F208))</f>
        <v/>
      </c>
      <c r="N50" s="264" t="str">
        <f>IF(ISERROR(INDUST_TPLATE!G206+INDUST_TPLATE!G208),"",(INDUST_TPLATE!G206+INDUST_TPLATE!G208))</f>
        <v/>
      </c>
      <c r="AL50" s="189"/>
      <c r="AM50" s="189"/>
      <c r="AS50" s="183" t="s">
        <v>640</v>
      </c>
      <c r="AT50" s="183" t="s">
        <v>641</v>
      </c>
    </row>
    <row r="51" spans="2:46" ht="12" customHeight="1">
      <c r="B51" s="263"/>
      <c r="C51" s="263"/>
      <c r="D51" s="263"/>
      <c r="E51" s="263"/>
      <c r="F51" s="263"/>
      <c r="G51" s="263"/>
      <c r="H51" s="180"/>
      <c r="I51" s="263" t="s">
        <v>655</v>
      </c>
      <c r="J51" s="263"/>
      <c r="K51" s="264" t="str">
        <f>IF(ISERROR(INDUST_TPLATE!D209),"",(INDUST_TPLATE!D209))</f>
        <v/>
      </c>
      <c r="L51" s="264" t="str">
        <f>IF(ISERROR(INDUST_TPLATE!E209),"",(INDUST_TPLATE!E209))</f>
        <v/>
      </c>
      <c r="M51" s="264" t="str">
        <f>IF(ISERROR(INDUST_TPLATE!F209),"",(INDUST_TPLATE!F209))</f>
        <v/>
      </c>
      <c r="N51" s="264" t="str">
        <f>IF(ISERROR(INDUST_TPLATE!G209),"",(INDUST_TPLATE!G209))</f>
        <v/>
      </c>
      <c r="R51" s="1209" t="s">
        <v>644</v>
      </c>
      <c r="S51" s="1209"/>
      <c r="T51" s="1209"/>
      <c r="U51" s="1209"/>
      <c r="V51" s="1209"/>
      <c r="W51" s="1209"/>
      <c r="AL51" s="189"/>
      <c r="AM51" s="189"/>
      <c r="AS51" s="183" t="s">
        <v>645</v>
      </c>
      <c r="AT51" s="183" t="s">
        <v>646</v>
      </c>
    </row>
    <row r="52" spans="2:46" ht="12" customHeight="1">
      <c r="B52" s="271" t="s">
        <v>1515</v>
      </c>
      <c r="C52" s="271"/>
      <c r="D52" s="272" t="str">
        <f>D13</f>
        <v>6/12</v>
      </c>
      <c r="E52" s="272" t="str">
        <f>E13</f>
        <v>6/13E</v>
      </c>
      <c r="F52" s="272" t="str">
        <f>F13</f>
        <v>6/14E</v>
      </c>
      <c r="G52" s="272" t="str">
        <f>G13</f>
        <v>6/15E</v>
      </c>
      <c r="H52" s="180"/>
      <c r="I52" s="263" t="s">
        <v>659</v>
      </c>
      <c r="J52" s="263"/>
      <c r="K52" s="264" t="str">
        <f>IF(ISERROR(INDUST_TPLATE!D211),"",(INDUST_TPLATE!D211))</f>
        <v/>
      </c>
      <c r="L52" s="264" t="str">
        <f>IF(ISERROR(INDUST_TPLATE!E211),"",(INDUST_TPLATE!E211))</f>
        <v/>
      </c>
      <c r="M52" s="264" t="str">
        <f>IF(ISERROR(INDUST_TPLATE!F211),"",(INDUST_TPLATE!F211))</f>
        <v/>
      </c>
      <c r="N52" s="264" t="str">
        <f>IF(ISERROR(INDUST_TPLATE!G211),"",(INDUST_TPLATE!G211))</f>
        <v/>
      </c>
      <c r="R52" s="1209"/>
      <c r="S52" s="1209"/>
      <c r="T52" s="1209"/>
      <c r="U52" s="1209"/>
      <c r="V52" s="1209"/>
      <c r="W52" s="1209"/>
      <c r="AL52" s="189"/>
      <c r="AM52" s="189"/>
      <c r="AS52" s="183" t="s">
        <v>648</v>
      </c>
      <c r="AT52" s="183" t="s">
        <v>649</v>
      </c>
    </row>
    <row r="53" spans="2:46" ht="12" customHeight="1">
      <c r="B53" s="258"/>
      <c r="C53" s="258"/>
      <c r="D53" s="273"/>
      <c r="E53" s="273"/>
      <c r="F53" s="273"/>
      <c r="G53" s="273"/>
      <c r="H53" s="180"/>
      <c r="I53" s="263" t="s">
        <v>663</v>
      </c>
      <c r="J53" s="263"/>
      <c r="K53" s="264">
        <f>IF(ISERROR(INDUST_TPLATE!D207),"",(INDUST_TPLATE!D207))</f>
        <v>0</v>
      </c>
      <c r="L53" s="264">
        <f>IF(ISERROR(INDUST_TPLATE!E207),"",(INDUST_TPLATE!E207))</f>
        <v>0</v>
      </c>
      <c r="M53" s="264">
        <f>IF(ISERROR(INDUST_TPLATE!F207),"",(INDUST_TPLATE!F207))</f>
        <v>0</v>
      </c>
      <c r="N53" s="264">
        <f>IF(ISERROR(INDUST_TPLATE!G207),"",(INDUST_TPLATE!G207))</f>
        <v>0</v>
      </c>
      <c r="R53" s="180"/>
      <c r="S53" s="180"/>
      <c r="T53" s="180"/>
      <c r="U53" s="180"/>
      <c r="V53" s="180"/>
      <c r="W53" s="180"/>
      <c r="AL53" s="189"/>
      <c r="AM53" s="189"/>
      <c r="AS53" s="183" t="s">
        <v>651</v>
      </c>
      <c r="AT53" s="183" t="s">
        <v>652</v>
      </c>
    </row>
    <row r="54" spans="2:46" ht="12" customHeight="1">
      <c r="B54" s="263" t="s">
        <v>666</v>
      </c>
      <c r="C54" s="274"/>
      <c r="D54" s="266" t="str">
        <f>IF(ISERROR(D16),"",(D16))</f>
        <v/>
      </c>
      <c r="E54" s="266" t="str">
        <f>IF(ISERROR(E16),"",(E16))</f>
        <v/>
      </c>
      <c r="F54" s="266" t="str">
        <f>IF(ISERROR(F16),"",(F16))</f>
        <v/>
      </c>
      <c r="G54" s="266" t="str">
        <f>IF(ISERROR(G16),"",(G16))</f>
        <v/>
      </c>
      <c r="H54" s="180"/>
      <c r="I54" s="263" t="s">
        <v>667</v>
      </c>
      <c r="J54" s="262"/>
      <c r="K54" s="265">
        <f>IF(ISERROR(SUM(K50:K53)),"",(SUM(K50:K53)))</f>
        <v>0</v>
      </c>
      <c r="L54" s="265">
        <f>IF(ISERROR(SUM(L50:L53)),"",(SUM(L50:L53)))</f>
        <v>0</v>
      </c>
      <c r="M54" s="265">
        <f>IF(ISERROR(SUM(M50:M53)),"",(SUM(M50:M53)))</f>
        <v>0</v>
      </c>
      <c r="N54" s="265">
        <f>IF(ISERROR(SUM(N50:N53)),"",(SUM(N50:N53)))</f>
        <v>0</v>
      </c>
      <c r="R54" s="183" t="s">
        <v>656</v>
      </c>
      <c r="AL54" s="189"/>
      <c r="AM54" s="189"/>
      <c r="AS54" s="183" t="s">
        <v>657</v>
      </c>
      <c r="AT54" s="183" t="s">
        <v>658</v>
      </c>
    </row>
    <row r="55" spans="2:46" ht="12" customHeight="1">
      <c r="B55" s="263" t="s">
        <v>670</v>
      </c>
      <c r="C55" s="274"/>
      <c r="D55" s="266" t="e">
        <f>MODEL!#REF!</f>
        <v>#REF!</v>
      </c>
      <c r="E55" s="266" t="e">
        <f>MODEL!#REF!</f>
        <v>#REF!</v>
      </c>
      <c r="F55" s="266" t="e">
        <f>MODEL!#REF!</f>
        <v>#REF!</v>
      </c>
      <c r="G55" s="266" t="e">
        <f>MODEL!#REF!</f>
        <v>#REF!</v>
      </c>
      <c r="H55" s="180"/>
      <c r="I55" s="263" t="s">
        <v>671</v>
      </c>
      <c r="J55" s="263"/>
      <c r="K55" s="264" t="str">
        <f>IF(ISERROR(#REF!),"",(#REF!))</f>
        <v/>
      </c>
      <c r="L55" s="264" t="str">
        <f>IF(ISERROR(#REF!),"",(#REF!))</f>
        <v/>
      </c>
      <c r="M55" s="264" t="str">
        <f>IF(ISERROR(#REF!),"",(#REF!))</f>
        <v/>
      </c>
      <c r="N55" s="264" t="str">
        <f>IF(ISERROR(#REF!),"",(#REF!))</f>
        <v/>
      </c>
      <c r="X55" s="1216" t="s">
        <v>660</v>
      </c>
      <c r="Y55" s="1216"/>
      <c r="Z55" s="1216"/>
      <c r="AA55" s="1216"/>
      <c r="AB55" s="1216"/>
      <c r="AL55" s="189"/>
      <c r="AM55" s="189"/>
      <c r="AS55" s="183" t="s">
        <v>661</v>
      </c>
      <c r="AT55" s="183" t="s">
        <v>662</v>
      </c>
    </row>
    <row r="56" spans="2:46" ht="12" customHeight="1">
      <c r="B56" s="262" t="s">
        <v>674</v>
      </c>
      <c r="C56" s="274"/>
      <c r="D56" s="267" t="str">
        <f>IF(ISERROR(D54+D55),"",(D54+D55))</f>
        <v/>
      </c>
      <c r="E56" s="267" t="str">
        <f>IF(ISERROR(E54+E55),"",(E54+E55))</f>
        <v/>
      </c>
      <c r="F56" s="267" t="str">
        <f>IF(ISERROR(F54+F55),"",(F54+F55))</f>
        <v/>
      </c>
      <c r="G56" s="267" t="str">
        <f>IF(ISERROR(G54+G55),"",(G54+G55))</f>
        <v/>
      </c>
      <c r="H56" s="180"/>
      <c r="I56" s="263"/>
      <c r="J56" s="263"/>
      <c r="K56" s="264"/>
      <c r="L56" s="264"/>
      <c r="M56" s="264"/>
      <c r="N56" s="264"/>
      <c r="X56" s="1216"/>
      <c r="Y56" s="1216"/>
      <c r="Z56" s="1216"/>
      <c r="AA56" s="1216"/>
      <c r="AB56" s="1216"/>
      <c r="AL56" s="189"/>
      <c r="AM56" s="189"/>
      <c r="AS56" s="183" t="s">
        <v>664</v>
      </c>
      <c r="AT56" s="183" t="s">
        <v>665</v>
      </c>
    </row>
    <row r="57" spans="2:46" ht="12" customHeight="1">
      <c r="B57" s="263" t="s">
        <v>678</v>
      </c>
      <c r="C57" s="274"/>
      <c r="D57" s="266" t="str">
        <f>IF(ISERROR(INDUST_TPLATE!D251+INDUST_TPLATE!D250),"",(INDUST_TPLATE!D251+INDUST_TPLATE!D250))</f>
        <v/>
      </c>
      <c r="E57" s="266" t="str">
        <f>IF(ISERROR(INDUST_TPLATE!E251+INDUST_TPLATE!E250),"",(INDUST_TPLATE!E251+INDUST_TPLATE!E250))</f>
        <v/>
      </c>
      <c r="F57" s="266" t="str">
        <f>IF(ISERROR(INDUST_TPLATE!F251+INDUST_TPLATE!F250),"",(INDUST_TPLATE!F251+INDUST_TPLATE!F250))</f>
        <v/>
      </c>
      <c r="G57" s="266" t="str">
        <f>IF(ISERROR(INDUST_TPLATE!G251+INDUST_TPLATE!G250),"",(INDUST_TPLATE!G251+INDUST_TPLATE!G250))</f>
        <v/>
      </c>
      <c r="H57" s="180"/>
      <c r="I57" s="263" t="s">
        <v>679</v>
      </c>
      <c r="J57" s="263" t="s">
        <v>1518</v>
      </c>
      <c r="K57" s="264" t="str">
        <f>IF(ISERROR(K44-K36),"",(K44-K36))</f>
        <v/>
      </c>
      <c r="L57" s="264" t="str">
        <f>IF(ISERROR(L44-L36),"",(L44-L36))</f>
        <v/>
      </c>
      <c r="M57" s="264" t="str">
        <f>IF(ISERROR(M44-M36),"",(M44-M36))</f>
        <v/>
      </c>
      <c r="N57" s="264" t="str">
        <f>IF(ISERROR(N44-N36),"",(N44-N36))</f>
        <v/>
      </c>
      <c r="AL57" s="189"/>
      <c r="AM57" s="189"/>
      <c r="AS57" s="183" t="s">
        <v>668</v>
      </c>
      <c r="AT57" s="183" t="s">
        <v>669</v>
      </c>
    </row>
    <row r="58" spans="2:46" ht="12" customHeight="1">
      <c r="B58" s="263" t="s">
        <v>683</v>
      </c>
      <c r="C58" s="274"/>
      <c r="D58" s="266" t="str">
        <f>IF(ISERROR(INDUST_TPLATE!D252),"",(INDUST_TPLATE!D252))</f>
        <v/>
      </c>
      <c r="E58" s="266" t="str">
        <f>IF(ISERROR(INDUST_TPLATE!E252),"",(INDUST_TPLATE!E252))</f>
        <v/>
      </c>
      <c r="F58" s="266" t="str">
        <f>IF(ISERROR(INDUST_TPLATE!F252),"",(INDUST_TPLATE!F252))</f>
        <v/>
      </c>
      <c r="G58" s="266" t="str">
        <f>IF(ISERROR(INDUST_TPLATE!G252),"",(INDUST_TPLATE!G252))</f>
        <v/>
      </c>
      <c r="H58" s="180"/>
      <c r="I58" s="263" t="s">
        <v>987</v>
      </c>
      <c r="J58" s="263" t="s">
        <v>631</v>
      </c>
      <c r="K58" s="264" t="e">
        <f>K57/D16</f>
        <v>#VALUE!</v>
      </c>
      <c r="L58" s="264" t="e">
        <f>L57/E16</f>
        <v>#VALUE!</v>
      </c>
      <c r="M58" s="264" t="e">
        <f>M57/F16</f>
        <v>#VALUE!</v>
      </c>
      <c r="N58" s="264" t="e">
        <f>N57/G16</f>
        <v>#VALUE!</v>
      </c>
      <c r="AL58" s="189"/>
      <c r="AM58" s="189"/>
      <c r="AS58" s="183" t="s">
        <v>672</v>
      </c>
      <c r="AT58" s="183" t="s">
        <v>673</v>
      </c>
    </row>
    <row r="59" spans="2:46" ht="12" customHeight="1">
      <c r="B59" s="263" t="s">
        <v>619</v>
      </c>
      <c r="C59" s="274"/>
      <c r="D59" s="266" t="str">
        <f>IF(ISERROR(D60-SUM(D56:D58)),"",(D60-SUM(D56:D58)))</f>
        <v/>
      </c>
      <c r="E59" s="266" t="str">
        <f>IF(ISERROR(E60-SUM(E56:E58)),"",(E60-SUM(E56:E58)))</f>
        <v/>
      </c>
      <c r="F59" s="266" t="str">
        <f>IF(ISERROR(F60-SUM(F56:F58)),"",(F60-SUM(F56:F58)))</f>
        <v/>
      </c>
      <c r="G59" s="266" t="str">
        <f>IF(ISERROR(G60-SUM(G56:G58)),"",(G60-SUM(G56:G58)))</f>
        <v/>
      </c>
      <c r="H59" s="180"/>
      <c r="I59" s="262" t="s">
        <v>684</v>
      </c>
      <c r="J59" s="262" t="s">
        <v>598</v>
      </c>
      <c r="K59" s="270" t="str">
        <f>IF(ISERROR(K57/K54),"",(K57/K54))</f>
        <v/>
      </c>
      <c r="L59" s="270" t="str">
        <f>IF(ISERROR(L57/L54),"",(L57/L54))</f>
        <v/>
      </c>
      <c r="M59" s="270" t="str">
        <f>IF(ISERROR(M57/M54),"",(M57/M54))</f>
        <v/>
      </c>
      <c r="N59" s="270" t="str">
        <f>IF(ISERROR(N57/N54),"",(N57/N54))</f>
        <v/>
      </c>
      <c r="R59" s="1209" t="s">
        <v>675</v>
      </c>
      <c r="S59" s="1209"/>
      <c r="T59" s="1209"/>
      <c r="U59" s="1209"/>
      <c r="V59" s="1209"/>
      <c r="W59" s="1209"/>
      <c r="AL59" s="189"/>
      <c r="AM59" s="189"/>
      <c r="AS59" s="183" t="s">
        <v>676</v>
      </c>
      <c r="AT59" s="183" t="s">
        <v>677</v>
      </c>
    </row>
    <row r="60" spans="2:46" ht="12" customHeight="1">
      <c r="B60" s="262" t="s">
        <v>690</v>
      </c>
      <c r="C60" s="274"/>
      <c r="D60" s="267" t="str">
        <f>IF(ISERROR(INDUST_TPLATE!D254-INDUST_TPLATE!D249),"",(INDUST_TPLATE!D254-INDUST_TPLATE!D249))</f>
        <v/>
      </c>
      <c r="E60" s="267" t="str">
        <f>IF(ISERROR(INDUST_TPLATE!E254-INDUST_TPLATE!E249),"",(INDUST_TPLATE!E254-INDUST_TPLATE!E249))</f>
        <v/>
      </c>
      <c r="F60" s="267" t="str">
        <f>IF(ISERROR(INDUST_TPLATE!F254-INDUST_TPLATE!F249),"",(INDUST_TPLATE!F254-INDUST_TPLATE!F249))</f>
        <v/>
      </c>
      <c r="G60" s="267" t="str">
        <f>IF(ISERROR(INDUST_TPLATE!G254-INDUST_TPLATE!G249),"",(INDUST_TPLATE!G254-INDUST_TPLATE!G249))</f>
        <v/>
      </c>
      <c r="H60" s="180"/>
      <c r="I60" s="263" t="s">
        <v>687</v>
      </c>
      <c r="J60" s="263" t="s">
        <v>598</v>
      </c>
      <c r="K60" s="269" t="str">
        <f>IF(ISERROR(K57/(K57+K54)),"",(K57/(K57+K54)))</f>
        <v/>
      </c>
      <c r="L60" s="269" t="str">
        <f>IF(ISERROR(L57/(L57+L54)),"",(L57/(L57+L54)))</f>
        <v/>
      </c>
      <c r="M60" s="269" t="str">
        <f>IF(ISERROR(M57/(M57+M54)),"",(M57/(M57+M54)))</f>
        <v/>
      </c>
      <c r="N60" s="269" t="str">
        <f>IF(ISERROR(N57/(N57+N54)),"",(N57/(N57+N54)))</f>
        <v/>
      </c>
      <c r="R60" s="1209"/>
      <c r="S60" s="1209"/>
      <c r="T60" s="1209"/>
      <c r="U60" s="1209"/>
      <c r="V60" s="1209"/>
      <c r="W60" s="1209"/>
      <c r="AL60" s="189"/>
      <c r="AM60" s="189"/>
      <c r="AS60" s="183" t="s">
        <v>680</v>
      </c>
      <c r="AT60" s="183" t="s">
        <v>682</v>
      </c>
    </row>
    <row r="61" spans="2:46" ht="12" customHeight="1">
      <c r="B61" s="263" t="s">
        <v>696</v>
      </c>
      <c r="C61" s="274"/>
      <c r="D61" s="266" t="str">
        <f>IF(ISERROR(INDUST_TPLATE!D257),"",(INDUST_TPLATE!D257))</f>
        <v/>
      </c>
      <c r="E61" s="266" t="str">
        <f>IF(ISERROR(INDUST_TPLATE!E257),"",(INDUST_TPLATE!E257))</f>
        <v/>
      </c>
      <c r="F61" s="266" t="str">
        <f>IF(ISERROR(INDUST_TPLATE!F257),"",(INDUST_TPLATE!F257))</f>
        <v/>
      </c>
      <c r="G61" s="266" t="str">
        <f>IF(ISERROR(INDUST_TPLATE!G257),"",(INDUST_TPLATE!G257))</f>
        <v/>
      </c>
      <c r="H61" s="180"/>
      <c r="I61" s="263" t="s">
        <v>691</v>
      </c>
      <c r="J61" s="263" t="s">
        <v>1518</v>
      </c>
      <c r="K61" s="264" t="e">
        <f>MODEL!#REF!</f>
        <v>#REF!</v>
      </c>
      <c r="L61" s="264" t="e">
        <f>MODEL!#REF!</f>
        <v>#REF!</v>
      </c>
      <c r="M61" s="264" t="e">
        <f>MODEL!#REF!</f>
        <v>#REF!</v>
      </c>
      <c r="N61" s="264" t="e">
        <f>MODEL!#REF!</f>
        <v>#REF!</v>
      </c>
      <c r="R61" s="180"/>
      <c r="S61" s="180"/>
      <c r="T61" s="180"/>
      <c r="U61" s="180"/>
      <c r="V61" s="180"/>
      <c r="W61" s="180"/>
      <c r="AL61" s="189"/>
      <c r="AM61" s="189"/>
      <c r="AS61" s="183" t="s">
        <v>685</v>
      </c>
      <c r="AT61" s="183" t="s">
        <v>686</v>
      </c>
    </row>
    <row r="62" spans="2:46" ht="12" customHeight="1">
      <c r="B62" s="262" t="s">
        <v>700</v>
      </c>
      <c r="C62" s="274"/>
      <c r="D62" s="267" t="str">
        <f>IF(ISERROR(D60+D61),"",(D60+D61))</f>
        <v/>
      </c>
      <c r="E62" s="267" t="str">
        <f>IF(ISERROR(E60+E61),"",(E60+E61))</f>
        <v/>
      </c>
      <c r="F62" s="267" t="str">
        <f>IF(ISERROR(F60+F61),"",(F60+F61))</f>
        <v/>
      </c>
      <c r="G62" s="267" t="str">
        <f>IF(ISERROR(G60+G61),"",(G60+G61))</f>
        <v/>
      </c>
      <c r="H62" s="180"/>
      <c r="I62" s="263" t="s">
        <v>697</v>
      </c>
      <c r="J62" s="263" t="s">
        <v>598</v>
      </c>
      <c r="K62" s="269" t="str">
        <f>IF(ISERROR(K61/D15),"",(K61/D15))</f>
        <v/>
      </c>
      <c r="L62" s="269" t="str">
        <f>IF(ISERROR(L61/E15),"",(L61/E15))</f>
        <v/>
      </c>
      <c r="M62" s="269" t="str">
        <f>IF(ISERROR(M61/F15),"",(M61/F15))</f>
        <v/>
      </c>
      <c r="N62" s="269" t="str">
        <f>IF(ISERROR(N61/G15),"",(N61/G15))</f>
        <v/>
      </c>
      <c r="R62" s="180"/>
      <c r="S62" s="180"/>
      <c r="T62" s="180"/>
      <c r="U62" s="180"/>
      <c r="V62" s="180"/>
      <c r="W62" s="180"/>
      <c r="AL62" s="189"/>
      <c r="AM62" s="189"/>
      <c r="AS62" s="183" t="s">
        <v>688</v>
      </c>
      <c r="AT62" s="183" t="s">
        <v>689</v>
      </c>
    </row>
    <row r="63" spans="2:46" ht="12" customHeight="1">
      <c r="B63" s="263" t="s">
        <v>704</v>
      </c>
      <c r="C63" s="274"/>
      <c r="D63" s="266" t="str">
        <f>IF(ISERROR(INDUST_TPLATE!D273),"",(INDUST_TPLATE!D273))</f>
        <v/>
      </c>
      <c r="E63" s="266" t="str">
        <f>IF(ISERROR(INDUST_TPLATE!E273),"",(INDUST_TPLATE!E273))</f>
        <v/>
      </c>
      <c r="F63" s="266" t="str">
        <f>IF(ISERROR(INDUST_TPLATE!F273),"",(INDUST_TPLATE!F273))</f>
        <v/>
      </c>
      <c r="G63" s="266" t="str">
        <f>IF(ISERROR(INDUST_TPLATE!G273),"",(INDUST_TPLATE!G273))</f>
        <v/>
      </c>
      <c r="H63" s="180"/>
      <c r="I63" s="263" t="s">
        <v>701</v>
      </c>
      <c r="J63" s="263" t="s">
        <v>598</v>
      </c>
      <c r="K63" s="269" t="str">
        <f>IF(ISERROR(D17/K39),"",(D17/K39))</f>
        <v/>
      </c>
      <c r="L63" s="269" t="str">
        <f>IF(ISERROR(E17/L39),"",(E17/L39))</f>
        <v/>
      </c>
      <c r="M63" s="269" t="str">
        <f>IF(ISERROR(F17/M39),"",(F17/M39))</f>
        <v/>
      </c>
      <c r="N63" s="269" t="str">
        <f>IF(ISERROR(G17/N39),"",(G17/N39))</f>
        <v/>
      </c>
      <c r="R63" s="1214" t="s">
        <v>692</v>
      </c>
      <c r="S63" s="1214"/>
      <c r="T63" s="1214"/>
      <c r="U63" s="1214"/>
      <c r="V63" s="1214"/>
      <c r="W63" s="1214"/>
      <c r="X63" s="1235" t="s">
        <v>693</v>
      </c>
      <c r="Y63" s="1236"/>
      <c r="Z63" s="1237"/>
      <c r="AL63" s="189"/>
      <c r="AM63" s="189"/>
      <c r="AS63" s="183" t="s">
        <v>694</v>
      </c>
      <c r="AT63" s="183" t="s">
        <v>695</v>
      </c>
    </row>
    <row r="64" spans="2:46" ht="12" customHeight="1">
      <c r="B64" s="263" t="s">
        <v>709</v>
      </c>
      <c r="C64" s="274"/>
      <c r="D64" s="266" t="str">
        <f>IF(ISERROR(INDUST_TPLATE!D258),"",(INDUST_TPLATE!D258))</f>
        <v/>
      </c>
      <c r="E64" s="266" t="str">
        <f>IF(ISERROR(INDUST_TPLATE!E258),"",(INDUST_TPLATE!E258))</f>
        <v/>
      </c>
      <c r="F64" s="266" t="str">
        <f>IF(ISERROR(INDUST_TPLATE!F258),"",(INDUST_TPLATE!F258))</f>
        <v/>
      </c>
      <c r="G64" s="266" t="str">
        <f>IF(ISERROR(INDUST_TPLATE!G258),"",(INDUST_TPLATE!G258))</f>
        <v/>
      </c>
      <c r="H64" s="180"/>
      <c r="I64" s="263" t="s">
        <v>705</v>
      </c>
      <c r="J64" s="263" t="s">
        <v>706</v>
      </c>
      <c r="K64" s="264" t="str">
        <f>IF(ISERROR(K37/D15*365),"",(K37/D15*365))</f>
        <v/>
      </c>
      <c r="L64" s="264" t="str">
        <f>IF(ISERROR(L37/E15*365),"",(L37/E15*365))</f>
        <v/>
      </c>
      <c r="M64" s="264" t="str">
        <f>IF(ISERROR(M37/F15*365),"",(M37/F15*365))</f>
        <v/>
      </c>
      <c r="N64" s="264" t="str">
        <f>IF(ISERROR(N37/G15*365),"",(N37/G15*365))</f>
        <v/>
      </c>
      <c r="R64" s="1214"/>
      <c r="S64" s="1214"/>
      <c r="T64" s="1214"/>
      <c r="U64" s="1214"/>
      <c r="V64" s="1214"/>
      <c r="W64" s="1214"/>
      <c r="X64" s="1238"/>
      <c r="Y64" s="1239"/>
      <c r="Z64" s="1240"/>
      <c r="AL64" s="189"/>
      <c r="AM64" s="189"/>
      <c r="AS64" s="183" t="s">
        <v>698</v>
      </c>
      <c r="AT64" s="183" t="s">
        <v>699</v>
      </c>
    </row>
    <row r="65" spans="2:46" ht="12" customHeight="1">
      <c r="B65" s="263" t="s">
        <v>714</v>
      </c>
      <c r="C65" s="274"/>
      <c r="D65" s="266" t="str">
        <f>IF(ISERROR(INDUST_TPLATE!D263+INDUST_TPLATE!D229),"",(INDUST_TPLATE!D263+INDUST_TPLATE!D229))</f>
        <v/>
      </c>
      <c r="E65" s="266" t="str">
        <f>IF(ISERROR(INDUST_TPLATE!E263+INDUST_TPLATE!E229),"",(INDUST_TPLATE!E263+INDUST_TPLATE!E229))</f>
        <v/>
      </c>
      <c r="F65" s="266" t="str">
        <f>IF(ISERROR(INDUST_TPLATE!F263+INDUST_TPLATE!F229),"",(INDUST_TPLATE!F263+INDUST_TPLATE!F229))</f>
        <v/>
      </c>
      <c r="G65" s="266" t="str">
        <f>IF(ISERROR(INDUST_TPLATE!G263+INDUST_TPLATE!G229),"",(INDUST_TPLATE!G263+INDUST_TPLATE!G229))</f>
        <v/>
      </c>
      <c r="H65" s="180"/>
      <c r="I65" s="263" t="s">
        <v>710</v>
      </c>
      <c r="J65" s="263" t="s">
        <v>631</v>
      </c>
      <c r="K65" s="264" t="str">
        <f>IF(ISERROR(D15/K38),"",(D15/K38))</f>
        <v/>
      </c>
      <c r="L65" s="264" t="str">
        <f>IF(ISERROR(E15/L38),"",(E15/L38))</f>
        <v/>
      </c>
      <c r="M65" s="264" t="str">
        <f>IF(ISERROR(F15/M38),"",(F15/M38))</f>
        <v/>
      </c>
      <c r="N65" s="264" t="str">
        <f>IF(ISERROR(G15/N38),"",(G15/N38))</f>
        <v/>
      </c>
      <c r="R65" s="180"/>
      <c r="S65" s="180"/>
      <c r="T65" s="180"/>
      <c r="U65" s="180"/>
      <c r="V65" s="180"/>
      <c r="W65" s="180"/>
      <c r="AL65" s="189"/>
      <c r="AM65" s="189"/>
      <c r="AS65" s="183" t="s">
        <v>702</v>
      </c>
      <c r="AT65" s="183" t="s">
        <v>703</v>
      </c>
    </row>
    <row r="66" spans="2:46" ht="12" customHeight="1">
      <c r="B66" s="263" t="s">
        <v>719</v>
      </c>
      <c r="C66" s="274"/>
      <c r="D66" s="266" t="str">
        <f>IF(ISERROR(INDUST_TPLATE!D259+INDUST_TPLATE!D230+INDUST_TPLATE!D228),"",(INDUST_TPLATE!D259+INDUST_TPLATE!D230+INDUST_TPLATE!D228))</f>
        <v/>
      </c>
      <c r="E66" s="266" t="str">
        <f>IF(ISERROR(INDUST_TPLATE!E259+INDUST_TPLATE!E230+INDUST_TPLATE!E228),"",(INDUST_TPLATE!E259+INDUST_TPLATE!E230+INDUST_TPLATE!E228))</f>
        <v/>
      </c>
      <c r="F66" s="266" t="str">
        <f>IF(ISERROR(INDUST_TPLATE!F259+INDUST_TPLATE!F230+INDUST_TPLATE!F228),"",(INDUST_TPLATE!F259+INDUST_TPLATE!F230+INDUST_TPLATE!F228))</f>
        <v/>
      </c>
      <c r="G66" s="266" t="str">
        <f>IF(ISERROR(INDUST_TPLATE!G259+INDUST_TPLATE!G230+INDUST_TPLATE!G228),"",(INDUST_TPLATE!G259+INDUST_TPLATE!G230+INDUST_TPLATE!G228))</f>
        <v/>
      </c>
      <c r="H66" s="180"/>
      <c r="I66" s="263" t="s">
        <v>715</v>
      </c>
      <c r="J66" s="263" t="s">
        <v>706</v>
      </c>
      <c r="K66" s="264" t="str">
        <f>IF(ISERROR(K45/D15*365),"",(K45/D15*365))</f>
        <v/>
      </c>
      <c r="L66" s="264" t="str">
        <f>IF(ISERROR(L45/E15*365),"",(L45/E15*365))</f>
        <v/>
      </c>
      <c r="M66" s="264" t="str">
        <f>IF(ISERROR(M45/F15*365),"",(M45/F15*365))</f>
        <v/>
      </c>
      <c r="N66" s="264" t="str">
        <f>IF(ISERROR(N45/G15*365),"",(N45/G15*365))</f>
        <v/>
      </c>
      <c r="R66" s="180"/>
      <c r="S66" s="180"/>
      <c r="T66" s="180"/>
      <c r="U66" s="180"/>
      <c r="V66" s="180"/>
      <c r="W66" s="180"/>
      <c r="AL66" s="189"/>
      <c r="AM66" s="189"/>
      <c r="AS66" s="183" t="s">
        <v>707</v>
      </c>
      <c r="AT66" s="183" t="s">
        <v>708</v>
      </c>
    </row>
    <row r="67" spans="2:46" ht="12" customHeight="1">
      <c r="B67" s="263" t="s">
        <v>733</v>
      </c>
      <c r="C67" s="274"/>
      <c r="D67" s="266">
        <f>IF(ISERROR(INDUST_TPLATE!D249),"",(INDUST_TPLATE!D249))</f>
        <v>0</v>
      </c>
      <c r="E67" s="266">
        <f>IF(ISERROR(INDUST_TPLATE!E249),"",(INDUST_TPLATE!E249))</f>
        <v>0</v>
      </c>
      <c r="F67" s="266">
        <f>IF(ISERROR(INDUST_TPLATE!F249),"",(INDUST_TPLATE!F249))</f>
        <v>0</v>
      </c>
      <c r="G67" s="266">
        <f>IF(ISERROR(INDUST_TPLATE!G249),"",(INDUST_TPLATE!G249))</f>
        <v>0</v>
      </c>
      <c r="H67" s="180"/>
      <c r="I67" s="262"/>
      <c r="J67" s="263"/>
      <c r="K67" s="263"/>
      <c r="L67" s="263"/>
      <c r="M67" s="263"/>
      <c r="N67" s="263"/>
      <c r="U67" s="207"/>
      <c r="V67" s="207"/>
      <c r="W67" s="207"/>
      <c r="X67" s="207"/>
      <c r="Y67" s="207"/>
      <c r="Z67" s="207"/>
      <c r="AA67" s="207"/>
      <c r="AB67" s="207"/>
      <c r="AL67" s="189"/>
      <c r="AM67" s="189"/>
      <c r="AS67" s="183" t="s">
        <v>711</v>
      </c>
      <c r="AT67" s="183" t="s">
        <v>713</v>
      </c>
    </row>
    <row r="68" spans="2:46" ht="12" customHeight="1">
      <c r="B68" s="263" t="s">
        <v>738</v>
      </c>
      <c r="C68" s="263"/>
      <c r="D68" s="266" t="str">
        <f>IF(ISERROR(INDUST_TPLATE!D270),"",(INDUST_TPLATE!D270))</f>
        <v/>
      </c>
      <c r="E68" s="266" t="str">
        <f>IF(ISERROR(INDUST_TPLATE!E270),"",(INDUST_TPLATE!E270))</f>
        <v/>
      </c>
      <c r="F68" s="266" t="str">
        <f>IF(ISERROR(INDUST_TPLATE!F270),"",(INDUST_TPLATE!F270))</f>
        <v/>
      </c>
      <c r="G68" s="266" t="str">
        <f>IF(ISERROR(INDUST_TPLATE!G270),"",(INDUST_TPLATE!G270))</f>
        <v/>
      </c>
      <c r="H68" s="180"/>
      <c r="I68" s="271" t="s">
        <v>734</v>
      </c>
      <c r="J68" s="271"/>
      <c r="K68" s="287"/>
      <c r="L68" s="287"/>
      <c r="M68" s="288"/>
      <c r="N68" s="271"/>
      <c r="R68" s="1214" t="s">
        <v>1503</v>
      </c>
      <c r="S68" s="1214"/>
      <c r="T68" s="1214"/>
      <c r="U68" s="1214"/>
      <c r="V68" s="1214"/>
      <c r="W68" s="1214"/>
      <c r="X68" s="1241"/>
      <c r="Y68" s="1242"/>
      <c r="Z68" s="1243"/>
      <c r="AA68" s="207"/>
      <c r="AB68" s="1210" t="s">
        <v>716</v>
      </c>
      <c r="AC68" s="1210"/>
      <c r="AD68" s="1210"/>
      <c r="AL68" s="189"/>
      <c r="AM68" s="189"/>
      <c r="AS68" s="183" t="s">
        <v>717</v>
      </c>
      <c r="AT68" s="183" t="s">
        <v>718</v>
      </c>
    </row>
    <row r="69" spans="2:46" ht="12" customHeight="1">
      <c r="B69" s="263" t="s">
        <v>741</v>
      </c>
      <c r="C69" s="274"/>
      <c r="D69" s="266">
        <f>0</f>
        <v>0</v>
      </c>
      <c r="E69" s="266">
        <f>0</f>
        <v>0</v>
      </c>
      <c r="F69" s="266">
        <f>0</f>
        <v>0</v>
      </c>
      <c r="G69" s="266">
        <f>0</f>
        <v>0</v>
      </c>
      <c r="H69" s="180"/>
      <c r="I69" s="258"/>
      <c r="J69" s="258"/>
      <c r="K69" s="289"/>
      <c r="L69" s="289"/>
      <c r="M69" s="258"/>
      <c r="N69" s="258"/>
      <c r="R69" s="1214"/>
      <c r="S69" s="1214"/>
      <c r="T69" s="1214"/>
      <c r="U69" s="1214"/>
      <c r="V69" s="1214"/>
      <c r="W69" s="1214"/>
      <c r="X69" s="1244"/>
      <c r="Y69" s="1245"/>
      <c r="Z69" s="1246"/>
      <c r="AA69" s="207"/>
      <c r="AB69" s="1210"/>
      <c r="AC69" s="1210"/>
      <c r="AD69" s="1210"/>
      <c r="AL69" s="189"/>
      <c r="AM69" s="189"/>
      <c r="AS69" s="183" t="s">
        <v>731</v>
      </c>
      <c r="AT69" s="183" t="s">
        <v>732</v>
      </c>
    </row>
    <row r="70" spans="2:46" ht="12" customHeight="1">
      <c r="B70" s="262" t="s">
        <v>745</v>
      </c>
      <c r="C70" s="262"/>
      <c r="D70" s="267">
        <f>IF(ISERROR(SUM(D62:D69)),"",(SUM(D62:D69)))</f>
        <v>0</v>
      </c>
      <c r="E70" s="267">
        <f>IF(ISERROR(SUM(E62:E69)),"",(SUM(E62:E69)))</f>
        <v>0</v>
      </c>
      <c r="F70" s="267">
        <f>IF(ISERROR(SUM(F62:F69)),"",(SUM(F62:F69)))</f>
        <v>0</v>
      </c>
      <c r="G70" s="267">
        <f>IF(ISERROR(SUM(G62:G69)),"",(SUM(G62:G69)))</f>
        <v>0</v>
      </c>
      <c r="H70" s="180"/>
      <c r="I70" s="263"/>
      <c r="J70" s="262" t="s">
        <v>742</v>
      </c>
      <c r="K70" s="263"/>
      <c r="L70" s="284"/>
      <c r="M70" s="284"/>
      <c r="N70" s="284"/>
      <c r="R70" s="1216" t="s">
        <v>735</v>
      </c>
      <c r="S70" s="1216"/>
      <c r="T70" s="1216"/>
      <c r="U70" s="1216"/>
      <c r="V70" s="1216"/>
      <c r="W70" s="1216"/>
      <c r="X70" s="207"/>
      <c r="Y70" s="207"/>
      <c r="Z70" s="207"/>
      <c r="AA70" s="207"/>
      <c r="AB70" s="1210"/>
      <c r="AC70" s="1210"/>
      <c r="AD70" s="1210"/>
      <c r="AL70" s="189"/>
      <c r="AM70" s="189"/>
      <c r="AS70" s="183" t="s">
        <v>736</v>
      </c>
      <c r="AT70" s="183" t="s">
        <v>737</v>
      </c>
    </row>
    <row r="71" spans="2:46" ht="12" customHeight="1">
      <c r="B71" s="263"/>
      <c r="C71" s="263"/>
      <c r="D71" s="275"/>
      <c r="E71" s="275"/>
      <c r="F71" s="275"/>
      <c r="G71" s="275"/>
      <c r="H71" s="180"/>
      <c r="I71" s="263" t="s">
        <v>746</v>
      </c>
      <c r="J71" s="290">
        <f>PVCF/J77</f>
        <v>46.069849702060324</v>
      </c>
      <c r="K71" s="263"/>
      <c r="L71" s="291" t="s">
        <v>747</v>
      </c>
      <c r="M71" s="269" t="e">
        <f>#REF!</f>
        <v>#REF!</v>
      </c>
      <c r="N71" s="284"/>
      <c r="R71" s="1216"/>
      <c r="S71" s="1216"/>
      <c r="T71" s="1216"/>
      <c r="U71" s="1216"/>
      <c r="V71" s="1216"/>
      <c r="W71" s="1216"/>
      <c r="X71" s="207"/>
      <c r="Y71" s="207"/>
      <c r="Z71" s="207"/>
      <c r="AA71" s="207"/>
      <c r="AB71" s="207"/>
      <c r="AL71" s="189"/>
      <c r="AM71" s="189"/>
      <c r="AS71" s="183" t="s">
        <v>739</v>
      </c>
      <c r="AT71" s="183" t="s">
        <v>740</v>
      </c>
    </row>
    <row r="72" spans="2:46" ht="12" customHeight="1">
      <c r="B72" s="263" t="s">
        <v>754</v>
      </c>
      <c r="C72" s="263" t="s">
        <v>631</v>
      </c>
      <c r="D72" s="276" t="str">
        <f>IF(ISERROR(D56/D16),"",(D56/D16))</f>
        <v/>
      </c>
      <c r="E72" s="276" t="str">
        <f>IF(ISERROR(E56/E16),"",(E56/E16))</f>
        <v/>
      </c>
      <c r="F72" s="276" t="str">
        <f>IF(ISERROR(F56/F16),"",(F56/F16))</f>
        <v/>
      </c>
      <c r="G72" s="276" t="str">
        <f>IF(ISERROR(G56/G16),"",(G56/G16))</f>
        <v/>
      </c>
      <c r="H72" s="180"/>
      <c r="I72" s="263" t="s">
        <v>750</v>
      </c>
      <c r="J72" s="290">
        <v>0</v>
      </c>
      <c r="K72" s="263"/>
      <c r="L72" s="291" t="s">
        <v>751</v>
      </c>
      <c r="M72" s="269" t="e">
        <f>#REF!</f>
        <v>#REF!</v>
      </c>
      <c r="N72" s="284"/>
      <c r="R72" s="1216"/>
      <c r="S72" s="1216"/>
      <c r="T72" s="1216"/>
      <c r="U72" s="1216"/>
      <c r="V72" s="1216"/>
      <c r="W72" s="1216"/>
      <c r="X72" s="207"/>
      <c r="Y72" s="207"/>
      <c r="Z72" s="207"/>
      <c r="AA72" s="207"/>
      <c r="AB72" s="207"/>
      <c r="AL72" s="189"/>
      <c r="AM72" s="189"/>
      <c r="AS72" s="183" t="s">
        <v>743</v>
      </c>
      <c r="AT72" s="183" t="s">
        <v>744</v>
      </c>
    </row>
    <row r="73" spans="2:46" ht="12" customHeight="1">
      <c r="B73" s="263" t="s">
        <v>758</v>
      </c>
      <c r="C73" s="263" t="s">
        <v>598</v>
      </c>
      <c r="D73" s="269" t="str">
        <f>IF(ISERROR(-D61/D15),"",(-D61/D15))</f>
        <v/>
      </c>
      <c r="E73" s="269" t="str">
        <f>IF(ISERROR(-E61/E15),"",(-E61/E15))</f>
        <v/>
      </c>
      <c r="F73" s="269" t="str">
        <f>IF(ISERROR(-F61/F15),"",(-F61/F15))</f>
        <v/>
      </c>
      <c r="G73" s="269" t="str">
        <f>IF(ISERROR(-G61/G15),"",(-G61/G15))</f>
        <v/>
      </c>
      <c r="H73" s="180"/>
      <c r="I73" s="263" t="s">
        <v>755</v>
      </c>
      <c r="J73" s="290">
        <v>-7.5903224587655203</v>
      </c>
      <c r="K73" s="263"/>
      <c r="L73" s="286" t="s">
        <v>756</v>
      </c>
      <c r="M73" s="269">
        <v>0.107</v>
      </c>
      <c r="N73" s="284"/>
      <c r="O73" s="210"/>
      <c r="U73" s="207"/>
      <c r="V73" s="207"/>
      <c r="W73" s="207"/>
      <c r="X73" s="207"/>
      <c r="Y73" s="207"/>
      <c r="Z73" s="207"/>
      <c r="AA73" s="207"/>
      <c r="AB73" s="207"/>
      <c r="AL73" s="189"/>
      <c r="AM73" s="189"/>
      <c r="AS73" s="183" t="s">
        <v>748</v>
      </c>
      <c r="AT73" s="183" t="s">
        <v>749</v>
      </c>
    </row>
    <row r="74" spans="2:46" ht="12" customHeight="1">
      <c r="B74" s="263" t="s">
        <v>763</v>
      </c>
      <c r="C74" s="263" t="s">
        <v>598</v>
      </c>
      <c r="D74" s="269" t="str">
        <f>IF(ISERROR(-(D61+D64)/D15),"",(-(D61+D64)/D15))</f>
        <v/>
      </c>
      <c r="E74" s="269" t="str">
        <f>IF(ISERROR(-(E61+E64)/E15),"",(-(E61+E64)/E15))</f>
        <v/>
      </c>
      <c r="F74" s="269" t="str">
        <f>IF(ISERROR(-(F61+F64)/F15),"",(-(F61+F64)/F15))</f>
        <v/>
      </c>
      <c r="G74" s="269" t="str">
        <f>IF(ISERROR(-(G61+G64)/G15),"",(-(G61+G64)/G15))</f>
        <v/>
      </c>
      <c r="H74" s="180"/>
      <c r="I74" s="263" t="s">
        <v>759</v>
      </c>
      <c r="J74" s="290" t="e">
        <f>#REF!</f>
        <v>#REF!</v>
      </c>
      <c r="K74" s="263"/>
      <c r="L74" s="286" t="s">
        <v>760</v>
      </c>
      <c r="M74" s="269" t="e">
        <f>[0]!CostDebt</f>
        <v>#REF!</v>
      </c>
      <c r="N74" s="284"/>
      <c r="U74" s="207"/>
      <c r="V74" s="207"/>
      <c r="W74" s="207"/>
      <c r="X74" s="207"/>
      <c r="Y74" s="207"/>
      <c r="Z74" s="207"/>
      <c r="AA74" s="207"/>
      <c r="AB74" s="207"/>
      <c r="AL74" s="189"/>
      <c r="AM74" s="189"/>
      <c r="AS74" s="183" t="s">
        <v>752</v>
      </c>
      <c r="AT74" s="183" t="s">
        <v>753</v>
      </c>
    </row>
    <row r="75" spans="2:46" ht="12" customHeight="1">
      <c r="B75" s="263" t="s">
        <v>768</v>
      </c>
      <c r="C75" s="263" t="s">
        <v>631</v>
      </c>
      <c r="D75" s="277" t="str">
        <f>IF(ISERROR(-D61/D17),"",(-D61/D17))</f>
        <v/>
      </c>
      <c r="E75" s="277" t="str">
        <f>IF(ISERROR(-E61/E17),"",(-E61/E17))</f>
        <v/>
      </c>
      <c r="F75" s="277" t="str">
        <f>IF(ISERROR(-F61/F17),"",(-F61/F17))</f>
        <v/>
      </c>
      <c r="G75" s="277" t="str">
        <f>IF(ISERROR(-G61/G17),"",(-G61/G17))</f>
        <v/>
      </c>
      <c r="H75" s="180"/>
      <c r="I75" s="292" t="s">
        <v>764</v>
      </c>
      <c r="J75" s="293">
        <f>Imp_Credit</f>
        <v>1.4532185186803079</v>
      </c>
      <c r="K75" s="263"/>
      <c r="L75" s="286" t="s">
        <v>765</v>
      </c>
      <c r="M75" s="294" t="e">
        <f>#REF!</f>
        <v>#REF!</v>
      </c>
      <c r="N75" s="284"/>
      <c r="AL75" s="189"/>
      <c r="AM75" s="189"/>
      <c r="AS75" s="183" t="s">
        <v>520</v>
      </c>
      <c r="AT75" s="183" t="s">
        <v>757</v>
      </c>
    </row>
    <row r="76" spans="2:46" ht="12" customHeight="1">
      <c r="B76" s="263" t="s">
        <v>772</v>
      </c>
      <c r="C76" s="263" t="s">
        <v>631</v>
      </c>
      <c r="D76" s="277" t="str">
        <f>IF(ISERROR(-(D61+D64)/D17),"",(-(D61+D64)/D17))</f>
        <v/>
      </c>
      <c r="E76" s="277" t="str">
        <f>IF(ISERROR(-(E61+E64)/E17),"",(-(E61+E64)/E17))</f>
        <v/>
      </c>
      <c r="F76" s="277" t="str">
        <f>IF(ISERROR(-(F61+F64)/F17),"",(-(F61+F64)/F17))</f>
        <v/>
      </c>
      <c r="G76" s="277" t="str">
        <f>IF(ISERROR(-(G61+G64)/G17),"",(-(G61+G64)/G17))</f>
        <v/>
      </c>
      <c r="H76" s="180"/>
      <c r="I76" s="262" t="s">
        <v>1521</v>
      </c>
      <c r="J76" s="295" t="e">
        <f>J74+J75</f>
        <v>#REF!</v>
      </c>
      <c r="K76" s="263"/>
      <c r="L76" s="286" t="s">
        <v>769</v>
      </c>
      <c r="M76" s="270" t="e">
        <f>DCF_WACC</f>
        <v>#NAME?</v>
      </c>
      <c r="N76" s="284"/>
      <c r="AL76" s="189"/>
      <c r="AM76" s="189"/>
      <c r="AS76" s="183" t="s">
        <v>761</v>
      </c>
      <c r="AT76" s="183" t="s">
        <v>762</v>
      </c>
    </row>
    <row r="77" spans="2:46" ht="12" customHeight="1" thickBot="1">
      <c r="B77" s="263" t="s">
        <v>776</v>
      </c>
      <c r="C77" s="263" t="s">
        <v>598</v>
      </c>
      <c r="D77" s="269" t="str">
        <f>IF(ISERROR(-D61/D56),"",(-D61/D56))</f>
        <v/>
      </c>
      <c r="E77" s="269" t="str">
        <f>IF(ISERROR(-E61/E56),"",(-E61/E56))</f>
        <v/>
      </c>
      <c r="F77" s="269" t="str">
        <f>IF(ISERROR(-F61/F56),"",(-F61/F56))</f>
        <v/>
      </c>
      <c r="G77" s="269" t="str">
        <f>IF(ISERROR(-G61/G56),"",(-G61/G56))</f>
        <v/>
      </c>
      <c r="H77" s="180"/>
      <c r="I77" s="263" t="s">
        <v>773</v>
      </c>
      <c r="J77" s="296">
        <v>89.2</v>
      </c>
      <c r="K77" s="263"/>
      <c r="L77" s="263"/>
      <c r="M77" s="263"/>
      <c r="N77" s="263"/>
      <c r="R77" s="211"/>
      <c r="S77" s="211"/>
      <c r="T77" s="211"/>
      <c r="U77" s="211"/>
      <c r="V77" s="211"/>
      <c r="W77" s="211"/>
      <c r="X77" s="211"/>
      <c r="Y77" s="211"/>
      <c r="Z77" s="211"/>
      <c r="AA77" s="211"/>
      <c r="AB77" s="211"/>
      <c r="AC77" s="211"/>
      <c r="AD77" s="211"/>
      <c r="AL77" s="189"/>
      <c r="AM77" s="189"/>
      <c r="AS77" s="183" t="s">
        <v>766</v>
      </c>
      <c r="AT77" s="183" t="s">
        <v>767</v>
      </c>
    </row>
    <row r="78" spans="2:46" ht="12" customHeight="1">
      <c r="B78" s="263" t="s">
        <v>1504</v>
      </c>
      <c r="C78" s="263" t="s">
        <v>1518</v>
      </c>
      <c r="D78" s="266" t="str">
        <f>IF(ISERROR(-(D64+D65)),"",(-(D64+D65)))</f>
        <v/>
      </c>
      <c r="E78" s="266" t="str">
        <f>IF(ISERROR(-(E64+E65)),"",(-(E64+E65)))</f>
        <v/>
      </c>
      <c r="F78" s="266" t="str">
        <f>IF(ISERROR(-(F64+F65)),"",(-(F64+F65)))</f>
        <v/>
      </c>
      <c r="G78" s="266" t="str">
        <f>IF(ISERROR(-(G64+G65)),"",(-(G64+G65)))</f>
        <v/>
      </c>
      <c r="H78" s="180"/>
      <c r="I78" s="263"/>
      <c r="J78" s="297"/>
      <c r="K78" s="263"/>
      <c r="L78" s="263"/>
      <c r="M78" s="263"/>
      <c r="N78" s="263"/>
      <c r="AL78" s="189"/>
      <c r="AM78" s="189"/>
      <c r="AS78" s="183" t="s">
        <v>770</v>
      </c>
      <c r="AT78" s="183" t="s">
        <v>771</v>
      </c>
    </row>
    <row r="79" spans="2:46" ht="12" customHeight="1">
      <c r="B79" s="263"/>
      <c r="C79" s="263"/>
      <c r="D79" s="263"/>
      <c r="E79" s="263"/>
      <c r="F79" s="263"/>
      <c r="G79" s="263"/>
      <c r="H79" s="180"/>
      <c r="I79" s="271" t="s">
        <v>780</v>
      </c>
      <c r="J79" s="271"/>
      <c r="K79" s="298" t="str">
        <f>D13</f>
        <v>6/12</v>
      </c>
      <c r="L79" s="298" t="str">
        <f>E13</f>
        <v>6/13E</v>
      </c>
      <c r="M79" s="298" t="str">
        <f>F13</f>
        <v>6/14E</v>
      </c>
      <c r="N79" s="298" t="str">
        <f>G13</f>
        <v>6/15E</v>
      </c>
      <c r="AL79" s="189"/>
      <c r="AM79" s="189"/>
      <c r="AS79" s="183" t="s">
        <v>774</v>
      </c>
      <c r="AT79" s="183" t="s">
        <v>775</v>
      </c>
    </row>
    <row r="80" spans="2:46" ht="12" customHeight="1">
      <c r="B80" s="263"/>
      <c r="C80" s="263"/>
      <c r="D80" s="263"/>
      <c r="E80" s="263"/>
      <c r="F80" s="263"/>
      <c r="G80" s="263"/>
      <c r="H80" s="180"/>
      <c r="I80" s="258"/>
      <c r="J80" s="258"/>
      <c r="K80" s="263"/>
      <c r="L80" s="263"/>
      <c r="M80" s="263"/>
      <c r="N80" s="263"/>
      <c r="R80" s="1209" t="s">
        <v>777</v>
      </c>
      <c r="S80" s="1209"/>
      <c r="AL80" s="189"/>
      <c r="AM80" s="189"/>
      <c r="AS80" s="183" t="s">
        <v>778</v>
      </c>
      <c r="AT80" s="183" t="s">
        <v>779</v>
      </c>
    </row>
    <row r="81" spans="2:46" ht="12" customHeight="1">
      <c r="B81" s="263"/>
      <c r="C81" s="263"/>
      <c r="D81" s="263"/>
      <c r="E81" s="263"/>
      <c r="F81" s="263"/>
      <c r="G81" s="263"/>
      <c r="H81" s="180"/>
      <c r="I81" s="263" t="s">
        <v>787</v>
      </c>
      <c r="J81" s="263" t="s">
        <v>1518</v>
      </c>
      <c r="K81" s="266" t="e">
        <f>#REF!</f>
        <v>#REF!</v>
      </c>
      <c r="L81" s="266" t="e">
        <f>#REF!</f>
        <v>#REF!</v>
      </c>
      <c r="M81" s="266" t="e">
        <f>#REF!</f>
        <v>#REF!</v>
      </c>
      <c r="N81" s="266" t="e">
        <f>#REF!</f>
        <v>#REF!</v>
      </c>
      <c r="R81" s="1209"/>
      <c r="S81" s="1209"/>
      <c r="U81" s="1216"/>
      <c r="V81" s="1216"/>
      <c r="W81" s="1216"/>
      <c r="X81" s="1216"/>
      <c r="AL81" s="189"/>
      <c r="AM81" s="189"/>
      <c r="AS81" s="183" t="s">
        <v>781</v>
      </c>
      <c r="AT81" s="183" t="s">
        <v>782</v>
      </c>
    </row>
    <row r="82" spans="2:46" ht="12" customHeight="1">
      <c r="B82" s="278" t="s">
        <v>1519</v>
      </c>
      <c r="C82" s="263"/>
      <c r="D82" s="263"/>
      <c r="E82" s="263"/>
      <c r="F82" s="263"/>
      <c r="G82" s="263"/>
      <c r="H82" s="180"/>
      <c r="I82" s="263" t="s">
        <v>791</v>
      </c>
      <c r="J82" s="263" t="s">
        <v>1518</v>
      </c>
      <c r="K82" s="266" t="e">
        <f>#REF!</f>
        <v>#REF!</v>
      </c>
      <c r="L82" s="266" t="e">
        <f>#REF!</f>
        <v>#REF!</v>
      </c>
      <c r="M82" s="266" t="e">
        <f>#REF!</f>
        <v>#REF!</v>
      </c>
      <c r="N82" s="266" t="e">
        <f>#REF!</f>
        <v>#REF!</v>
      </c>
      <c r="R82" s="1209"/>
      <c r="S82" s="1209"/>
      <c r="U82" s="1216"/>
      <c r="V82" s="1216"/>
      <c r="W82" s="1216"/>
      <c r="X82" s="1216"/>
      <c r="AL82" s="189"/>
      <c r="AM82" s="189"/>
      <c r="AS82" s="183" t="s">
        <v>783</v>
      </c>
      <c r="AT82" s="183" t="s">
        <v>784</v>
      </c>
    </row>
    <row r="83" spans="2:46" ht="12" customHeight="1">
      <c r="B83" s="278" t="s">
        <v>1517</v>
      </c>
      <c r="C83" s="263"/>
      <c r="D83" s="263"/>
      <c r="E83" s="263"/>
      <c r="F83" s="263"/>
      <c r="G83" s="263"/>
      <c r="H83" s="180"/>
      <c r="I83" s="262" t="s">
        <v>795</v>
      </c>
      <c r="J83" s="262" t="s">
        <v>598</v>
      </c>
      <c r="K83" s="270" t="e">
        <f>#REF!</f>
        <v>#REF!</v>
      </c>
      <c r="L83" s="270" t="e">
        <f>#REF!</f>
        <v>#REF!</v>
      </c>
      <c r="M83" s="270" t="e">
        <f>#REF!</f>
        <v>#REF!</v>
      </c>
      <c r="N83" s="270" t="e">
        <f>#REF!</f>
        <v>#REF!</v>
      </c>
      <c r="P83" s="183"/>
      <c r="AL83" s="189"/>
      <c r="AM83" s="189"/>
      <c r="AS83" s="183" t="s">
        <v>785</v>
      </c>
      <c r="AT83" s="183" t="s">
        <v>786</v>
      </c>
    </row>
    <row r="84" spans="2:46" ht="12" customHeight="1">
      <c r="B84" s="278" t="s">
        <v>800</v>
      </c>
      <c r="C84" s="263"/>
      <c r="D84" s="263"/>
      <c r="E84" s="263"/>
      <c r="F84" s="263"/>
      <c r="G84" s="263"/>
      <c r="H84" s="180"/>
      <c r="I84" s="263" t="s">
        <v>801</v>
      </c>
      <c r="J84" s="263" t="s">
        <v>598</v>
      </c>
      <c r="K84" s="269" t="e">
        <f>#REF!</f>
        <v>#REF!</v>
      </c>
      <c r="L84" s="269" t="e">
        <f>#REF!</f>
        <v>#REF!</v>
      </c>
      <c r="M84" s="269" t="e">
        <f>#REF!</f>
        <v>#REF!</v>
      </c>
      <c r="N84" s="269" t="e">
        <f>#REF!</f>
        <v>#REF!</v>
      </c>
      <c r="P84" s="183"/>
      <c r="AL84" s="189"/>
      <c r="AM84" s="189"/>
      <c r="AS84" s="183" t="s">
        <v>788</v>
      </c>
      <c r="AT84" s="183" t="s">
        <v>789</v>
      </c>
    </row>
    <row r="85" spans="2:46" ht="12" customHeight="1">
      <c r="B85" s="278" t="s">
        <v>805</v>
      </c>
      <c r="C85" s="263"/>
      <c r="D85" s="263"/>
      <c r="E85" s="263"/>
      <c r="F85" s="263"/>
      <c r="G85" s="263"/>
      <c r="H85" s="180"/>
      <c r="I85" s="262" t="s">
        <v>806</v>
      </c>
      <c r="J85" s="262" t="s">
        <v>807</v>
      </c>
      <c r="K85" s="270" t="e">
        <f>#REF!</f>
        <v>#REF!</v>
      </c>
      <c r="L85" s="270" t="e">
        <f>#REF!</f>
        <v>#REF!</v>
      </c>
      <c r="M85" s="270" t="e">
        <f>#REF!</f>
        <v>#REF!</v>
      </c>
      <c r="N85" s="270" t="e">
        <f>#REF!</f>
        <v>#REF!</v>
      </c>
      <c r="P85" s="183"/>
      <c r="R85" s="1209" t="s">
        <v>1024</v>
      </c>
      <c r="S85" s="1212">
        <f>INDUST_TPLATE!D10</f>
        <v>2.78</v>
      </c>
      <c r="T85" s="1214" t="str">
        <f ca="1">CONCATENATE("as at ",TEXT(INDUST_TPLATE!G3,"dd/mm/yy"))</f>
        <v>as at 16/02/26</v>
      </c>
      <c r="U85" s="1214"/>
      <c r="AL85" s="189"/>
      <c r="AM85" s="189"/>
      <c r="AS85" s="183" t="s">
        <v>792</v>
      </c>
      <c r="AT85" s="183" t="s">
        <v>794</v>
      </c>
    </row>
    <row r="86" spans="2:46" ht="12" customHeight="1">
      <c r="B86" s="278" t="s">
        <v>1516</v>
      </c>
      <c r="C86" s="263"/>
      <c r="D86" s="263"/>
      <c r="E86" s="263"/>
      <c r="F86" s="263"/>
      <c r="G86" s="263"/>
      <c r="H86" s="180"/>
      <c r="I86" s="263" t="s">
        <v>810</v>
      </c>
      <c r="J86" s="263" t="s">
        <v>807</v>
      </c>
      <c r="K86" s="269" t="e">
        <f>#REF!-#REF!</f>
        <v>#REF!</v>
      </c>
      <c r="L86" s="269" t="e">
        <f>L85-K85</f>
        <v>#REF!</v>
      </c>
      <c r="M86" s="269" t="e">
        <f>M85-L85</f>
        <v>#REF!</v>
      </c>
      <c r="N86" s="269" t="e">
        <f>N85-M85</f>
        <v>#REF!</v>
      </c>
      <c r="P86" s="183"/>
      <c r="R86" s="1209"/>
      <c r="S86" s="1212"/>
      <c r="T86" s="1214"/>
      <c r="U86" s="1214"/>
      <c r="Z86" s="1203" t="s">
        <v>796</v>
      </c>
      <c r="AA86" s="1207"/>
      <c r="AB86" s="1207"/>
      <c r="AC86" s="1204"/>
      <c r="AL86" s="189"/>
      <c r="AM86" s="189"/>
      <c r="AS86" s="183" t="s">
        <v>797</v>
      </c>
      <c r="AT86" s="183" t="s">
        <v>798</v>
      </c>
    </row>
    <row r="87" spans="2:46" ht="12" customHeight="1">
      <c r="B87" s="259"/>
      <c r="C87" s="259"/>
      <c r="D87" s="259"/>
      <c r="E87" s="259"/>
      <c r="F87" s="259"/>
      <c r="G87" s="259"/>
      <c r="H87" s="180"/>
      <c r="I87" s="259"/>
      <c r="J87" s="259"/>
      <c r="K87" s="259"/>
      <c r="L87" s="259"/>
      <c r="M87" s="259"/>
      <c r="N87" s="259"/>
      <c r="P87" s="183"/>
      <c r="R87" s="1209" t="s">
        <v>802</v>
      </c>
      <c r="S87" s="1209"/>
      <c r="T87" s="1209"/>
      <c r="Z87" s="1205"/>
      <c r="AA87" s="1208"/>
      <c r="AB87" s="1208"/>
      <c r="AC87" s="1206"/>
      <c r="AL87" s="189"/>
      <c r="AM87" s="189"/>
      <c r="AS87" s="183" t="s">
        <v>803</v>
      </c>
      <c r="AT87" s="183" t="s">
        <v>804</v>
      </c>
    </row>
    <row r="88" spans="2:46" ht="12" customHeight="1">
      <c r="I88" s="184"/>
      <c r="P88" s="183"/>
      <c r="R88" s="1213"/>
      <c r="S88" s="1213"/>
      <c r="T88" s="1213"/>
      <c r="Z88" s="212"/>
      <c r="AC88" s="192"/>
      <c r="AL88" s="189"/>
      <c r="AM88" s="189"/>
      <c r="AS88" s="183" t="s">
        <v>808</v>
      </c>
      <c r="AT88" s="183" t="s">
        <v>809</v>
      </c>
    </row>
    <row r="89" spans="2:46" ht="12" customHeight="1">
      <c r="P89" s="183"/>
      <c r="R89" s="213"/>
      <c r="S89" s="209"/>
      <c r="T89" s="214"/>
      <c r="U89" s="214"/>
      <c r="V89" s="215"/>
      <c r="W89" s="215"/>
      <c r="Y89" s="216"/>
      <c r="Z89" s="193">
        <v>1</v>
      </c>
      <c r="AA89" s="207" t="s">
        <v>811</v>
      </c>
      <c r="AB89" s="192"/>
      <c r="AK89" s="189"/>
      <c r="AL89" s="189"/>
      <c r="AR89" s="183" t="s">
        <v>812</v>
      </c>
      <c r="AS89" s="183" t="s">
        <v>813</v>
      </c>
    </row>
    <row r="90" spans="2:46" ht="12" customHeight="1">
      <c r="P90" s="183"/>
      <c r="R90" s="217" t="s">
        <v>814</v>
      </c>
      <c r="S90" s="218" t="s">
        <v>815</v>
      </c>
      <c r="T90" s="248" t="s">
        <v>1508</v>
      </c>
      <c r="U90" s="248" t="s">
        <v>1509</v>
      </c>
      <c r="V90" s="249" t="s">
        <v>1510</v>
      </c>
      <c r="W90" s="249" t="s">
        <v>1511</v>
      </c>
      <c r="Y90" s="216"/>
      <c r="Z90" s="193">
        <v>2</v>
      </c>
      <c r="AA90" s="207" t="s">
        <v>816</v>
      </c>
      <c r="AB90" s="192"/>
      <c r="AK90" s="189"/>
      <c r="AL90" s="189"/>
      <c r="AR90" s="183" t="s">
        <v>817</v>
      </c>
      <c r="AS90" s="183" t="s">
        <v>818</v>
      </c>
    </row>
    <row r="91" spans="2:46" ht="12" customHeight="1">
      <c r="P91" s="183"/>
      <c r="R91" s="212"/>
      <c r="S91" s="219"/>
      <c r="T91" s="186"/>
      <c r="U91" s="186"/>
      <c r="V91" s="220"/>
      <c r="W91" s="220"/>
      <c r="Y91" s="216"/>
      <c r="Z91" s="193">
        <v>3</v>
      </c>
      <c r="AA91" s="207" t="s">
        <v>819</v>
      </c>
      <c r="AB91" s="192"/>
      <c r="AK91" s="189"/>
      <c r="AL91" s="189"/>
      <c r="AR91" s="183" t="s">
        <v>820</v>
      </c>
      <c r="AS91" s="183" t="s">
        <v>821</v>
      </c>
    </row>
    <row r="92" spans="2:46" ht="12" customHeight="1">
      <c r="P92" s="183"/>
      <c r="R92" s="212" t="s">
        <v>822</v>
      </c>
      <c r="S92" s="183" t="s">
        <v>1518</v>
      </c>
      <c r="T92" s="221" t="e">
        <f>INDUST_TPLATE!C22</f>
        <v>#VALUE!</v>
      </c>
      <c r="U92" s="221" t="e">
        <f>INDUST_TPLATE!D22</f>
        <v>#VALUE!</v>
      </c>
      <c r="V92" s="222" t="e">
        <f>INDUST_TPLATE!E22</f>
        <v>#VALUE!</v>
      </c>
      <c r="W92" s="222" t="e">
        <f>INDUST_TPLATE!F22</f>
        <v>#VALUE!</v>
      </c>
      <c r="Y92" s="216"/>
      <c r="Z92" s="193">
        <v>4</v>
      </c>
      <c r="AA92" s="207" t="s">
        <v>823</v>
      </c>
      <c r="AB92" s="192"/>
      <c r="AK92" s="189"/>
      <c r="AL92" s="189"/>
      <c r="AR92" s="183" t="s">
        <v>828</v>
      </c>
      <c r="AS92" s="183" t="s">
        <v>829</v>
      </c>
    </row>
    <row r="93" spans="2:46" ht="15" customHeight="1">
      <c r="B93" s="238"/>
      <c r="C93" s="188"/>
      <c r="D93" s="188"/>
      <c r="F93" s="188"/>
      <c r="P93" s="183"/>
      <c r="R93" s="223" t="s">
        <v>830</v>
      </c>
      <c r="S93" s="183" t="s">
        <v>831</v>
      </c>
      <c r="T93" s="221" t="e">
        <f>INDUST_TPLATE!C25</f>
        <v>#VALUE!</v>
      </c>
      <c r="U93" s="221" t="e">
        <f>INDUST_TPLATE!D25</f>
        <v>#VALUE!</v>
      </c>
      <c r="V93" s="222" t="e">
        <f>INDUST_TPLATE!E25</f>
        <v>#VALUE!</v>
      </c>
      <c r="W93" s="222" t="e">
        <f>INDUST_TPLATE!F25</f>
        <v>#VALUE!</v>
      </c>
      <c r="Y93" s="216"/>
      <c r="Z93" s="193">
        <v>5</v>
      </c>
      <c r="AA93" s="207" t="s">
        <v>832</v>
      </c>
      <c r="AB93" s="192"/>
      <c r="AK93" s="189"/>
      <c r="AL93" s="189"/>
      <c r="AR93" s="183" t="s">
        <v>833</v>
      </c>
      <c r="AS93" s="183" t="s">
        <v>834</v>
      </c>
    </row>
    <row r="94" spans="2:46" ht="15" customHeight="1">
      <c r="B94" s="238"/>
      <c r="C94" s="253"/>
      <c r="D94" s="238"/>
      <c r="F94" s="238"/>
      <c r="P94" s="183"/>
      <c r="R94" s="223" t="s">
        <v>835</v>
      </c>
      <c r="S94" s="183" t="s">
        <v>631</v>
      </c>
      <c r="T94" s="221" t="e">
        <f>INDUST_TPLATE!$D$10/(T93/100)</f>
        <v>#VALUE!</v>
      </c>
      <c r="U94" s="221" t="e">
        <f>INDUST_TPLATE!$D$10/(U93/100)</f>
        <v>#VALUE!</v>
      </c>
      <c r="V94" s="222" t="e">
        <f>INDUST_TPLATE!$D$10/(V93/100)</f>
        <v>#VALUE!</v>
      </c>
      <c r="W94" s="222" t="e">
        <f>INDUST_TPLATE!$D$10/(W93/100)</f>
        <v>#VALUE!</v>
      </c>
      <c r="Y94" s="216"/>
      <c r="Z94" s="193">
        <v>6</v>
      </c>
      <c r="AA94" s="207" t="s">
        <v>836</v>
      </c>
      <c r="AB94" s="192"/>
      <c r="AK94" s="189"/>
      <c r="AL94" s="189"/>
      <c r="AR94" s="183" t="s">
        <v>837</v>
      </c>
      <c r="AS94" s="183" t="s">
        <v>838</v>
      </c>
    </row>
    <row r="95" spans="2:46" ht="15" customHeight="1">
      <c r="B95" s="238"/>
      <c r="C95" s="253"/>
      <c r="D95" s="253"/>
      <c r="F95" s="253"/>
      <c r="P95" s="183"/>
      <c r="R95" s="224" t="s">
        <v>1505</v>
      </c>
      <c r="S95" s="184" t="s">
        <v>1518</v>
      </c>
      <c r="T95" s="225" t="e">
        <f>#REF!</f>
        <v>#REF!</v>
      </c>
      <c r="U95" s="225" t="str">
        <f>D36</f>
        <v/>
      </c>
      <c r="V95" s="226" t="str">
        <f>E36</f>
        <v/>
      </c>
      <c r="W95" s="226" t="str">
        <f>F36</f>
        <v/>
      </c>
      <c r="Y95" s="216"/>
      <c r="Z95" s="193">
        <v>7</v>
      </c>
      <c r="AA95" s="207" t="s">
        <v>839</v>
      </c>
      <c r="AB95" s="192"/>
      <c r="AK95" s="189"/>
      <c r="AL95" s="189"/>
      <c r="AR95" s="183" t="s">
        <v>840</v>
      </c>
      <c r="AS95" s="183" t="s">
        <v>841</v>
      </c>
    </row>
    <row r="96" spans="2:46" ht="15" customHeight="1">
      <c r="B96" s="253"/>
      <c r="C96" s="253"/>
      <c r="D96" s="253"/>
      <c r="F96" s="253"/>
      <c r="P96" s="183"/>
      <c r="R96" s="223" t="s">
        <v>842</v>
      </c>
      <c r="S96" s="183" t="s">
        <v>831</v>
      </c>
      <c r="T96" s="227" t="e">
        <f>(T95+INDUST_TPLATE!C140)/T108*100</f>
        <v>#REF!</v>
      </c>
      <c r="U96" s="227" t="e">
        <f>(U95+INDUST_TPLATE!D140)/U108*100</f>
        <v>#VALUE!</v>
      </c>
      <c r="V96" s="228" t="e">
        <f>(V95+INDUST_TPLATE!E140)/V108*100</f>
        <v>#VALUE!</v>
      </c>
      <c r="W96" s="228" t="e">
        <f>(W95+INDUST_TPLATE!F140)/W108*100</f>
        <v>#VALUE!</v>
      </c>
      <c r="Y96" s="216"/>
      <c r="Z96" s="193">
        <v>8</v>
      </c>
      <c r="AA96" s="207" t="s">
        <v>843</v>
      </c>
      <c r="AB96" s="192"/>
      <c r="AK96" s="189"/>
      <c r="AL96" s="189"/>
      <c r="AR96" s="183" t="s">
        <v>844</v>
      </c>
      <c r="AS96" s="183" t="s">
        <v>845</v>
      </c>
    </row>
    <row r="97" spans="1:53" ht="15" customHeight="1">
      <c r="B97" s="253"/>
      <c r="C97" s="253"/>
      <c r="D97" s="253"/>
      <c r="E97" s="253"/>
      <c r="F97" s="253"/>
      <c r="P97" s="183"/>
      <c r="R97" s="212" t="s">
        <v>846</v>
      </c>
      <c r="S97" s="183" t="s">
        <v>598</v>
      </c>
      <c r="T97" s="229">
        <v>0.27127246251842418</v>
      </c>
      <c r="U97" s="229" t="e">
        <f>U96/T96-1</f>
        <v>#VALUE!</v>
      </c>
      <c r="V97" s="230" t="e">
        <f>V96/U96-1</f>
        <v>#VALUE!</v>
      </c>
      <c r="W97" s="230" t="e">
        <f>W96/V96-1</f>
        <v>#VALUE!</v>
      </c>
      <c r="Y97" s="216"/>
      <c r="Z97" s="193">
        <v>9</v>
      </c>
      <c r="AA97" s="207" t="s">
        <v>847</v>
      </c>
      <c r="AB97" s="192"/>
      <c r="AK97" s="189"/>
      <c r="AL97" s="189"/>
      <c r="AR97" s="183" t="s">
        <v>848</v>
      </c>
      <c r="AS97" s="183" t="s">
        <v>849</v>
      </c>
    </row>
    <row r="98" spans="1:53" ht="15" customHeight="1">
      <c r="B98" s="253"/>
      <c r="C98" s="253"/>
      <c r="D98" s="253"/>
      <c r="E98" s="253"/>
      <c r="F98" s="253"/>
      <c r="I98" s="188"/>
      <c r="J98" s="188"/>
      <c r="K98" s="188"/>
      <c r="L98" s="188"/>
      <c r="P98" s="183"/>
      <c r="R98" s="224" t="s">
        <v>850</v>
      </c>
      <c r="S98" s="184" t="s">
        <v>631</v>
      </c>
      <c r="T98" s="231" t="e">
        <f>$S$85/T96*100</f>
        <v>#REF!</v>
      </c>
      <c r="U98" s="231" t="e">
        <f>$S$85/U96*100</f>
        <v>#VALUE!</v>
      </c>
      <c r="V98" s="232" t="e">
        <f>$S$85/V96*100</f>
        <v>#VALUE!</v>
      </c>
      <c r="W98" s="232" t="e">
        <f>$S$85/W96*100</f>
        <v>#VALUE!</v>
      </c>
      <c r="Y98" s="216"/>
      <c r="Z98" s="193">
        <v>10</v>
      </c>
      <c r="AA98" s="207" t="s">
        <v>851</v>
      </c>
      <c r="AB98" s="192"/>
      <c r="AK98" s="189"/>
      <c r="AL98" s="189"/>
      <c r="AR98" s="183" t="s">
        <v>852</v>
      </c>
      <c r="AS98" s="183" t="s">
        <v>853</v>
      </c>
    </row>
    <row r="99" spans="1:53" ht="15" customHeight="1">
      <c r="B99" s="253"/>
      <c r="C99" s="253"/>
      <c r="D99" s="253"/>
      <c r="E99" s="253"/>
      <c r="F99" s="253"/>
      <c r="H99" s="238"/>
      <c r="I99" s="188"/>
      <c r="J99" s="188"/>
      <c r="K99" s="188"/>
      <c r="L99" s="188"/>
      <c r="P99" s="183"/>
      <c r="R99" s="212" t="s">
        <v>854</v>
      </c>
      <c r="S99" s="183" t="s">
        <v>831</v>
      </c>
      <c r="T99" s="221" t="e">
        <f>INDUST_TPLATE!C28</f>
        <v>#VALUE!</v>
      </c>
      <c r="U99" s="221" t="e">
        <f>INDUST_TPLATE!D28</f>
        <v>#VALUE!</v>
      </c>
      <c r="V99" s="222" t="e">
        <f>INDUST_TPLATE!E28</f>
        <v>#VALUE!</v>
      </c>
      <c r="W99" s="222" t="e">
        <f>INDUST_TPLATE!F28</f>
        <v>#VALUE!</v>
      </c>
      <c r="Y99" s="216"/>
      <c r="Z99" s="193">
        <v>11</v>
      </c>
      <c r="AA99" s="207" t="s">
        <v>855</v>
      </c>
      <c r="AB99" s="192"/>
      <c r="AK99" s="189"/>
      <c r="AL99" s="189"/>
      <c r="AR99" s="183" t="s">
        <v>856</v>
      </c>
      <c r="AS99" s="183" t="s">
        <v>857</v>
      </c>
    </row>
    <row r="100" spans="1:53" ht="15" customHeight="1">
      <c r="B100" s="253"/>
      <c r="C100" s="253"/>
      <c r="D100" s="253"/>
      <c r="E100" s="253"/>
      <c r="F100" s="253"/>
      <c r="G100" s="253"/>
      <c r="H100" s="238"/>
      <c r="I100" s="188"/>
      <c r="J100" s="188"/>
      <c r="K100" s="188"/>
      <c r="L100" s="188"/>
      <c r="P100" s="183"/>
      <c r="R100" s="224" t="s">
        <v>858</v>
      </c>
      <c r="S100" s="184" t="s">
        <v>598</v>
      </c>
      <c r="T100" s="233" t="e">
        <f>(T99/100)/INDUST_TPLATE!$D$10</f>
        <v>#VALUE!</v>
      </c>
      <c r="U100" s="233" t="e">
        <f>(U99/100)/INDUST_TPLATE!$D$10</f>
        <v>#VALUE!</v>
      </c>
      <c r="V100" s="234" t="e">
        <f>(V99/100)/INDUST_TPLATE!$D$10</f>
        <v>#VALUE!</v>
      </c>
      <c r="W100" s="234" t="e">
        <f>(W99/100)/INDUST_TPLATE!$D$10</f>
        <v>#VALUE!</v>
      </c>
      <c r="Y100" s="216"/>
      <c r="Z100" s="193">
        <v>12</v>
      </c>
      <c r="AA100" s="207" t="s">
        <v>859</v>
      </c>
      <c r="AB100" s="192"/>
      <c r="AK100" s="189"/>
      <c r="AL100" s="189"/>
      <c r="AR100" s="183" t="s">
        <v>860</v>
      </c>
      <c r="AS100" s="183" t="s">
        <v>861</v>
      </c>
    </row>
    <row r="101" spans="1:53" ht="15" customHeight="1">
      <c r="B101" s="253"/>
      <c r="C101" s="253"/>
      <c r="D101" s="253"/>
      <c r="E101" s="253"/>
      <c r="F101" s="253"/>
      <c r="G101" s="253"/>
      <c r="H101" s="238"/>
      <c r="I101" s="188"/>
      <c r="J101" s="188"/>
      <c r="K101" s="188"/>
      <c r="L101" s="188"/>
      <c r="P101" s="183"/>
      <c r="R101" s="212" t="s">
        <v>862</v>
      </c>
      <c r="S101" s="183" t="s">
        <v>598</v>
      </c>
      <c r="T101" s="221" t="e">
        <f>INDUST_TPLATE!C30</f>
        <v>#VALUE!</v>
      </c>
      <c r="U101" s="221" t="e">
        <f>INDUST_TPLATE!D30</f>
        <v>#VALUE!</v>
      </c>
      <c r="V101" s="222" t="e">
        <f>INDUST_TPLATE!E30</f>
        <v>#VALUE!</v>
      </c>
      <c r="W101" s="222" t="e">
        <f>INDUST_TPLATE!F30</f>
        <v>#VALUE!</v>
      </c>
      <c r="Y101" s="235"/>
      <c r="Z101" s="197"/>
      <c r="AA101" s="197"/>
      <c r="AB101" s="236"/>
      <c r="AK101" s="189"/>
      <c r="AL101" s="189"/>
      <c r="AR101" s="183" t="s">
        <v>863</v>
      </c>
      <c r="AS101" s="183" t="s">
        <v>864</v>
      </c>
    </row>
    <row r="102" spans="1:53" ht="15" customHeight="1">
      <c r="B102" s="253"/>
      <c r="C102" s="253"/>
      <c r="D102" s="253"/>
      <c r="E102" s="253"/>
      <c r="F102" s="253"/>
      <c r="G102" s="253"/>
      <c r="H102" s="255"/>
      <c r="I102" s="188"/>
      <c r="J102" s="188"/>
      <c r="K102" s="188"/>
      <c r="L102" s="188"/>
      <c r="O102" s="238"/>
      <c r="P102" s="183"/>
      <c r="R102" s="224" t="s">
        <v>1506</v>
      </c>
      <c r="S102" s="183" t="s">
        <v>1518</v>
      </c>
      <c r="T102" s="221" t="e">
        <f>#REF!</f>
        <v>#REF!</v>
      </c>
      <c r="U102" s="221" t="str">
        <f>D62</f>
        <v/>
      </c>
      <c r="V102" s="222" t="str">
        <f>E62</f>
        <v/>
      </c>
      <c r="W102" s="222" t="str">
        <f>F62</f>
        <v/>
      </c>
      <c r="AK102" s="189"/>
      <c r="AL102" s="189"/>
      <c r="AR102" s="183" t="s">
        <v>865</v>
      </c>
      <c r="AS102" s="183" t="s">
        <v>866</v>
      </c>
    </row>
    <row r="103" spans="1:53" s="182" customFormat="1" ht="15" customHeight="1">
      <c r="A103" s="238"/>
      <c r="B103" s="253"/>
      <c r="C103" s="253"/>
      <c r="D103" s="253"/>
      <c r="E103" s="253"/>
      <c r="F103" s="253"/>
      <c r="G103" s="253"/>
      <c r="H103" s="255"/>
      <c r="I103" s="188"/>
      <c r="J103" s="188"/>
      <c r="K103" s="188"/>
      <c r="L103" s="188"/>
      <c r="M103" s="183"/>
      <c r="N103" s="183"/>
      <c r="O103" s="183"/>
      <c r="R103" s="224" t="s">
        <v>867</v>
      </c>
      <c r="S103" s="184" t="s">
        <v>631</v>
      </c>
      <c r="T103" s="225" t="e">
        <f>(($S$85*T108)-AE115+AE116)/T102</f>
        <v>#VALUE!</v>
      </c>
      <c r="U103" s="225" t="e">
        <f>(($S$85*U108)-AF115+AF116)/U102</f>
        <v>#VALUE!</v>
      </c>
      <c r="V103" s="226" t="e">
        <f>(($S$85*V108)-AG115+AG116)/V102</f>
        <v>#VALUE!</v>
      </c>
      <c r="W103" s="226" t="e">
        <f>(($S$85*W108)-AH115+AH116)/W102</f>
        <v>#VALUE!</v>
      </c>
      <c r="X103" s="183"/>
      <c r="Y103" s="1209" t="s">
        <v>868</v>
      </c>
      <c r="Z103" s="1209"/>
      <c r="AA103" s="1203">
        <f>MONTH(AA105)</f>
        <v>6</v>
      </c>
      <c r="AB103" s="1204"/>
      <c r="AC103" s="183"/>
      <c r="AD103" s="183"/>
      <c r="AE103" s="183"/>
      <c r="AF103" s="183"/>
      <c r="AK103" s="237"/>
      <c r="AL103" s="237"/>
      <c r="AM103" s="181"/>
      <c r="AN103" s="181"/>
      <c r="AR103" s="181" t="s">
        <v>869</v>
      </c>
      <c r="AS103" s="181" t="s">
        <v>870</v>
      </c>
      <c r="AT103" s="181"/>
      <c r="AU103" s="181"/>
      <c r="AV103" s="181"/>
      <c r="AW103" s="181"/>
      <c r="AX103" s="181"/>
      <c r="AY103" s="181"/>
      <c r="AZ103" s="181"/>
      <c r="BA103" s="181"/>
    </row>
    <row r="104" spans="1:53" s="182" customFormat="1" ht="15" customHeight="1">
      <c r="A104" s="238"/>
      <c r="B104" s="253"/>
      <c r="C104" s="253"/>
      <c r="D104" s="253"/>
      <c r="E104" s="253"/>
      <c r="F104" s="253"/>
      <c r="G104" s="253"/>
      <c r="H104" s="257"/>
      <c r="I104" s="188"/>
      <c r="J104" s="188"/>
      <c r="K104" s="188"/>
      <c r="L104" s="188"/>
      <c r="M104" s="183"/>
      <c r="N104" s="183"/>
      <c r="O104" s="183"/>
      <c r="R104" s="212" t="s">
        <v>871</v>
      </c>
      <c r="S104" s="183" t="s">
        <v>831</v>
      </c>
      <c r="T104" s="221" t="e">
        <f>INDUST_TPLATE!C34/100</f>
        <v>#VALUE!</v>
      </c>
      <c r="U104" s="221" t="e">
        <f>INDUST_TPLATE!D34/100</f>
        <v>#VALUE!</v>
      </c>
      <c r="V104" s="222" t="e">
        <f>INDUST_TPLATE!E34/100</f>
        <v>#VALUE!</v>
      </c>
      <c r="W104" s="222" t="e">
        <f>INDUST_TPLATE!F34/100</f>
        <v>#VALUE!</v>
      </c>
      <c r="X104" s="183"/>
      <c r="Y104" s="1209"/>
      <c r="Z104" s="1209"/>
      <c r="AA104" s="1205"/>
      <c r="AB104" s="1206"/>
      <c r="AC104" s="183"/>
      <c r="AD104" s="183"/>
      <c r="AE104" s="183"/>
      <c r="AF104" s="183"/>
      <c r="AK104" s="237"/>
      <c r="AL104" s="237"/>
      <c r="AM104" s="181"/>
      <c r="AR104" s="181" t="s">
        <v>872</v>
      </c>
      <c r="AS104" s="181" t="s">
        <v>873</v>
      </c>
      <c r="AT104" s="181"/>
      <c r="AU104" s="181"/>
      <c r="AV104" s="181"/>
      <c r="AW104" s="181"/>
      <c r="AX104" s="181"/>
      <c r="AY104" s="181"/>
      <c r="AZ104" s="181"/>
      <c r="BA104" s="181"/>
    </row>
    <row r="105" spans="1:53" s="182" customFormat="1" ht="15" customHeight="1">
      <c r="A105" s="238"/>
      <c r="B105" s="253"/>
      <c r="C105" s="253"/>
      <c r="D105" s="253"/>
      <c r="E105" s="253"/>
      <c r="F105" s="253"/>
      <c r="G105" s="253"/>
      <c r="H105" s="253"/>
      <c r="I105" s="188"/>
      <c r="J105" s="188"/>
      <c r="K105" s="188"/>
      <c r="L105" s="188"/>
      <c r="M105" s="183"/>
      <c r="N105" s="183"/>
      <c r="O105" s="238"/>
      <c r="R105" s="212" t="s">
        <v>874</v>
      </c>
      <c r="S105" s="183" t="s">
        <v>831</v>
      </c>
      <c r="T105" s="221" t="e">
        <f>#REF!/INDUST_TPLATE!C36</f>
        <v>#REF!</v>
      </c>
      <c r="U105" s="221" t="e">
        <f>K54/INDUST_TPLATE!D36</f>
        <v>#VALUE!</v>
      </c>
      <c r="V105" s="222" t="e">
        <f>L54/INDUST_TPLATE!E36</f>
        <v>#VALUE!</v>
      </c>
      <c r="W105" s="222" t="e">
        <f>M54/INDUST_TPLATE!F36</f>
        <v>#VALUE!</v>
      </c>
      <c r="X105" s="183"/>
      <c r="Y105" s="1209" t="s">
        <v>875</v>
      </c>
      <c r="Z105" s="1209"/>
      <c r="AA105" s="1199">
        <f>INDUST_TPLATE!D15</f>
        <v>41090</v>
      </c>
      <c r="AB105" s="1200"/>
      <c r="AC105" s="183"/>
      <c r="AD105" s="183"/>
      <c r="AE105" s="183"/>
      <c r="AF105" s="183"/>
      <c r="AK105" s="237"/>
      <c r="AL105" s="237"/>
      <c r="AM105" s="181"/>
      <c r="AR105" s="181" t="s">
        <v>876</v>
      </c>
      <c r="AS105" s="181" t="s">
        <v>877</v>
      </c>
      <c r="AT105" s="181"/>
      <c r="AU105" s="181"/>
      <c r="AV105" s="181"/>
      <c r="AW105" s="181"/>
      <c r="AX105" s="181"/>
      <c r="AY105" s="181"/>
      <c r="AZ105" s="181"/>
      <c r="BA105" s="181"/>
    </row>
    <row r="106" spans="1:53" s="182" customFormat="1" ht="15" customHeight="1">
      <c r="A106" s="256"/>
      <c r="B106" s="253"/>
      <c r="C106" s="253"/>
      <c r="D106" s="253"/>
      <c r="E106" s="253"/>
      <c r="F106" s="253"/>
      <c r="G106" s="253"/>
      <c r="H106" s="253"/>
      <c r="I106" s="188"/>
      <c r="J106" s="188"/>
      <c r="K106" s="188"/>
      <c r="L106" s="188"/>
      <c r="M106" s="183"/>
      <c r="N106" s="183"/>
      <c r="O106" s="238"/>
      <c r="R106" s="212" t="s">
        <v>878</v>
      </c>
      <c r="S106" s="183" t="s">
        <v>631</v>
      </c>
      <c r="T106" s="221" t="e">
        <f>$S$85/T105</f>
        <v>#REF!</v>
      </c>
      <c r="U106" s="221" t="e">
        <f>$S$85/U105</f>
        <v>#VALUE!</v>
      </c>
      <c r="V106" s="222" t="e">
        <f>$S$85/V105</f>
        <v>#VALUE!</v>
      </c>
      <c r="W106" s="222" t="e">
        <f>$S$85/W105</f>
        <v>#VALUE!</v>
      </c>
      <c r="X106" s="183"/>
      <c r="Y106" s="1209"/>
      <c r="Z106" s="1209"/>
      <c r="AA106" s="1201"/>
      <c r="AB106" s="1202"/>
      <c r="AC106" s="183"/>
      <c r="AD106" s="183"/>
      <c r="AE106" s="183"/>
      <c r="AF106" s="183"/>
      <c r="AK106" s="237"/>
      <c r="AL106" s="237"/>
      <c r="AM106" s="181"/>
      <c r="AR106" s="181" t="s">
        <v>879</v>
      </c>
      <c r="AS106" s="181" t="s">
        <v>880</v>
      </c>
      <c r="AT106" s="181"/>
      <c r="AU106" s="181"/>
      <c r="AV106" s="181"/>
      <c r="AW106" s="181"/>
      <c r="AX106" s="181"/>
      <c r="AY106" s="181"/>
      <c r="AZ106" s="181"/>
      <c r="BA106" s="181"/>
    </row>
    <row r="107" spans="1:53" s="182" customFormat="1" ht="15" customHeight="1">
      <c r="A107" s="256"/>
      <c r="B107" s="253"/>
      <c r="C107" s="253"/>
      <c r="D107" s="253"/>
      <c r="E107" s="253"/>
      <c r="F107" s="253"/>
      <c r="G107" s="253"/>
      <c r="H107" s="253"/>
      <c r="I107" s="188"/>
      <c r="J107" s="188"/>
      <c r="K107" s="188"/>
      <c r="L107" s="188"/>
      <c r="M107" s="183"/>
      <c r="N107" s="183"/>
      <c r="O107" s="238"/>
      <c r="R107" s="224" t="s">
        <v>881</v>
      </c>
      <c r="S107" s="184" t="s">
        <v>631</v>
      </c>
      <c r="T107" s="225" t="e">
        <f>T119</f>
        <v>#VALUE!</v>
      </c>
      <c r="U107" s="225" t="e">
        <f>U119</f>
        <v>#VALUE!</v>
      </c>
      <c r="V107" s="226">
        <f>X119</f>
        <v>0</v>
      </c>
      <c r="W107" s="226">
        <f>Y119</f>
        <v>0</v>
      </c>
      <c r="X107" s="183"/>
      <c r="Y107" s="183"/>
      <c r="Z107" s="183"/>
      <c r="AA107" s="183"/>
      <c r="AB107" s="183"/>
      <c r="AC107" s="183"/>
      <c r="AD107" s="183"/>
      <c r="AE107" s="183"/>
      <c r="AF107" s="183"/>
      <c r="AK107" s="237"/>
      <c r="AL107" s="237"/>
      <c r="AM107" s="181"/>
      <c r="AR107" s="181" t="s">
        <v>882</v>
      </c>
      <c r="AS107" s="181" t="s">
        <v>883</v>
      </c>
      <c r="AT107" s="181"/>
      <c r="AU107" s="181"/>
      <c r="AV107" s="181"/>
      <c r="AW107" s="181"/>
      <c r="AX107" s="181"/>
      <c r="AY107" s="181"/>
      <c r="AZ107" s="181"/>
      <c r="BA107" s="181"/>
    </row>
    <row r="108" spans="1:53" s="182" customFormat="1" ht="14.25" customHeight="1">
      <c r="A108" s="256"/>
      <c r="B108" s="253"/>
      <c r="C108" s="253"/>
      <c r="D108" s="253"/>
      <c r="E108" s="253"/>
      <c r="F108" s="253"/>
      <c r="G108" s="253"/>
      <c r="H108" s="253"/>
      <c r="I108" s="188"/>
      <c r="J108" s="188"/>
      <c r="K108" s="188"/>
      <c r="L108" s="188"/>
      <c r="M108" s="183"/>
      <c r="N108" s="183"/>
      <c r="O108" s="238"/>
      <c r="R108" s="212" t="s">
        <v>884</v>
      </c>
      <c r="S108" s="183" t="s">
        <v>885</v>
      </c>
      <c r="T108" s="221" t="e">
        <f>INDUST_TPLATE!C35</f>
        <v>#VALUE!</v>
      </c>
      <c r="U108" s="221" t="e">
        <f>INDUST_TPLATE!D35</f>
        <v>#VALUE!</v>
      </c>
      <c r="V108" s="222" t="e">
        <f>INDUST_TPLATE!E35</f>
        <v>#VALUE!</v>
      </c>
      <c r="W108" s="222" t="e">
        <f>INDUST_TPLATE!F35</f>
        <v>#VALUE!</v>
      </c>
      <c r="X108" s="183"/>
      <c r="Y108" s="183"/>
      <c r="Z108" s="183"/>
      <c r="AA108" s="183"/>
      <c r="AB108" s="183"/>
      <c r="AC108" s="183"/>
      <c r="AD108" s="183"/>
      <c r="AE108" s="183"/>
      <c r="AF108" s="183"/>
      <c r="AK108" s="237"/>
      <c r="AL108" s="237"/>
      <c r="AM108" s="181"/>
      <c r="AR108" s="181" t="s">
        <v>886</v>
      </c>
      <c r="AS108" s="181" t="s">
        <v>887</v>
      </c>
      <c r="AT108" s="181"/>
      <c r="AU108" s="181"/>
      <c r="AV108" s="181"/>
      <c r="AW108" s="181"/>
      <c r="AX108" s="181"/>
      <c r="AY108" s="181"/>
      <c r="AZ108" s="181"/>
      <c r="BA108" s="181"/>
    </row>
    <row r="109" spans="1:53" s="182" customFormat="1" ht="6" customHeight="1">
      <c r="A109" s="256"/>
      <c r="B109" s="253"/>
      <c r="C109" s="253"/>
      <c r="D109" s="253"/>
      <c r="E109" s="253"/>
      <c r="F109" s="253"/>
      <c r="G109" s="253"/>
      <c r="H109" s="253"/>
      <c r="I109" s="188"/>
      <c r="J109" s="188"/>
      <c r="K109" s="188"/>
      <c r="L109" s="188"/>
      <c r="M109" s="183"/>
      <c r="N109" s="183"/>
      <c r="O109" s="238"/>
      <c r="R109" s="235"/>
      <c r="S109" s="197"/>
      <c r="T109" s="239"/>
      <c r="U109" s="239"/>
      <c r="V109" s="240"/>
      <c r="W109" s="240"/>
      <c r="X109" s="183"/>
      <c r="Y109" s="183"/>
      <c r="Z109" s="183"/>
      <c r="AA109" s="183"/>
      <c r="AB109" s="183"/>
      <c r="AC109" s="183"/>
      <c r="AD109" s="183"/>
      <c r="AE109" s="183"/>
      <c r="AF109" s="183"/>
      <c r="AK109" s="237"/>
      <c r="AL109" s="237"/>
      <c r="AM109" s="181"/>
      <c r="AR109" s="181" t="s">
        <v>888</v>
      </c>
      <c r="AS109" s="181" t="s">
        <v>889</v>
      </c>
      <c r="AT109" s="181"/>
      <c r="AU109" s="181"/>
      <c r="AV109" s="181"/>
      <c r="AW109" s="181"/>
      <c r="AX109" s="181"/>
      <c r="AY109" s="181"/>
      <c r="AZ109" s="181"/>
      <c r="BA109" s="181"/>
    </row>
    <row r="110" spans="1:53" s="182" customFormat="1" ht="16.5" customHeight="1">
      <c r="A110" s="256"/>
      <c r="B110" s="253"/>
      <c r="C110" s="253"/>
      <c r="D110" s="253"/>
      <c r="E110" s="253"/>
      <c r="F110" s="253"/>
      <c r="G110" s="253"/>
      <c r="H110" s="253"/>
      <c r="I110" s="188"/>
      <c r="J110" s="188"/>
      <c r="K110" s="188"/>
      <c r="L110" s="188"/>
      <c r="M110" s="183"/>
      <c r="N110" s="183"/>
      <c r="O110" s="238"/>
      <c r="R110" s="210" t="s">
        <v>890</v>
      </c>
      <c r="S110" s="183"/>
      <c r="T110" s="221"/>
      <c r="U110" s="221"/>
      <c r="V110" s="221"/>
      <c r="W110" s="221"/>
      <c r="X110" s="183"/>
      <c r="Y110" s="183"/>
      <c r="Z110" s="183"/>
      <c r="AA110" s="183"/>
      <c r="AB110" s="183"/>
      <c r="AC110" s="183"/>
      <c r="AD110" s="183"/>
      <c r="AE110" s="183"/>
      <c r="AF110" s="183"/>
      <c r="AK110" s="237"/>
      <c r="AL110" s="237"/>
      <c r="AM110" s="181"/>
      <c r="AR110" s="181" t="s">
        <v>891</v>
      </c>
      <c r="AS110" s="181" t="s">
        <v>892</v>
      </c>
      <c r="AT110" s="181"/>
      <c r="AU110" s="181"/>
      <c r="AV110" s="181"/>
      <c r="AW110" s="181"/>
      <c r="AX110" s="181"/>
      <c r="AY110" s="181"/>
      <c r="AZ110" s="181"/>
      <c r="BA110" s="181"/>
    </row>
    <row r="111" spans="1:53" s="182" customFormat="1" ht="14.25" customHeight="1">
      <c r="A111" s="256"/>
      <c r="B111" s="253"/>
      <c r="C111" s="253"/>
      <c r="D111" s="253"/>
      <c r="E111" s="253"/>
      <c r="F111" s="253"/>
      <c r="G111" s="253"/>
      <c r="H111" s="253"/>
      <c r="I111" s="188"/>
      <c r="J111" s="188"/>
      <c r="K111" s="188"/>
      <c r="L111" s="188"/>
      <c r="M111" s="183"/>
      <c r="N111" s="183"/>
      <c r="O111" s="238"/>
      <c r="R111" s="210" t="s">
        <v>893</v>
      </c>
      <c r="S111" s="183"/>
      <c r="T111" s="221"/>
      <c r="U111" s="221"/>
      <c r="V111" s="221"/>
      <c r="W111" s="221"/>
      <c r="X111" s="183"/>
      <c r="Y111" s="183"/>
      <c r="Z111" s="183"/>
      <c r="AA111" s="183"/>
      <c r="AB111" s="183"/>
      <c r="AC111" s="183"/>
      <c r="AD111" s="183"/>
      <c r="AE111" s="183"/>
      <c r="AF111" s="183"/>
      <c r="AK111" s="237"/>
      <c r="AL111" s="237"/>
      <c r="AM111" s="181"/>
      <c r="AR111" s="181" t="s">
        <v>894</v>
      </c>
      <c r="AS111" s="181" t="s">
        <v>895</v>
      </c>
      <c r="AT111" s="181"/>
      <c r="AU111" s="181"/>
      <c r="AV111" s="181"/>
      <c r="AW111" s="181"/>
      <c r="AX111" s="181"/>
      <c r="AY111" s="181"/>
      <c r="AZ111" s="181"/>
      <c r="BA111" s="181"/>
    </row>
    <row r="112" spans="1:53" s="182" customFormat="1" ht="14.25" customHeight="1">
      <c r="A112" s="256"/>
      <c r="B112" s="253"/>
      <c r="C112" s="253"/>
      <c r="D112" s="253"/>
      <c r="E112" s="253"/>
      <c r="F112" s="253"/>
      <c r="G112" s="253"/>
      <c r="H112" s="253"/>
      <c r="I112" s="188"/>
      <c r="J112" s="188"/>
      <c r="K112" s="188"/>
      <c r="L112" s="188"/>
      <c r="M112" s="183"/>
      <c r="N112" s="183"/>
      <c r="O112" s="238"/>
      <c r="P112" s="238"/>
      <c r="Q112" s="238"/>
      <c r="R112" s="183" t="s">
        <v>1522</v>
      </c>
      <c r="S112" s="183"/>
      <c r="T112" s="221"/>
      <c r="U112" s="221"/>
      <c r="V112" s="221"/>
      <c r="W112" s="221"/>
      <c r="X112" s="183"/>
      <c r="Y112" s="183"/>
      <c r="Z112" s="183"/>
      <c r="AA112" s="183"/>
      <c r="AB112" s="183"/>
      <c r="AC112" s="183"/>
      <c r="AD112" s="183"/>
      <c r="AE112" s="183"/>
      <c r="AF112" s="183"/>
      <c r="AK112" s="237"/>
      <c r="AL112" s="237"/>
      <c r="AM112" s="181"/>
      <c r="AR112" s="181" t="s">
        <v>896</v>
      </c>
      <c r="AS112" s="181" t="s">
        <v>897</v>
      </c>
      <c r="AT112" s="181"/>
      <c r="AU112" s="181"/>
      <c r="AV112" s="181"/>
      <c r="AW112" s="181"/>
      <c r="AX112" s="181"/>
      <c r="AY112" s="181"/>
      <c r="AZ112" s="181"/>
      <c r="BA112" s="181"/>
    </row>
    <row r="113" spans="1:53" s="182" customFormat="1">
      <c r="A113" s="256"/>
      <c r="B113" s="253"/>
      <c r="C113" s="253"/>
      <c r="D113" s="253"/>
      <c r="E113" s="253"/>
      <c r="F113" s="253"/>
      <c r="G113" s="253"/>
      <c r="H113" s="253"/>
      <c r="I113" s="188"/>
      <c r="J113" s="188"/>
      <c r="K113" s="188"/>
      <c r="L113" s="188"/>
      <c r="M113" s="183"/>
      <c r="N113" s="183"/>
      <c r="O113" s="238"/>
      <c r="P113" s="238"/>
      <c r="Q113" s="238"/>
      <c r="R113" s="191"/>
      <c r="S113" s="194"/>
      <c r="T113" s="241"/>
      <c r="U113" s="241"/>
      <c r="V113" s="241"/>
      <c r="W113" s="241"/>
      <c r="X113" s="183"/>
      <c r="Y113" s="183"/>
      <c r="Z113" s="183"/>
      <c r="AA113" s="183"/>
      <c r="AB113" s="183"/>
      <c r="AC113" s="183"/>
      <c r="AD113" s="183"/>
      <c r="AE113" s="183"/>
      <c r="AF113" s="183"/>
      <c r="AK113" s="237"/>
      <c r="AL113" s="237"/>
      <c r="AM113" s="181"/>
      <c r="AR113" s="181" t="s">
        <v>898</v>
      </c>
      <c r="AS113" s="181" t="s">
        <v>899</v>
      </c>
      <c r="AT113" s="181"/>
      <c r="AU113" s="181"/>
      <c r="AV113" s="181"/>
      <c r="AW113" s="181"/>
      <c r="AX113" s="181"/>
      <c r="AY113" s="181"/>
      <c r="AZ113" s="181"/>
      <c r="BA113" s="181"/>
    </row>
    <row r="114" spans="1:53" s="182" customFormat="1" ht="14.25" customHeight="1">
      <c r="A114" s="256"/>
      <c r="B114" s="253"/>
      <c r="C114" s="253"/>
      <c r="D114" s="253"/>
      <c r="E114" s="253"/>
      <c r="F114" s="253"/>
      <c r="G114" s="253"/>
      <c r="H114" s="253"/>
      <c r="I114" s="188"/>
      <c r="J114" s="188"/>
      <c r="K114" s="188"/>
      <c r="L114" s="188"/>
      <c r="M114" s="183"/>
      <c r="N114" s="183"/>
      <c r="O114" s="238"/>
      <c r="R114" s="224" t="s">
        <v>900</v>
      </c>
      <c r="S114" s="184"/>
      <c r="T114" s="225"/>
      <c r="U114" s="225"/>
      <c r="V114" s="225"/>
      <c r="W114" s="225"/>
      <c r="X114" s="183"/>
      <c r="Y114" s="183"/>
      <c r="Z114" s="183"/>
      <c r="AA114" s="183"/>
      <c r="AB114" s="183"/>
      <c r="AC114" s="183"/>
      <c r="AD114" s="183"/>
      <c r="AE114" s="183"/>
      <c r="AF114" s="183"/>
      <c r="AK114" s="237"/>
      <c r="AL114" s="237"/>
      <c r="AM114" s="181"/>
      <c r="AR114" s="181" t="s">
        <v>901</v>
      </c>
      <c r="AS114" s="181" t="s">
        <v>902</v>
      </c>
      <c r="AT114" s="181"/>
      <c r="AU114" s="181"/>
      <c r="AV114" s="181"/>
      <c r="AW114" s="181"/>
      <c r="AX114" s="181"/>
      <c r="AY114" s="181"/>
      <c r="AZ114" s="181"/>
      <c r="BA114" s="181"/>
    </row>
    <row r="115" spans="1:53" s="182" customFormat="1">
      <c r="A115" s="256"/>
      <c r="B115" s="253"/>
      <c r="C115" s="253"/>
      <c r="D115" s="253"/>
      <c r="E115" s="253"/>
      <c r="F115" s="253"/>
      <c r="G115" s="253"/>
      <c r="H115" s="253"/>
      <c r="I115" s="188"/>
      <c r="J115" s="188"/>
      <c r="K115" s="188"/>
      <c r="L115" s="188"/>
      <c r="M115" s="183"/>
      <c r="N115" s="183"/>
      <c r="O115" s="238"/>
      <c r="R115" s="212" t="s">
        <v>903</v>
      </c>
      <c r="S115" s="183" t="s">
        <v>1518</v>
      </c>
      <c r="T115" s="242">
        <f>INDUST_TPLATE!C237</f>
        <v>0</v>
      </c>
      <c r="U115" s="242">
        <f>INDUST_TPLATE!D237</f>
        <v>0</v>
      </c>
      <c r="V115" s="242">
        <f>INDUST_TPLATE!E237</f>
        <v>0</v>
      </c>
      <c r="W115" s="242">
        <f>INDUST_TPLATE!F237</f>
        <v>0</v>
      </c>
      <c r="X115" s="183"/>
      <c r="Y115" s="183"/>
      <c r="Z115" s="183"/>
      <c r="AA115" s="183"/>
      <c r="AB115" s="183"/>
      <c r="AC115" s="183"/>
      <c r="AD115" s="183"/>
      <c r="AE115" s="183"/>
      <c r="AF115" s="183"/>
      <c r="AK115" s="237"/>
      <c r="AL115" s="237"/>
      <c r="AM115" s="181"/>
      <c r="AR115" s="181" t="s">
        <v>904</v>
      </c>
      <c r="AS115" s="181" t="s">
        <v>905</v>
      </c>
      <c r="AT115" s="181"/>
      <c r="AU115" s="181"/>
      <c r="AV115" s="181"/>
      <c r="AW115" s="181"/>
      <c r="AX115" s="181"/>
      <c r="AY115" s="181"/>
      <c r="AZ115" s="181"/>
      <c r="BA115" s="181"/>
    </row>
    <row r="116" spans="1:53" s="182" customFormat="1">
      <c r="A116" s="256"/>
      <c r="B116" s="188"/>
      <c r="C116" s="188"/>
      <c r="D116" s="188"/>
      <c r="E116" s="188"/>
      <c r="F116" s="188"/>
      <c r="G116" s="188"/>
      <c r="H116" s="253"/>
      <c r="I116" s="188"/>
      <c r="J116" s="188"/>
      <c r="K116" s="188"/>
      <c r="L116" s="188"/>
      <c r="M116" s="183"/>
      <c r="N116" s="183"/>
      <c r="O116" s="238"/>
      <c r="R116" s="212" t="s">
        <v>906</v>
      </c>
      <c r="S116" s="183" t="s">
        <v>1518</v>
      </c>
      <c r="T116" s="242">
        <f>INDUST_TPLATE!C236</f>
        <v>0</v>
      </c>
      <c r="U116" s="242">
        <f>INDUST_TPLATE!D236</f>
        <v>0</v>
      </c>
      <c r="V116" s="242">
        <f>INDUST_TPLATE!E236</f>
        <v>0</v>
      </c>
      <c r="W116" s="242">
        <f>INDUST_TPLATE!F236</f>
        <v>0</v>
      </c>
      <c r="X116" s="183"/>
      <c r="Y116" s="183"/>
      <c r="Z116" s="183"/>
      <c r="AA116" s="183"/>
      <c r="AB116" s="183"/>
      <c r="AC116" s="183"/>
      <c r="AD116" s="183"/>
      <c r="AE116" s="183"/>
      <c r="AF116" s="183"/>
      <c r="AK116" s="237"/>
      <c r="AL116" s="237"/>
      <c r="AM116" s="181"/>
      <c r="AR116" s="181" t="s">
        <v>907</v>
      </c>
      <c r="AS116" s="181" t="s">
        <v>908</v>
      </c>
      <c r="AT116" s="181"/>
      <c r="AU116" s="181"/>
      <c r="AV116" s="181"/>
      <c r="AW116" s="181"/>
      <c r="AX116" s="181"/>
      <c r="AY116" s="181"/>
      <c r="AZ116" s="181"/>
      <c r="BA116" s="181"/>
    </row>
    <row r="117" spans="1:53" s="182" customFormat="1" ht="14.25" customHeight="1">
      <c r="A117" s="256"/>
      <c r="B117" s="188"/>
      <c r="C117" s="188"/>
      <c r="D117" s="188"/>
      <c r="E117" s="188"/>
      <c r="F117" s="188"/>
      <c r="G117" s="188"/>
      <c r="H117" s="253"/>
      <c r="I117" s="188"/>
      <c r="J117" s="188"/>
      <c r="K117" s="188"/>
      <c r="L117" s="188"/>
      <c r="M117" s="183"/>
      <c r="N117" s="183"/>
      <c r="O117" s="238"/>
      <c r="R117" s="224" t="s">
        <v>1507</v>
      </c>
      <c r="S117" s="184" t="s">
        <v>1518</v>
      </c>
      <c r="T117" s="242" t="e">
        <f>($S$85*T108+#REF!-T115+T116)</f>
        <v>#VALUE!</v>
      </c>
      <c r="U117" s="242" t="e">
        <f>($S$85*U108+K57-U115+U116)</f>
        <v>#VALUE!</v>
      </c>
      <c r="V117" s="242" t="e">
        <f>($S$85*V108+L57-V115+V116)</f>
        <v>#VALUE!</v>
      </c>
      <c r="W117" s="242" t="e">
        <f>($S$85*W108+M57-W115+W116)</f>
        <v>#VALUE!</v>
      </c>
      <c r="X117" s="183"/>
      <c r="Y117" s="183"/>
      <c r="Z117" s="183"/>
      <c r="AA117" s="183"/>
      <c r="AB117" s="183"/>
      <c r="AC117" s="183"/>
      <c r="AD117" s="183"/>
      <c r="AE117" s="183"/>
      <c r="AF117" s="183"/>
      <c r="AK117" s="237"/>
      <c r="AL117" s="237"/>
      <c r="AM117" s="181"/>
      <c r="AR117" s="181" t="s">
        <v>909</v>
      </c>
      <c r="AS117" s="181" t="s">
        <v>910</v>
      </c>
      <c r="AT117" s="181"/>
      <c r="AU117" s="181"/>
      <c r="AV117" s="181"/>
      <c r="AW117" s="181"/>
      <c r="AX117" s="181"/>
      <c r="AY117" s="181"/>
      <c r="AZ117" s="181"/>
      <c r="BA117" s="181"/>
    </row>
    <row r="118" spans="1:53" s="182" customFormat="1" ht="14.25" customHeight="1">
      <c r="A118" s="256"/>
      <c r="B118" s="188"/>
      <c r="C118" s="188"/>
      <c r="D118" s="188"/>
      <c r="E118" s="188"/>
      <c r="F118" s="188"/>
      <c r="G118" s="188"/>
      <c r="H118" s="253"/>
      <c r="I118" s="188"/>
      <c r="J118" s="188"/>
      <c r="K118" s="188"/>
      <c r="L118" s="188"/>
      <c r="M118" s="183"/>
      <c r="N118" s="183"/>
      <c r="O118" s="238"/>
      <c r="R118" s="212" t="s">
        <v>911</v>
      </c>
      <c r="S118" s="183" t="s">
        <v>631</v>
      </c>
      <c r="T118" s="242" t="e">
        <f>T117/#REF!</f>
        <v>#VALUE!</v>
      </c>
      <c r="U118" s="242" t="e">
        <f>U117/D15</f>
        <v>#VALUE!</v>
      </c>
      <c r="V118" s="242" t="e">
        <f>V117/E15</f>
        <v>#VALUE!</v>
      </c>
      <c r="W118" s="242" t="e">
        <f>W117/F15</f>
        <v>#VALUE!</v>
      </c>
      <c r="X118" s="183"/>
      <c r="Y118" s="183"/>
      <c r="Z118" s="183"/>
      <c r="AA118" s="183"/>
      <c r="AB118" s="183"/>
      <c r="AC118" s="183"/>
      <c r="AD118" s="183"/>
      <c r="AE118" s="183"/>
      <c r="AF118" s="183"/>
      <c r="AK118" s="237"/>
      <c r="AL118" s="237"/>
      <c r="AM118" s="181"/>
      <c r="AR118" s="181" t="s">
        <v>912</v>
      </c>
      <c r="AS118" s="181" t="s">
        <v>913</v>
      </c>
      <c r="AT118" s="181"/>
      <c r="AU118" s="181"/>
      <c r="AV118" s="181"/>
      <c r="AW118" s="181"/>
      <c r="AX118" s="181"/>
      <c r="AY118" s="181"/>
      <c r="AZ118" s="181"/>
      <c r="BA118" s="181"/>
    </row>
    <row r="119" spans="1:53" s="182" customFormat="1">
      <c r="A119" s="256"/>
      <c r="B119" s="188"/>
      <c r="C119" s="188"/>
      <c r="D119" s="188"/>
      <c r="E119" s="188"/>
      <c r="F119" s="188"/>
      <c r="G119" s="188"/>
      <c r="H119" s="253"/>
      <c r="I119" s="188"/>
      <c r="J119" s="188"/>
      <c r="K119" s="188"/>
      <c r="L119" s="188"/>
      <c r="M119" s="183"/>
      <c r="N119" s="183"/>
      <c r="O119" s="238"/>
      <c r="R119" s="224" t="s">
        <v>914</v>
      </c>
      <c r="S119" s="184" t="s">
        <v>631</v>
      </c>
      <c r="T119" s="242" t="e">
        <f>T117/#REF!</f>
        <v>#VALUE!</v>
      </c>
      <c r="U119" s="242" t="e">
        <f>U117/D16</f>
        <v>#VALUE!</v>
      </c>
      <c r="V119" s="242" t="e">
        <f>V117/E16</f>
        <v>#VALUE!</v>
      </c>
      <c r="W119" s="242" t="e">
        <f>W117/F16</f>
        <v>#VALUE!</v>
      </c>
      <c r="X119" s="183"/>
      <c r="Y119" s="183"/>
      <c r="Z119" s="183"/>
      <c r="AA119" s="183"/>
      <c r="AB119" s="183"/>
      <c r="AC119" s="183"/>
      <c r="AD119" s="183"/>
      <c r="AE119" s="183"/>
      <c r="AF119" s="183"/>
      <c r="AK119" s="237"/>
      <c r="AL119" s="237"/>
      <c r="AM119" s="181"/>
      <c r="AR119" s="181" t="s">
        <v>915</v>
      </c>
      <c r="AS119" s="181" t="s">
        <v>916</v>
      </c>
      <c r="AT119" s="181"/>
      <c r="AU119" s="181"/>
      <c r="AV119" s="181"/>
      <c r="AW119" s="181"/>
      <c r="AX119" s="181"/>
      <c r="AY119" s="181"/>
      <c r="AZ119" s="181"/>
      <c r="BA119" s="181"/>
    </row>
    <row r="120" spans="1:53" s="182" customFormat="1">
      <c r="A120" s="256"/>
      <c r="B120" s="188"/>
      <c r="C120" s="188"/>
      <c r="D120" s="188"/>
      <c r="E120" s="188"/>
      <c r="F120" s="188"/>
      <c r="G120" s="188"/>
      <c r="H120" s="253"/>
      <c r="I120" s="188"/>
      <c r="J120" s="188"/>
      <c r="K120" s="188"/>
      <c r="L120" s="188"/>
      <c r="M120" s="183"/>
      <c r="N120" s="183"/>
      <c r="O120" s="238"/>
      <c r="R120" s="212"/>
      <c r="S120" s="183"/>
      <c r="T120" s="183"/>
      <c r="U120" s="183"/>
      <c r="V120" s="183"/>
      <c r="W120" s="183"/>
      <c r="X120" s="183"/>
      <c r="Y120" s="183"/>
      <c r="Z120" s="183"/>
      <c r="AA120" s="183"/>
      <c r="AB120" s="183"/>
      <c r="AC120" s="183"/>
      <c r="AD120" s="183"/>
      <c r="AE120" s="183"/>
      <c r="AF120" s="183"/>
      <c r="AK120" s="237"/>
      <c r="AL120" s="237"/>
      <c r="AM120" s="181"/>
      <c r="AR120" s="181" t="s">
        <v>917</v>
      </c>
      <c r="AS120" s="181" t="s">
        <v>918</v>
      </c>
      <c r="AT120" s="181"/>
      <c r="AU120" s="181"/>
      <c r="AV120" s="181"/>
      <c r="AW120" s="181"/>
      <c r="AX120" s="181"/>
      <c r="AY120" s="181"/>
      <c r="AZ120" s="181"/>
      <c r="BA120" s="181"/>
    </row>
    <row r="121" spans="1:53" s="182" customFormat="1">
      <c r="A121" s="256"/>
      <c r="B121" s="188"/>
      <c r="C121" s="188"/>
      <c r="D121" s="188"/>
      <c r="E121" s="188"/>
      <c r="F121" s="188"/>
      <c r="G121" s="188"/>
      <c r="H121" s="253"/>
      <c r="I121" s="188"/>
      <c r="J121" s="188"/>
      <c r="K121" s="188"/>
      <c r="L121" s="188"/>
      <c r="M121" s="183"/>
      <c r="N121" s="183"/>
      <c r="O121" s="238"/>
      <c r="R121" s="224" t="s">
        <v>919</v>
      </c>
      <c r="S121" s="183"/>
      <c r="T121" s="221" t="e">
        <f>#REF!-#REF!+#REF!</f>
        <v>#REF!</v>
      </c>
      <c r="U121" s="221" t="e">
        <f>K37-K45+K38</f>
        <v>#VALUE!</v>
      </c>
      <c r="V121" s="221" t="e">
        <f>L37-L45+L38</f>
        <v>#VALUE!</v>
      </c>
      <c r="W121" s="221" t="e">
        <f>M37-M45+M38</f>
        <v>#VALUE!</v>
      </c>
      <c r="X121" s="183"/>
      <c r="Y121" s="183"/>
      <c r="Z121" s="183"/>
      <c r="AA121" s="183"/>
      <c r="AB121" s="183"/>
      <c r="AC121" s="183"/>
      <c r="AD121" s="183"/>
      <c r="AE121" s="183"/>
      <c r="AF121" s="183"/>
      <c r="AK121" s="237"/>
      <c r="AL121" s="237"/>
      <c r="AM121" s="181"/>
      <c r="AR121" s="181" t="s">
        <v>920</v>
      </c>
      <c r="AS121" s="181" t="s">
        <v>921</v>
      </c>
      <c r="AT121" s="181"/>
      <c r="AU121" s="181"/>
      <c r="AV121" s="181"/>
      <c r="AW121" s="181"/>
      <c r="AX121" s="181"/>
      <c r="AY121" s="181"/>
      <c r="AZ121" s="181"/>
      <c r="BA121" s="181"/>
    </row>
    <row r="122" spans="1:53" s="182" customFormat="1">
      <c r="A122" s="256"/>
      <c r="B122" s="188"/>
      <c r="C122" s="188"/>
      <c r="D122" s="188"/>
      <c r="E122" s="188"/>
      <c r="F122" s="188"/>
      <c r="G122" s="188"/>
      <c r="H122" s="253"/>
      <c r="I122" s="188"/>
      <c r="J122" s="188"/>
      <c r="K122" s="188"/>
      <c r="L122" s="188"/>
      <c r="M122" s="183"/>
      <c r="N122" s="183"/>
      <c r="O122" s="238"/>
      <c r="R122" s="235"/>
      <c r="S122" s="197"/>
      <c r="T122" s="197"/>
      <c r="U122" s="197"/>
      <c r="V122" s="197"/>
      <c r="W122" s="197"/>
      <c r="X122" s="183"/>
      <c r="Y122" s="183"/>
      <c r="Z122" s="183"/>
      <c r="AA122" s="183"/>
      <c r="AB122" s="183"/>
      <c r="AC122" s="183"/>
      <c r="AD122" s="183"/>
      <c r="AE122" s="183"/>
      <c r="AF122" s="183"/>
      <c r="AK122" s="237"/>
      <c r="AL122" s="237"/>
      <c r="AM122" s="181"/>
      <c r="AR122" s="181" t="s">
        <v>922</v>
      </c>
      <c r="AS122" s="181" t="s">
        <v>923</v>
      </c>
      <c r="AT122" s="181"/>
      <c r="AU122" s="181"/>
      <c r="AV122" s="181"/>
      <c r="AW122" s="181"/>
      <c r="AX122" s="181"/>
      <c r="AY122" s="181"/>
      <c r="AZ122" s="181"/>
      <c r="BA122" s="181"/>
    </row>
    <row r="123" spans="1:53" s="182" customFormat="1">
      <c r="A123" s="256"/>
      <c r="B123" s="188"/>
      <c r="C123" s="188"/>
      <c r="D123" s="188"/>
      <c r="E123" s="188"/>
      <c r="F123" s="188"/>
      <c r="G123" s="188"/>
      <c r="H123" s="253"/>
      <c r="I123" s="188"/>
      <c r="J123" s="188"/>
      <c r="K123" s="188"/>
      <c r="L123" s="188"/>
      <c r="M123" s="183"/>
      <c r="N123" s="183"/>
      <c r="O123" s="183"/>
      <c r="R123" s="183"/>
      <c r="S123" s="183"/>
      <c r="T123" s="183"/>
      <c r="U123" s="183"/>
      <c r="V123" s="183"/>
      <c r="W123" s="183"/>
      <c r="X123" s="183"/>
      <c r="Y123" s="183"/>
      <c r="Z123" s="183"/>
      <c r="AA123" s="183"/>
      <c r="AB123" s="183"/>
      <c r="AC123" s="183"/>
      <c r="AD123" s="183"/>
      <c r="AE123" s="183"/>
      <c r="AF123" s="183"/>
      <c r="AK123" s="237"/>
      <c r="AL123" s="237"/>
      <c r="AM123" s="181"/>
      <c r="AR123" s="181" t="s">
        <v>924</v>
      </c>
      <c r="AS123" s="181" t="s">
        <v>925</v>
      </c>
      <c r="AT123" s="181"/>
      <c r="AU123" s="181"/>
      <c r="AV123" s="181"/>
      <c r="AW123" s="181"/>
      <c r="AX123" s="181"/>
      <c r="AY123" s="181"/>
      <c r="AZ123" s="181"/>
      <c r="BA123" s="181"/>
    </row>
    <row r="124" spans="1:53" s="182" customFormat="1">
      <c r="A124" s="183"/>
      <c r="B124" s="183"/>
      <c r="C124" s="183"/>
      <c r="D124" s="183"/>
      <c r="E124" s="183"/>
      <c r="F124" s="183"/>
      <c r="G124" s="183"/>
      <c r="H124" s="253"/>
      <c r="I124" s="188"/>
      <c r="J124" s="183"/>
      <c r="K124" s="183"/>
      <c r="L124" s="183"/>
      <c r="M124" s="183"/>
      <c r="N124" s="183"/>
      <c r="O124" s="183"/>
      <c r="R124" s="183"/>
      <c r="S124" s="183"/>
      <c r="T124" s="183"/>
      <c r="U124" s="183"/>
      <c r="V124" s="183"/>
      <c r="W124" s="183"/>
      <c r="X124" s="183"/>
      <c r="Y124" s="183"/>
      <c r="Z124" s="183"/>
      <c r="AA124" s="183"/>
      <c r="AB124" s="183"/>
      <c r="AC124" s="183"/>
      <c r="AD124" s="183"/>
      <c r="AE124" s="183"/>
      <c r="AF124" s="183"/>
      <c r="AK124" s="237"/>
      <c r="AL124" s="237"/>
      <c r="AM124" s="181"/>
      <c r="AR124" s="181" t="s">
        <v>926</v>
      </c>
      <c r="AS124" s="181" t="s">
        <v>927</v>
      </c>
      <c r="AT124" s="181"/>
      <c r="AU124" s="181"/>
      <c r="AV124" s="181"/>
      <c r="AW124" s="181"/>
      <c r="AX124" s="181"/>
      <c r="AY124" s="181"/>
      <c r="AZ124" s="181"/>
      <c r="BA124" s="181"/>
    </row>
    <row r="125" spans="1:53" s="182" customFormat="1">
      <c r="A125" s="183"/>
      <c r="B125" s="183"/>
      <c r="C125" s="183"/>
      <c r="D125" s="183"/>
      <c r="E125" s="183"/>
      <c r="F125" s="183"/>
      <c r="G125" s="183"/>
      <c r="H125" s="253"/>
      <c r="I125" s="188"/>
      <c r="J125" s="183"/>
      <c r="K125" s="183"/>
      <c r="L125" s="183"/>
      <c r="M125" s="183"/>
      <c r="N125" s="183"/>
      <c r="O125" s="183"/>
      <c r="R125" s="243" t="s">
        <v>928</v>
      </c>
      <c r="S125" s="194"/>
      <c r="T125" s="194"/>
      <c r="U125" s="194"/>
      <c r="V125" s="194"/>
      <c r="W125" s="194"/>
      <c r="X125" s="183"/>
      <c r="Y125" s="183"/>
      <c r="Z125" s="183"/>
      <c r="AA125" s="183"/>
      <c r="AB125" s="183"/>
      <c r="AC125" s="183"/>
      <c r="AD125" s="183"/>
      <c r="AE125" s="183"/>
      <c r="AF125" s="183"/>
      <c r="AK125" s="237"/>
      <c r="AL125" s="237"/>
      <c r="AM125" s="181"/>
      <c r="AR125" s="181" t="s">
        <v>929</v>
      </c>
      <c r="AS125" s="181" t="s">
        <v>930</v>
      </c>
      <c r="AT125" s="181"/>
      <c r="AU125" s="181"/>
      <c r="AV125" s="181"/>
      <c r="AW125" s="181"/>
      <c r="AX125" s="181"/>
      <c r="AY125" s="181"/>
      <c r="AZ125" s="181"/>
      <c r="BA125" s="181"/>
    </row>
    <row r="126" spans="1:53" s="182" customFormat="1">
      <c r="A126" s="183"/>
      <c r="B126" s="183"/>
      <c r="C126" s="183"/>
      <c r="D126" s="183"/>
      <c r="E126" s="183"/>
      <c r="F126" s="183"/>
      <c r="G126" s="183"/>
      <c r="H126" s="188"/>
      <c r="I126" s="188"/>
      <c r="J126" s="183"/>
      <c r="K126" s="183"/>
      <c r="L126" s="183"/>
      <c r="M126" s="183"/>
      <c r="N126" s="183"/>
      <c r="O126" s="183"/>
      <c r="R126" s="212"/>
      <c r="S126" s="183"/>
      <c r="T126" s="183"/>
      <c r="U126" s="183"/>
      <c r="V126" s="183"/>
      <c r="W126" s="183"/>
      <c r="X126" s="183"/>
      <c r="Y126" s="183"/>
      <c r="Z126" s="183"/>
      <c r="AA126" s="183"/>
      <c r="AB126" s="183"/>
      <c r="AC126" s="183"/>
      <c r="AD126" s="183"/>
      <c r="AE126" s="183"/>
      <c r="AF126" s="183"/>
      <c r="AK126" s="237"/>
      <c r="AL126" s="237"/>
      <c r="AM126" s="181"/>
      <c r="AR126" s="181" t="s">
        <v>931</v>
      </c>
      <c r="AS126" s="181" t="s">
        <v>932</v>
      </c>
      <c r="AT126" s="181"/>
      <c r="AU126" s="181"/>
      <c r="AV126" s="181"/>
      <c r="AW126" s="181"/>
      <c r="AX126" s="181"/>
      <c r="AY126" s="181"/>
      <c r="AZ126" s="181"/>
      <c r="BA126" s="181"/>
    </row>
    <row r="127" spans="1:53" s="181" customFormat="1">
      <c r="A127" s="183"/>
      <c r="B127" s="183"/>
      <c r="C127" s="183"/>
      <c r="D127" s="183"/>
      <c r="E127" s="183"/>
      <c r="F127" s="183"/>
      <c r="G127" s="183"/>
      <c r="H127" s="188"/>
      <c r="I127" s="188"/>
      <c r="J127" s="183"/>
      <c r="K127" s="183"/>
      <c r="L127" s="183"/>
      <c r="M127" s="183"/>
      <c r="N127" s="183"/>
      <c r="O127" s="183"/>
      <c r="R127" s="212"/>
      <c r="S127" s="183"/>
      <c r="T127" s="244" t="str">
        <f>T90</f>
        <v>6/11</v>
      </c>
      <c r="U127" s="244" t="str">
        <f>U90</f>
        <v>6/12E</v>
      </c>
      <c r="V127" s="244" t="str">
        <f>V90</f>
        <v>6/13E</v>
      </c>
      <c r="W127" s="244" t="str">
        <f>W90</f>
        <v>6/14E</v>
      </c>
      <c r="X127" s="183"/>
      <c r="Y127" s="183"/>
      <c r="Z127" s="183"/>
      <c r="AA127" s="183"/>
      <c r="AB127" s="183"/>
      <c r="AC127" s="183"/>
      <c r="AD127" s="183"/>
      <c r="AE127" s="183"/>
      <c r="AF127" s="183"/>
      <c r="AK127" s="237"/>
      <c r="AL127" s="237"/>
      <c r="AN127" s="182"/>
      <c r="AR127" s="181" t="s">
        <v>933</v>
      </c>
      <c r="AS127" s="181" t="s">
        <v>934</v>
      </c>
    </row>
    <row r="128" spans="1:53" s="181" customFormat="1">
      <c r="A128" s="183"/>
      <c r="B128" s="183"/>
      <c r="C128" s="183"/>
      <c r="D128" s="183"/>
      <c r="E128" s="183"/>
      <c r="F128" s="183"/>
      <c r="G128" s="183"/>
      <c r="H128" s="188"/>
      <c r="I128" s="188"/>
      <c r="J128" s="183"/>
      <c r="K128" s="183"/>
      <c r="L128" s="183"/>
      <c r="M128" s="183"/>
      <c r="N128" s="183"/>
      <c r="O128" s="183"/>
      <c r="R128" s="224" t="s">
        <v>935</v>
      </c>
      <c r="S128" s="183"/>
      <c r="T128" s="245">
        <v>-18.163</v>
      </c>
      <c r="U128" s="245" t="e">
        <f>K57-#REF!</f>
        <v>#VALUE!</v>
      </c>
      <c r="V128" s="245" t="e">
        <f>L57-K57</f>
        <v>#VALUE!</v>
      </c>
      <c r="W128" s="245" t="e">
        <f>M57-L57</f>
        <v>#VALUE!</v>
      </c>
      <c r="X128" s="183"/>
      <c r="Y128" s="183"/>
      <c r="Z128" s="183"/>
      <c r="AA128" s="183"/>
      <c r="AB128" s="183"/>
      <c r="AC128" s="183"/>
      <c r="AD128" s="183"/>
      <c r="AE128" s="183"/>
      <c r="AF128" s="183"/>
      <c r="AK128" s="237"/>
      <c r="AL128" s="237"/>
      <c r="AR128" s="181" t="s">
        <v>936</v>
      </c>
      <c r="AS128" s="181" t="s">
        <v>939</v>
      </c>
    </row>
    <row r="129" spans="1:46" s="181" customFormat="1">
      <c r="A129" s="250"/>
      <c r="B129" s="183"/>
      <c r="C129" s="183"/>
      <c r="D129" s="183"/>
      <c r="E129" s="183"/>
      <c r="F129" s="183"/>
      <c r="G129" s="183"/>
      <c r="H129" s="188"/>
      <c r="I129" s="188"/>
      <c r="J129" s="183"/>
      <c r="K129" s="183"/>
      <c r="L129" s="183"/>
      <c r="M129" s="183"/>
      <c r="N129" s="183"/>
      <c r="O129" s="183"/>
      <c r="R129" s="224" t="s">
        <v>940</v>
      </c>
      <c r="S129" s="183"/>
      <c r="T129" s="246" t="e">
        <f>-#REF!</f>
        <v>#REF!</v>
      </c>
      <c r="U129" s="246">
        <f>-D70</f>
        <v>0</v>
      </c>
      <c r="V129" s="246">
        <f>-E70</f>
        <v>0</v>
      </c>
      <c r="W129" s="246">
        <f>-F70</f>
        <v>0</v>
      </c>
      <c r="X129" s="183"/>
      <c r="Y129" s="183"/>
      <c r="Z129" s="183"/>
      <c r="AA129" s="183"/>
      <c r="AB129" s="183"/>
      <c r="AC129" s="183"/>
      <c r="AD129" s="183"/>
      <c r="AE129" s="183"/>
      <c r="AF129" s="183"/>
      <c r="AK129" s="237"/>
      <c r="AL129" s="237"/>
      <c r="AR129" s="181" t="s">
        <v>941</v>
      </c>
      <c r="AS129" s="181" t="s">
        <v>942</v>
      </c>
    </row>
    <row r="130" spans="1:46" s="181" customFormat="1">
      <c r="A130" s="183"/>
      <c r="B130" s="183"/>
      <c r="C130" s="183"/>
      <c r="D130" s="183"/>
      <c r="E130" s="183"/>
      <c r="F130" s="183"/>
      <c r="G130" s="183"/>
      <c r="H130" s="188"/>
      <c r="I130" s="188"/>
      <c r="J130" s="183"/>
      <c r="K130" s="183"/>
      <c r="L130" s="183"/>
      <c r="M130" s="183"/>
      <c r="N130" s="183"/>
      <c r="O130" s="183"/>
      <c r="R130" s="1211"/>
      <c r="S130" s="183"/>
      <c r="T130" s="247" t="e">
        <f>T128-T129</f>
        <v>#REF!</v>
      </c>
      <c r="U130" s="247" t="e">
        <f>U128-U129</f>
        <v>#VALUE!</v>
      </c>
      <c r="V130" s="247" t="e">
        <f>V128-V129</f>
        <v>#VALUE!</v>
      </c>
      <c r="W130" s="247" t="e">
        <f>W128-W129</f>
        <v>#VALUE!</v>
      </c>
      <c r="X130" s="183"/>
      <c r="Y130" s="183"/>
      <c r="Z130" s="183"/>
      <c r="AA130" s="183"/>
      <c r="AB130" s="183"/>
      <c r="AC130" s="183"/>
      <c r="AD130" s="183"/>
      <c r="AE130" s="183"/>
      <c r="AF130" s="183"/>
      <c r="AK130" s="237"/>
      <c r="AL130" s="237"/>
      <c r="AR130" s="181" t="s">
        <v>943</v>
      </c>
      <c r="AS130" s="181" t="s">
        <v>944</v>
      </c>
    </row>
    <row r="131" spans="1:46" s="181" customFormat="1">
      <c r="A131" s="183"/>
      <c r="B131" s="183"/>
      <c r="C131" s="183"/>
      <c r="D131" s="183"/>
      <c r="E131" s="183"/>
      <c r="F131" s="183"/>
      <c r="G131" s="183"/>
      <c r="H131" s="188"/>
      <c r="I131" s="188"/>
      <c r="J131" s="183"/>
      <c r="K131" s="183"/>
      <c r="L131" s="183"/>
      <c r="M131" s="183"/>
      <c r="N131" s="183"/>
      <c r="O131" s="183"/>
      <c r="R131" s="1211"/>
      <c r="S131" s="183"/>
      <c r="T131" s="183"/>
      <c r="U131" s="183"/>
      <c r="V131" s="183"/>
      <c r="W131" s="183"/>
      <c r="X131" s="183"/>
      <c r="Y131" s="183"/>
      <c r="Z131" s="183"/>
      <c r="AA131" s="183"/>
      <c r="AB131" s="183"/>
      <c r="AC131" s="183"/>
      <c r="AD131" s="183"/>
      <c r="AE131" s="183"/>
      <c r="AF131" s="183"/>
      <c r="AK131" s="237"/>
      <c r="AL131" s="237"/>
      <c r="AR131" s="181" t="s">
        <v>945</v>
      </c>
      <c r="AS131" s="181" t="s">
        <v>946</v>
      </c>
    </row>
    <row r="132" spans="1:46" s="181" customFormat="1">
      <c r="A132" s="250"/>
      <c r="B132" s="183"/>
      <c r="C132" s="183"/>
      <c r="D132" s="183"/>
      <c r="E132" s="183"/>
      <c r="F132" s="183"/>
      <c r="G132" s="183"/>
      <c r="H132" s="188"/>
      <c r="I132" s="188"/>
      <c r="J132" s="183"/>
      <c r="K132" s="183"/>
      <c r="L132" s="183"/>
      <c r="M132" s="183"/>
      <c r="N132" s="183"/>
      <c r="O132" s="183"/>
      <c r="R132" s="235"/>
      <c r="S132" s="197"/>
      <c r="T132" s="197"/>
      <c r="U132" s="197"/>
      <c r="V132" s="197"/>
      <c r="W132" s="197"/>
      <c r="X132" s="183"/>
      <c r="Y132" s="183"/>
      <c r="Z132" s="183"/>
      <c r="AA132" s="183"/>
      <c r="AB132" s="183"/>
      <c r="AC132" s="183"/>
      <c r="AD132" s="183"/>
      <c r="AE132" s="183"/>
      <c r="AF132" s="183"/>
      <c r="AK132" s="237"/>
      <c r="AL132" s="237"/>
      <c r="AR132" s="181" t="s">
        <v>947</v>
      </c>
      <c r="AS132" s="181" t="s">
        <v>949</v>
      </c>
    </row>
    <row r="133" spans="1:46" s="181" customFormat="1">
      <c r="A133" s="250"/>
      <c r="B133" s="183"/>
      <c r="C133" s="183"/>
      <c r="D133" s="183"/>
      <c r="E133" s="183"/>
      <c r="F133" s="183"/>
      <c r="G133" s="183"/>
      <c r="H133" s="188"/>
      <c r="I133" s="188"/>
      <c r="J133" s="183"/>
      <c r="K133" s="183"/>
      <c r="L133" s="183"/>
      <c r="M133" s="183"/>
      <c r="N133" s="183"/>
      <c r="O133" s="183"/>
      <c r="R133" s="183"/>
      <c r="S133" s="183"/>
      <c r="T133" s="183"/>
      <c r="U133" s="183"/>
      <c r="V133" s="183"/>
      <c r="W133" s="183"/>
      <c r="X133" s="183"/>
      <c r="Y133" s="183"/>
      <c r="Z133" s="183"/>
      <c r="AA133" s="183"/>
      <c r="AB133" s="183"/>
      <c r="AC133" s="183"/>
      <c r="AD133" s="183"/>
      <c r="AE133" s="183"/>
      <c r="AF133" s="183"/>
      <c r="AK133" s="237"/>
      <c r="AL133" s="237"/>
      <c r="AR133" s="181" t="s">
        <v>950</v>
      </c>
      <c r="AS133" s="181" t="s">
        <v>951</v>
      </c>
    </row>
    <row r="134" spans="1:46" s="181" customFormat="1">
      <c r="A134" s="250"/>
      <c r="B134" s="183"/>
      <c r="C134" s="183"/>
      <c r="D134" s="183"/>
      <c r="E134" s="183"/>
      <c r="F134" s="183"/>
      <c r="G134" s="183"/>
      <c r="H134" s="188"/>
      <c r="I134" s="188"/>
      <c r="J134" s="183"/>
      <c r="K134" s="183"/>
      <c r="L134" s="183"/>
      <c r="M134" s="183"/>
      <c r="N134" s="183"/>
      <c r="O134" s="183"/>
      <c r="R134" s="183"/>
      <c r="S134" s="183"/>
      <c r="T134" s="183"/>
      <c r="U134" s="183"/>
      <c r="V134" s="183"/>
      <c r="W134" s="183"/>
      <c r="X134" s="183"/>
      <c r="Y134" s="183"/>
      <c r="Z134" s="183"/>
      <c r="AA134" s="183"/>
      <c r="AB134" s="183"/>
      <c r="AC134" s="183"/>
      <c r="AD134" s="183"/>
      <c r="AE134" s="183"/>
      <c r="AF134" s="183"/>
      <c r="AG134" s="183"/>
      <c r="AL134" s="237"/>
      <c r="AM134" s="237"/>
      <c r="AS134" s="181" t="s">
        <v>952</v>
      </c>
      <c r="AT134" s="181" t="s">
        <v>953</v>
      </c>
    </row>
    <row r="135" spans="1:46" s="181" customFormat="1">
      <c r="A135" s="250"/>
      <c r="B135" s="188"/>
      <c r="C135" s="183"/>
      <c r="D135" s="183"/>
      <c r="E135" s="183"/>
      <c r="F135" s="183"/>
      <c r="G135" s="183"/>
      <c r="H135" s="188"/>
      <c r="I135" s="188"/>
      <c r="J135" s="183"/>
      <c r="K135" s="183"/>
      <c r="L135" s="183"/>
      <c r="M135" s="183"/>
      <c r="N135" s="183"/>
      <c r="O135" s="183"/>
      <c r="R135" s="183"/>
      <c r="S135" s="183"/>
      <c r="T135" s="183"/>
      <c r="U135" s="183"/>
      <c r="V135" s="183"/>
      <c r="W135" s="183"/>
      <c r="X135" s="183"/>
      <c r="Y135" s="183"/>
      <c r="Z135" s="183"/>
      <c r="AA135" s="183"/>
      <c r="AB135" s="183"/>
      <c r="AC135" s="183"/>
      <c r="AD135" s="183"/>
      <c r="AE135" s="183"/>
      <c r="AF135" s="183"/>
      <c r="AG135" s="183"/>
      <c r="AL135" s="237"/>
      <c r="AM135" s="237"/>
      <c r="AS135" s="181" t="s">
        <v>954</v>
      </c>
      <c r="AT135" s="181" t="s">
        <v>955</v>
      </c>
    </row>
    <row r="136" spans="1:46" s="181" customFormat="1">
      <c r="A136" s="250"/>
      <c r="B136" s="188"/>
      <c r="C136" s="183"/>
      <c r="D136" s="183"/>
      <c r="E136" s="183"/>
      <c r="F136" s="183"/>
      <c r="G136" s="183"/>
      <c r="H136" s="183"/>
      <c r="I136" s="188"/>
      <c r="J136" s="183"/>
      <c r="K136" s="183"/>
      <c r="L136" s="183"/>
      <c r="M136" s="183"/>
      <c r="N136" s="183"/>
      <c r="O136" s="183"/>
      <c r="R136" s="183"/>
      <c r="S136" s="183"/>
      <c r="T136" s="183"/>
      <c r="U136" s="183"/>
      <c r="V136" s="183"/>
      <c r="W136" s="183"/>
      <c r="X136" s="183"/>
      <c r="Y136" s="183"/>
      <c r="Z136" s="183"/>
      <c r="AA136" s="183"/>
      <c r="AB136" s="183"/>
      <c r="AC136" s="183"/>
      <c r="AD136" s="183"/>
      <c r="AE136" s="183"/>
      <c r="AF136" s="183"/>
      <c r="AG136" s="183"/>
      <c r="AL136" s="237"/>
      <c r="AM136" s="237"/>
      <c r="AS136" s="181" t="s">
        <v>956</v>
      </c>
      <c r="AT136" s="181" t="s">
        <v>957</v>
      </c>
    </row>
    <row r="137" spans="1:46" s="181" customFormat="1">
      <c r="A137" s="250"/>
      <c r="B137" s="188"/>
      <c r="C137" s="183"/>
      <c r="D137" s="183"/>
      <c r="E137" s="183"/>
      <c r="F137" s="183"/>
      <c r="G137" s="183"/>
      <c r="H137" s="183"/>
      <c r="I137" s="188"/>
      <c r="J137" s="183"/>
      <c r="K137" s="183"/>
      <c r="L137" s="183"/>
      <c r="M137" s="183"/>
      <c r="N137" s="183"/>
      <c r="O137" s="183"/>
      <c r="R137" s="183"/>
      <c r="S137" s="183"/>
      <c r="T137" s="183"/>
      <c r="U137" s="183"/>
      <c r="V137" s="183"/>
      <c r="W137" s="183"/>
      <c r="X137" s="183"/>
      <c r="Y137" s="183"/>
      <c r="Z137" s="183"/>
      <c r="AA137" s="183"/>
      <c r="AB137" s="183"/>
      <c r="AC137" s="183"/>
      <c r="AD137" s="183"/>
      <c r="AE137" s="183"/>
      <c r="AF137" s="183"/>
      <c r="AG137" s="183"/>
      <c r="AL137" s="237"/>
      <c r="AM137" s="237"/>
      <c r="AS137" s="181" t="s">
        <v>958</v>
      </c>
      <c r="AT137" s="181" t="s">
        <v>960</v>
      </c>
    </row>
    <row r="138" spans="1:46" s="181" customFormat="1">
      <c r="A138" s="250"/>
      <c r="B138" s="188"/>
      <c r="C138" s="183"/>
      <c r="D138" s="183"/>
      <c r="E138" s="183"/>
      <c r="F138" s="183"/>
      <c r="G138" s="183"/>
      <c r="H138" s="183"/>
      <c r="I138" s="188"/>
      <c r="J138" s="183"/>
      <c r="K138" s="183"/>
      <c r="L138" s="183"/>
      <c r="M138" s="183"/>
      <c r="N138" s="183"/>
      <c r="O138" s="183"/>
      <c r="R138" s="183"/>
      <c r="S138" s="183"/>
      <c r="T138" s="183"/>
      <c r="U138" s="183"/>
      <c r="V138" s="183"/>
      <c r="W138" s="183"/>
      <c r="X138" s="183"/>
      <c r="Y138" s="183"/>
      <c r="Z138" s="183"/>
      <c r="AA138" s="183"/>
      <c r="AB138" s="183"/>
      <c r="AC138" s="183"/>
      <c r="AD138" s="183"/>
      <c r="AE138" s="183"/>
      <c r="AF138" s="183"/>
      <c r="AG138" s="183"/>
      <c r="AL138" s="237"/>
      <c r="AM138" s="237"/>
      <c r="AS138" s="181" t="s">
        <v>961</v>
      </c>
      <c r="AT138" s="181" t="s">
        <v>962</v>
      </c>
    </row>
    <row r="139" spans="1:46" s="181" customFormat="1" ht="16.5" customHeight="1">
      <c r="A139" s="250"/>
      <c r="B139" s="188"/>
      <c r="C139" s="183"/>
      <c r="D139" s="183"/>
      <c r="E139" s="183"/>
      <c r="F139" s="183"/>
      <c r="G139" s="183"/>
      <c r="H139" s="183"/>
      <c r="I139" s="188"/>
      <c r="J139" s="183"/>
      <c r="K139" s="183"/>
      <c r="L139" s="183"/>
      <c r="M139" s="183"/>
      <c r="N139" s="183"/>
      <c r="O139" s="183"/>
      <c r="R139" s="183"/>
      <c r="S139" s="183"/>
      <c r="T139" s="183"/>
      <c r="U139" s="183"/>
      <c r="V139" s="183"/>
      <c r="W139" s="183"/>
      <c r="X139" s="183"/>
      <c r="Y139" s="183"/>
      <c r="Z139" s="183"/>
      <c r="AA139" s="183"/>
      <c r="AB139" s="183"/>
      <c r="AC139" s="183"/>
      <c r="AD139" s="183"/>
      <c r="AE139" s="183"/>
      <c r="AF139" s="183"/>
      <c r="AG139" s="183"/>
      <c r="AL139" s="237"/>
      <c r="AM139" s="237"/>
      <c r="AS139" s="181" t="s">
        <v>963</v>
      </c>
      <c r="AT139" s="181" t="s">
        <v>964</v>
      </c>
    </row>
    <row r="140" spans="1:46" s="181" customFormat="1">
      <c r="A140" s="250"/>
      <c r="B140" s="183"/>
      <c r="C140" s="183"/>
      <c r="D140" s="183"/>
      <c r="E140" s="183"/>
      <c r="F140" s="183"/>
      <c r="G140" s="183"/>
      <c r="H140" s="183"/>
      <c r="I140" s="188"/>
      <c r="J140" s="183"/>
      <c r="K140" s="183"/>
      <c r="L140" s="183"/>
      <c r="M140" s="183"/>
      <c r="N140" s="183"/>
      <c r="O140" s="183"/>
      <c r="R140" s="183"/>
      <c r="S140" s="183"/>
      <c r="T140" s="183"/>
      <c r="U140" s="183"/>
      <c r="V140" s="183"/>
      <c r="W140" s="183"/>
      <c r="X140" s="183"/>
      <c r="Y140" s="183"/>
      <c r="Z140" s="183"/>
      <c r="AA140" s="183"/>
      <c r="AB140" s="183"/>
      <c r="AC140" s="183"/>
      <c r="AD140" s="183"/>
      <c r="AE140" s="183"/>
      <c r="AF140" s="183"/>
      <c r="AG140" s="183"/>
      <c r="AL140" s="237"/>
      <c r="AM140" s="237"/>
      <c r="AS140" s="181" t="s">
        <v>965</v>
      </c>
      <c r="AT140" s="181" t="s">
        <v>966</v>
      </c>
    </row>
    <row r="141" spans="1:46" s="181" customFormat="1">
      <c r="A141" s="250"/>
      <c r="B141" s="183"/>
      <c r="C141" s="183"/>
      <c r="D141" s="183"/>
      <c r="E141" s="183"/>
      <c r="F141" s="183"/>
      <c r="G141" s="183"/>
      <c r="H141" s="183"/>
      <c r="I141" s="188"/>
      <c r="J141" s="183"/>
      <c r="K141" s="183"/>
      <c r="L141" s="183"/>
      <c r="M141" s="183"/>
      <c r="N141" s="183"/>
      <c r="O141" s="183"/>
      <c r="R141" s="183"/>
      <c r="S141" s="183"/>
      <c r="T141" s="183"/>
      <c r="U141" s="183"/>
      <c r="V141" s="183"/>
      <c r="W141" s="183"/>
      <c r="X141" s="183"/>
      <c r="Y141" s="183"/>
      <c r="Z141" s="183"/>
      <c r="AA141" s="183"/>
      <c r="AB141" s="183"/>
      <c r="AC141" s="183"/>
      <c r="AD141" s="183"/>
      <c r="AE141" s="183"/>
      <c r="AF141" s="183"/>
      <c r="AG141" s="183"/>
      <c r="AL141" s="237"/>
      <c r="AM141" s="237"/>
      <c r="AS141" s="181" t="s">
        <v>967</v>
      </c>
      <c r="AT141" s="181" t="s">
        <v>968</v>
      </c>
    </row>
    <row r="142" spans="1:46" s="181" customFormat="1">
      <c r="A142" s="250"/>
      <c r="B142" s="183"/>
      <c r="C142" s="183"/>
      <c r="D142" s="183"/>
      <c r="E142" s="183"/>
      <c r="F142" s="183"/>
      <c r="G142" s="183"/>
      <c r="H142" s="183"/>
      <c r="I142" s="188"/>
      <c r="J142" s="183"/>
      <c r="K142" s="183"/>
      <c r="L142" s="183"/>
      <c r="M142" s="183"/>
      <c r="N142" s="183"/>
      <c r="O142" s="183"/>
      <c r="R142" s="183"/>
      <c r="S142" s="183"/>
      <c r="T142" s="183"/>
      <c r="U142" s="183"/>
      <c r="V142" s="183"/>
      <c r="W142" s="183"/>
      <c r="X142" s="183"/>
      <c r="Y142" s="183"/>
      <c r="Z142" s="183"/>
      <c r="AA142" s="183"/>
      <c r="AB142" s="183"/>
      <c r="AC142" s="183"/>
      <c r="AD142" s="183"/>
      <c r="AE142" s="183"/>
      <c r="AF142" s="183"/>
      <c r="AG142" s="183"/>
      <c r="AL142" s="237"/>
      <c r="AM142" s="237"/>
      <c r="AS142" s="181" t="s">
        <v>969</v>
      </c>
      <c r="AT142" s="181" t="s">
        <v>971</v>
      </c>
    </row>
    <row r="143" spans="1:46" s="181" customFormat="1">
      <c r="A143" s="250"/>
      <c r="B143" s="183"/>
      <c r="C143" s="183"/>
      <c r="D143" s="183"/>
      <c r="E143" s="183"/>
      <c r="F143" s="183"/>
      <c r="G143" s="183"/>
      <c r="H143" s="183"/>
      <c r="I143" s="188"/>
      <c r="J143" s="183"/>
      <c r="K143" s="183"/>
      <c r="L143" s="183"/>
      <c r="M143" s="183"/>
      <c r="N143" s="183"/>
      <c r="O143" s="183"/>
      <c r="R143" s="183"/>
      <c r="S143" s="183"/>
      <c r="T143" s="183"/>
      <c r="U143" s="183"/>
      <c r="V143" s="183"/>
      <c r="W143" s="183"/>
      <c r="X143" s="183"/>
      <c r="Y143" s="183"/>
      <c r="Z143" s="183"/>
      <c r="AA143" s="183"/>
      <c r="AB143" s="183"/>
      <c r="AC143" s="183"/>
      <c r="AD143" s="183"/>
      <c r="AE143" s="183"/>
      <c r="AF143" s="183"/>
      <c r="AG143" s="183"/>
      <c r="AL143" s="237"/>
      <c r="AM143" s="237"/>
      <c r="AS143" s="181" t="s">
        <v>972</v>
      </c>
      <c r="AT143" s="181" t="s">
        <v>973</v>
      </c>
    </row>
    <row r="144" spans="1:46" s="181" customFormat="1">
      <c r="A144" s="250"/>
      <c r="B144" s="183"/>
      <c r="C144" s="183"/>
      <c r="D144" s="183"/>
      <c r="E144" s="183"/>
      <c r="F144" s="183"/>
      <c r="G144" s="183"/>
      <c r="H144" s="183"/>
      <c r="I144" s="183"/>
      <c r="J144" s="183"/>
      <c r="K144" s="183"/>
      <c r="L144" s="183"/>
      <c r="M144" s="183"/>
      <c r="N144" s="183"/>
      <c r="O144" s="183"/>
      <c r="R144" s="183"/>
      <c r="S144" s="183"/>
      <c r="T144" s="183"/>
      <c r="U144" s="183"/>
      <c r="V144" s="183"/>
      <c r="W144" s="183"/>
      <c r="X144" s="183"/>
      <c r="Y144" s="183"/>
      <c r="Z144" s="183"/>
      <c r="AA144" s="183"/>
      <c r="AB144" s="183"/>
      <c r="AC144" s="183"/>
      <c r="AD144" s="183"/>
      <c r="AE144" s="183"/>
      <c r="AF144" s="183"/>
      <c r="AG144" s="183"/>
      <c r="AL144" s="237"/>
      <c r="AM144" s="237"/>
      <c r="AS144" s="181" t="s">
        <v>974</v>
      </c>
      <c r="AT144" s="181" t="s">
        <v>975</v>
      </c>
    </row>
    <row r="145" spans="1:46" s="181" customFormat="1">
      <c r="A145" s="250"/>
      <c r="B145" s="183"/>
      <c r="C145" s="183"/>
      <c r="D145" s="183"/>
      <c r="E145" s="183"/>
      <c r="F145" s="183"/>
      <c r="G145" s="183"/>
      <c r="H145" s="183"/>
      <c r="I145" s="183"/>
      <c r="J145" s="183"/>
      <c r="K145" s="183"/>
      <c r="L145" s="183"/>
      <c r="M145" s="183"/>
      <c r="N145" s="183"/>
      <c r="O145" s="183"/>
      <c r="R145" s="183"/>
      <c r="S145" s="183"/>
      <c r="T145" s="183"/>
      <c r="U145" s="183"/>
      <c r="V145" s="183"/>
      <c r="W145" s="183"/>
      <c r="X145" s="183"/>
      <c r="Y145" s="183"/>
      <c r="Z145" s="183"/>
      <c r="AA145" s="183"/>
      <c r="AB145" s="183"/>
      <c r="AC145" s="183"/>
      <c r="AD145" s="183"/>
      <c r="AE145" s="183"/>
      <c r="AF145" s="183"/>
      <c r="AG145" s="183"/>
      <c r="AL145" s="237"/>
      <c r="AM145" s="237"/>
      <c r="AS145" s="181" t="s">
        <v>976</v>
      </c>
      <c r="AT145" s="181" t="s">
        <v>977</v>
      </c>
    </row>
    <row r="146" spans="1:46" s="181" customFormat="1" ht="14.25" customHeight="1">
      <c r="A146" s="250"/>
      <c r="B146" s="183"/>
      <c r="C146" s="183"/>
      <c r="D146" s="183"/>
      <c r="E146" s="183"/>
      <c r="F146" s="183"/>
      <c r="G146" s="183"/>
      <c r="H146" s="183"/>
      <c r="I146" s="183"/>
      <c r="J146" s="183"/>
      <c r="K146" s="183"/>
      <c r="L146" s="183"/>
      <c r="M146" s="183"/>
      <c r="N146" s="183"/>
      <c r="O146" s="183"/>
      <c r="R146" s="183"/>
      <c r="S146" s="183"/>
      <c r="T146" s="183"/>
      <c r="U146" s="183"/>
      <c r="V146" s="183"/>
      <c r="W146" s="183"/>
      <c r="X146" s="183"/>
      <c r="Y146" s="183"/>
      <c r="Z146" s="183"/>
      <c r="AA146" s="183"/>
      <c r="AB146" s="183"/>
      <c r="AC146" s="183"/>
      <c r="AD146" s="183"/>
      <c r="AE146" s="183"/>
      <c r="AF146" s="183"/>
      <c r="AG146" s="183"/>
      <c r="AL146" s="237"/>
      <c r="AM146" s="237"/>
      <c r="AS146" s="181" t="s">
        <v>978</v>
      </c>
      <c r="AT146" s="181" t="s">
        <v>979</v>
      </c>
    </row>
    <row r="147" spans="1:46" s="181" customFormat="1" ht="14.25" customHeight="1">
      <c r="A147" s="250"/>
      <c r="B147" s="183"/>
      <c r="C147" s="183"/>
      <c r="D147" s="183"/>
      <c r="E147" s="183"/>
      <c r="F147" s="183"/>
      <c r="G147" s="183"/>
      <c r="H147" s="183"/>
      <c r="I147" s="183"/>
      <c r="J147" s="183"/>
      <c r="K147" s="183"/>
      <c r="L147" s="183"/>
      <c r="M147" s="183"/>
      <c r="N147" s="183"/>
      <c r="O147" s="183"/>
      <c r="R147" s="183"/>
      <c r="S147" s="183"/>
      <c r="T147" s="183"/>
      <c r="U147" s="183"/>
      <c r="V147" s="183"/>
      <c r="W147" s="183"/>
      <c r="X147" s="183"/>
      <c r="Y147" s="183"/>
      <c r="Z147" s="183"/>
      <c r="AA147" s="183"/>
      <c r="AB147" s="183"/>
      <c r="AC147" s="183"/>
      <c r="AD147" s="183"/>
      <c r="AE147" s="183"/>
      <c r="AF147" s="183"/>
      <c r="AG147" s="183"/>
      <c r="AL147" s="237"/>
      <c r="AM147" s="237"/>
      <c r="AS147" s="181" t="s">
        <v>980</v>
      </c>
      <c r="AT147" s="181" t="s">
        <v>981</v>
      </c>
    </row>
    <row r="148" spans="1:46">
      <c r="AL148" s="189"/>
      <c r="AM148" s="189"/>
      <c r="AS148" s="183" t="s">
        <v>982</v>
      </c>
      <c r="AT148" s="183" t="s">
        <v>984</v>
      </c>
    </row>
    <row r="149" spans="1:46">
      <c r="AL149" s="189"/>
      <c r="AM149" s="189"/>
      <c r="AS149" s="183" t="s">
        <v>985</v>
      </c>
      <c r="AT149" s="183" t="s">
        <v>986</v>
      </c>
    </row>
    <row r="150" spans="1:46">
      <c r="U150" s="183" t="s">
        <v>582</v>
      </c>
      <c r="V150" s="183" t="s">
        <v>988</v>
      </c>
      <c r="AL150" s="189"/>
      <c r="AM150" s="189"/>
      <c r="AS150" s="183" t="s">
        <v>989</v>
      </c>
      <c r="AT150" s="183" t="s">
        <v>990</v>
      </c>
    </row>
    <row r="151" spans="1:46">
      <c r="U151" s="183" t="s">
        <v>587</v>
      </c>
      <c r="V151" s="183" t="s">
        <v>991</v>
      </c>
      <c r="AL151" s="189"/>
      <c r="AM151" s="189"/>
      <c r="AS151" s="183" t="s">
        <v>992</v>
      </c>
      <c r="AT151" s="183" t="s">
        <v>993</v>
      </c>
    </row>
    <row r="152" spans="1:46">
      <c r="U152" s="183" t="s">
        <v>592</v>
      </c>
      <c r="V152" s="183" t="s">
        <v>994</v>
      </c>
      <c r="AL152" s="189"/>
      <c r="AM152" s="189"/>
      <c r="AS152" s="183" t="s">
        <v>995</v>
      </c>
      <c r="AT152" s="183" t="s">
        <v>996</v>
      </c>
    </row>
    <row r="153" spans="1:46">
      <c r="U153" s="183" t="s">
        <v>595</v>
      </c>
      <c r="V153" s="183" t="s">
        <v>997</v>
      </c>
      <c r="AL153" s="189"/>
      <c r="AM153" s="189"/>
      <c r="AS153" s="183" t="s">
        <v>998</v>
      </c>
      <c r="AT153" s="183" t="s">
        <v>999</v>
      </c>
    </row>
    <row r="154" spans="1:46">
      <c r="AL154" s="189"/>
      <c r="AM154" s="189"/>
      <c r="AS154" s="183" t="s">
        <v>1000</v>
      </c>
      <c r="AT154" s="183" t="s">
        <v>1001</v>
      </c>
    </row>
    <row r="155" spans="1:46">
      <c r="AL155" s="189"/>
      <c r="AM155" s="189"/>
      <c r="AS155" s="183" t="s">
        <v>1002</v>
      </c>
      <c r="AT155" s="183" t="s">
        <v>1003</v>
      </c>
    </row>
    <row r="156" spans="1:46">
      <c r="AL156" s="189"/>
      <c r="AM156" s="189"/>
      <c r="AS156" s="183" t="s">
        <v>1004</v>
      </c>
      <c r="AT156" s="183" t="s">
        <v>1005</v>
      </c>
    </row>
    <row r="157" spans="1:46">
      <c r="AL157" s="189"/>
      <c r="AM157" s="189"/>
      <c r="AS157" s="183" t="s">
        <v>1006</v>
      </c>
      <c r="AT157" s="183" t="s">
        <v>1007</v>
      </c>
    </row>
    <row r="158" spans="1:46">
      <c r="AL158" s="189"/>
      <c r="AM158" s="189"/>
    </row>
    <row r="159" spans="1:46">
      <c r="AL159" s="189"/>
      <c r="AM159" s="189"/>
    </row>
    <row r="160" spans="1:46">
      <c r="AL160" s="189"/>
      <c r="AM160" s="189"/>
    </row>
    <row r="161" spans="38:39">
      <c r="AL161" s="189"/>
      <c r="AM161" s="189"/>
    </row>
    <row r="162" spans="38:39">
      <c r="AL162" s="189"/>
      <c r="AM162" s="189"/>
    </row>
    <row r="163" spans="38:39">
      <c r="AL163" s="189"/>
      <c r="AM163" s="189"/>
    </row>
    <row r="164" spans="38:39">
      <c r="AL164" s="189"/>
      <c r="AM164" s="189"/>
    </row>
    <row r="165" spans="38:39">
      <c r="AL165" s="189"/>
      <c r="AM165" s="189"/>
    </row>
    <row r="166" spans="38:39">
      <c r="AL166" s="189"/>
      <c r="AM166" s="189"/>
    </row>
    <row r="167" spans="38:39">
      <c r="AL167" s="189"/>
      <c r="AM167" s="189"/>
    </row>
    <row r="168" spans="38:39">
      <c r="AL168" s="189"/>
      <c r="AM168" s="189"/>
    </row>
    <row r="169" spans="38:39">
      <c r="AL169" s="189"/>
      <c r="AM169" s="189"/>
    </row>
    <row r="170" spans="38:39">
      <c r="AL170" s="189"/>
      <c r="AM170" s="189"/>
    </row>
    <row r="171" spans="38:39">
      <c r="AL171" s="189"/>
      <c r="AM171" s="189"/>
    </row>
    <row r="172" spans="38:39">
      <c r="AL172" s="189"/>
      <c r="AM172" s="189"/>
    </row>
    <row r="173" spans="38:39">
      <c r="AL173" s="189"/>
      <c r="AM173" s="189"/>
    </row>
    <row r="174" spans="38:39">
      <c r="AL174" s="189"/>
      <c r="AM174" s="189"/>
    </row>
    <row r="175" spans="38:39">
      <c r="AL175" s="189"/>
      <c r="AM175" s="189"/>
    </row>
    <row r="176" spans="38:39">
      <c r="AL176" s="189"/>
      <c r="AM176" s="189"/>
    </row>
    <row r="177" spans="38:39">
      <c r="AL177" s="189"/>
      <c r="AM177" s="189"/>
    </row>
    <row r="178" spans="38:39">
      <c r="AL178" s="189"/>
      <c r="AM178" s="189"/>
    </row>
    <row r="179" spans="38:39">
      <c r="AL179" s="189"/>
      <c r="AM179" s="189"/>
    </row>
    <row r="180" spans="38:39">
      <c r="AL180" s="189"/>
      <c r="AM180" s="189"/>
    </row>
    <row r="181" spans="38:39">
      <c r="AL181" s="189"/>
      <c r="AM181" s="189"/>
    </row>
    <row r="182" spans="38:39">
      <c r="AL182" s="189"/>
      <c r="AM182" s="189"/>
    </row>
    <row r="183" spans="38:39">
      <c r="AL183" s="189"/>
      <c r="AM183" s="189"/>
    </row>
    <row r="184" spans="38:39">
      <c r="AL184" s="189"/>
      <c r="AM184" s="189"/>
    </row>
    <row r="185" spans="38:39">
      <c r="AL185" s="189"/>
      <c r="AM185" s="189"/>
    </row>
    <row r="186" spans="38:39">
      <c r="AL186" s="189"/>
      <c r="AM186" s="189"/>
    </row>
    <row r="187" spans="38:39">
      <c r="AL187" s="189"/>
      <c r="AM187" s="189"/>
    </row>
    <row r="188" spans="38:39">
      <c r="AL188" s="189"/>
      <c r="AM188" s="189"/>
    </row>
    <row r="189" spans="38:39">
      <c r="AL189" s="189"/>
      <c r="AM189" s="189"/>
    </row>
    <row r="190" spans="38:39">
      <c r="AL190" s="189"/>
      <c r="AM190" s="189"/>
    </row>
    <row r="191" spans="38:39">
      <c r="AL191" s="189"/>
      <c r="AM191" s="189"/>
    </row>
    <row r="192" spans="38:39">
      <c r="AL192" s="189"/>
      <c r="AM192" s="189"/>
    </row>
    <row r="193" spans="38:39">
      <c r="AL193" s="189"/>
      <c r="AM193" s="189"/>
    </row>
    <row r="194" spans="38:39">
      <c r="AL194" s="189"/>
      <c r="AM194" s="189"/>
    </row>
    <row r="195" spans="38:39">
      <c r="AL195" s="189"/>
      <c r="AM195" s="189"/>
    </row>
    <row r="196" spans="38:39">
      <c r="AL196" s="189"/>
      <c r="AM196" s="189"/>
    </row>
    <row r="197" spans="38:39">
      <c r="AL197" s="189"/>
      <c r="AM197" s="189"/>
    </row>
    <row r="198" spans="38:39">
      <c r="AL198" s="189"/>
      <c r="AM198" s="189"/>
    </row>
    <row r="199" spans="38:39">
      <c r="AL199" s="189"/>
      <c r="AM199" s="189"/>
    </row>
    <row r="200" spans="38:39">
      <c r="AL200" s="189"/>
      <c r="AM200" s="189"/>
    </row>
    <row r="201" spans="38:39" hidden="1">
      <c r="AL201" s="189"/>
      <c r="AM201" s="189"/>
    </row>
    <row r="202" spans="38:39">
      <c r="AL202" s="189"/>
      <c r="AM202" s="189"/>
    </row>
    <row r="203" spans="38:39">
      <c r="AL203" s="189"/>
      <c r="AM203" s="189"/>
    </row>
    <row r="204" spans="38:39">
      <c r="AL204" s="189"/>
      <c r="AM204" s="189"/>
    </row>
    <row r="205" spans="38:39">
      <c r="AL205" s="189"/>
      <c r="AM205" s="189"/>
    </row>
    <row r="206" spans="38:39">
      <c r="AL206" s="189"/>
      <c r="AM206" s="189"/>
    </row>
    <row r="254" spans="1:57">
      <c r="A254" s="252" t="s">
        <v>1524</v>
      </c>
    </row>
    <row r="255" spans="1:57">
      <c r="BE255" s="183">
        <v>3</v>
      </c>
    </row>
    <row r="257" spans="1:62">
      <c r="BH257" s="183">
        <f>BE256+BH251</f>
        <v>0</v>
      </c>
      <c r="BI257" s="183">
        <f>BI251+BE256</f>
        <v>0</v>
      </c>
      <c r="BJ257" s="183">
        <f>BJ251+BE256</f>
        <v>0</v>
      </c>
    </row>
    <row r="261" spans="1:62">
      <c r="A261" s="250" t="s">
        <v>599</v>
      </c>
      <c r="BE261" s="183" t="e">
        <f>BE256/BE230</f>
        <v>#DIV/0!</v>
      </c>
      <c r="BH261" s="183" t="e">
        <f>BE256/BH230</f>
        <v>#DIV/0!</v>
      </c>
      <c r="BI261" s="183" t="e">
        <f>BE256/BI230</f>
        <v>#DIV/0!</v>
      </c>
      <c r="BJ261" s="183" t="e">
        <f>BE256/BJ230</f>
        <v>#DIV/0!</v>
      </c>
    </row>
  </sheetData>
  <mergeCells count="30">
    <mergeCell ref="U81:X82"/>
    <mergeCell ref="R44:AB48"/>
    <mergeCell ref="R51:W52"/>
    <mergeCell ref="R70:W72"/>
    <mergeCell ref="R59:W60"/>
    <mergeCell ref="R63:W64"/>
    <mergeCell ref="X63:Z64"/>
    <mergeCell ref="X55:AB56"/>
    <mergeCell ref="R68:W69"/>
    <mergeCell ref="X68:Z69"/>
    <mergeCell ref="R80:S82"/>
    <mergeCell ref="AA39:AG41"/>
    <mergeCell ref="R13:AB15"/>
    <mergeCell ref="W35:AB36"/>
    <mergeCell ref="R30:AB33"/>
    <mergeCell ref="R35:S36"/>
    <mergeCell ref="U35:V36"/>
    <mergeCell ref="R18:W19"/>
    <mergeCell ref="R27:Z28"/>
    <mergeCell ref="R130:R131"/>
    <mergeCell ref="R85:R86"/>
    <mergeCell ref="S85:S86"/>
    <mergeCell ref="R87:T88"/>
    <mergeCell ref="T85:U86"/>
    <mergeCell ref="AA105:AB106"/>
    <mergeCell ref="AA103:AB104"/>
    <mergeCell ref="Z86:AC87"/>
    <mergeCell ref="Y105:Z106"/>
    <mergeCell ref="AB68:AD70"/>
    <mergeCell ref="Y103:Z104"/>
  </mergeCells>
  <phoneticPr fontId="45" type="noConversion"/>
  <printOptions horizontalCentered="1"/>
  <pageMargins left="0.35433070866141736" right="0.35433070866141736" top="0.39370078740157483" bottom="0.39370078740157483" header="0.31496062992125984" footer="0.31496062992125984"/>
  <pageSetup paperSize="9" scale="65" orientation="portrait" r:id="rId1"/>
  <headerFooter alignWithMargins="0"/>
  <colBreaks count="1" manualBreakCount="1">
    <brk id="16" max="620" man="1"/>
  </colBreaks>
  <customProperties>
    <customPr name="Qube.Worksheet.Visibility"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9153" r:id="rId5" name="Button 1">
              <controlPr defaultSize="0" print="0" autoFill="0" autoPict="0">
                <anchor moveWithCells="1" sizeWithCells="1">
                  <from>
                    <xdr:col>17</xdr:col>
                    <xdr:colOff>1000125</xdr:colOff>
                    <xdr:row>53</xdr:row>
                    <xdr:rowOff>66675</xdr:rowOff>
                  </from>
                  <to>
                    <xdr:col>21</xdr:col>
                    <xdr:colOff>781050</xdr:colOff>
                    <xdr:row>56</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5"/>
    <pageSetUpPr fitToPage="1"/>
  </sheetPr>
  <dimension ref="B1:M45"/>
  <sheetViews>
    <sheetView workbookViewId="0">
      <selection activeCell="E46" sqref="E46"/>
    </sheetView>
  </sheetViews>
  <sheetFormatPr defaultColWidth="9.140625" defaultRowHeight="12.75"/>
  <cols>
    <col min="1" max="1" width="9.140625" style="1024"/>
    <col min="2" max="2" width="50.7109375" style="1024" bestFit="1" customWidth="1"/>
    <col min="3" max="9" width="9.85546875" style="1024" customWidth="1"/>
    <col min="10" max="10" width="17.140625" style="1024" customWidth="1"/>
    <col min="11" max="16384" width="9.140625" style="1024"/>
  </cols>
  <sheetData>
    <row r="1" spans="2:10">
      <c r="B1" s="1021"/>
      <c r="C1" s="1022"/>
      <c r="D1" s="1022"/>
      <c r="E1" s="1022"/>
      <c r="F1" s="1022"/>
      <c r="G1" s="1022"/>
      <c r="H1" s="1022"/>
      <c r="I1" s="1022"/>
      <c r="J1" s="1023"/>
    </row>
    <row r="2" spans="2:10">
      <c r="B2" s="1025" t="s">
        <v>983</v>
      </c>
      <c r="C2" s="1026"/>
      <c r="D2" s="1026"/>
      <c r="E2" s="1026"/>
      <c r="F2" s="1026"/>
      <c r="G2" s="1026"/>
      <c r="H2" s="1026"/>
      <c r="I2" s="1026"/>
      <c r="J2" s="1027"/>
    </row>
    <row r="3" spans="2:10">
      <c r="B3" s="1025" t="s">
        <v>1689</v>
      </c>
      <c r="C3" s="1026"/>
      <c r="D3" s="1026"/>
      <c r="E3" s="1026"/>
      <c r="F3" s="1026"/>
      <c r="G3" s="1026"/>
      <c r="H3" s="1026"/>
      <c r="I3" s="1026"/>
      <c r="J3" s="1027"/>
    </row>
    <row r="4" spans="2:10">
      <c r="B4" s="1028" t="s">
        <v>1690</v>
      </c>
      <c r="C4" s="1029"/>
      <c r="D4" s="1030" t="s">
        <v>1691</v>
      </c>
      <c r="E4" s="1031"/>
      <c r="F4" s="1032" t="s">
        <v>1692</v>
      </c>
      <c r="H4" s="1033"/>
      <c r="I4" s="1034" t="s">
        <v>1524</v>
      </c>
      <c r="J4" s="1035" t="s">
        <v>1792</v>
      </c>
    </row>
    <row r="5" spans="2:10">
      <c r="B5" s="1028"/>
      <c r="C5" s="1033"/>
      <c r="D5" s="1030" t="s">
        <v>1907</v>
      </c>
      <c r="E5" s="1036"/>
      <c r="F5" s="1036" t="s">
        <v>1693</v>
      </c>
      <c r="G5" s="1036"/>
      <c r="I5" s="1036" t="s">
        <v>1694</v>
      </c>
      <c r="J5" s="1035" t="s">
        <v>1535</v>
      </c>
    </row>
    <row r="6" spans="2:10">
      <c r="B6" s="1037" t="s">
        <v>1711</v>
      </c>
      <c r="D6" s="1038">
        <f>Segments!AH71</f>
        <v>200.40583009470205</v>
      </c>
      <c r="E6" s="1039"/>
      <c r="F6" s="1039">
        <v>24</v>
      </c>
      <c r="G6" s="1040"/>
      <c r="I6" s="1040">
        <f>F6*D6</f>
        <v>4809.7399222728491</v>
      </c>
      <c r="J6" s="1041">
        <f>I6/$I$12</f>
        <v>0.92828013076548843</v>
      </c>
    </row>
    <row r="7" spans="2:10">
      <c r="B7" s="1037" t="s">
        <v>1712</v>
      </c>
      <c r="D7" s="1038">
        <f>Segments!AH84</f>
        <v>30.312282</v>
      </c>
      <c r="E7" s="1039"/>
      <c r="F7" s="1039">
        <v>10</v>
      </c>
      <c r="G7" s="1040"/>
      <c r="I7" s="1040">
        <f>F7*D7</f>
        <v>303.12281999999999</v>
      </c>
      <c r="J7" s="1041">
        <f t="shared" ref="J7" si="0">I7/$I$12</f>
        <v>5.8502724790706721E-2</v>
      </c>
    </row>
    <row r="8" spans="2:10">
      <c r="B8" s="1037" t="s">
        <v>1791</v>
      </c>
      <c r="D8" s="1038"/>
      <c r="E8" s="1039"/>
      <c r="F8" s="1039"/>
      <c r="G8" s="1040"/>
      <c r="I8" s="1040">
        <f>(Segments!BF97*12)*DCF!AO33</f>
        <v>158.55818980658657</v>
      </c>
      <c r="J8" s="1041">
        <f>I8/$I$12</f>
        <v>3.0601741371921037E-2</v>
      </c>
    </row>
    <row r="9" spans="2:10">
      <c r="B9" s="1037" t="s">
        <v>1858</v>
      </c>
      <c r="D9" s="1038">
        <f>PPE_and_intangibles!AH54</f>
        <v>-3.9424042735588163</v>
      </c>
      <c r="E9" s="1039"/>
      <c r="F9" s="1039">
        <f>F10</f>
        <v>22.84788517130243</v>
      </c>
      <c r="G9" s="1040"/>
      <c r="I9" s="1040">
        <f>F9*D9</f>
        <v>-90.0756001411238</v>
      </c>
      <c r="J9" s="1041">
        <f>I9/$I$12</f>
        <v>-1.7384596928116166E-2</v>
      </c>
    </row>
    <row r="10" spans="2:10">
      <c r="B10" s="1042"/>
      <c r="C10" s="1033"/>
      <c r="E10" s="1043"/>
      <c r="F10" s="1039">
        <f>SUM(I6:I8)/SUM(D6:D8)</f>
        <v>22.84788517130243</v>
      </c>
      <c r="G10" s="1044"/>
      <c r="H10" s="1033"/>
      <c r="I10" s="1044"/>
      <c r="J10" s="1045"/>
    </row>
    <row r="11" spans="2:10">
      <c r="B11" s="1046"/>
      <c r="D11" s="1040"/>
      <c r="E11" s="1043"/>
      <c r="F11" s="1043"/>
      <c r="G11" s="1040"/>
      <c r="I11" s="1040"/>
      <c r="J11" s="1045"/>
    </row>
    <row r="12" spans="2:10">
      <c r="B12" s="1028" t="s">
        <v>1695</v>
      </c>
      <c r="E12" s="1033"/>
      <c r="F12" s="1033"/>
      <c r="G12" s="1044"/>
      <c r="I12" s="1044">
        <f>SUM(I6:I9)</f>
        <v>5181.3453319383116</v>
      </c>
      <c r="J12" s="1045"/>
    </row>
    <row r="13" spans="2:10">
      <c r="B13" s="1047" t="s">
        <v>1696</v>
      </c>
      <c r="G13" s="1040"/>
      <c r="I13" s="1040">
        <f>MODEL!AE56</f>
        <v>0</v>
      </c>
      <c r="J13" s="1045"/>
    </row>
    <row r="14" spans="2:10">
      <c r="B14" s="1047" t="s">
        <v>1908</v>
      </c>
      <c r="G14" s="1040"/>
      <c r="I14" s="1040">
        <f>-(MODEL!AE156+MODEL!AE165-MODEL!AE133)</f>
        <v>-0.43480273388340152</v>
      </c>
      <c r="J14" s="1045"/>
    </row>
    <row r="15" spans="2:10">
      <c r="B15" s="1047"/>
      <c r="G15" s="1040"/>
      <c r="I15" s="1040"/>
      <c r="J15" s="1045"/>
    </row>
    <row r="16" spans="2:10">
      <c r="B16" s="1028" t="s">
        <v>1697</v>
      </c>
      <c r="E16" s="1033"/>
      <c r="F16" s="1033"/>
      <c r="G16" s="1044"/>
      <c r="I16" s="1044">
        <f>I12-I13+I14</f>
        <v>5180.9105292044278</v>
      </c>
      <c r="J16" s="1045"/>
    </row>
    <row r="17" spans="2:13">
      <c r="B17" s="1048" t="s">
        <v>1909</v>
      </c>
      <c r="G17" s="1040"/>
      <c r="I17" s="1049">
        <f>MODEL!AE218</f>
        <v>145.32260799999997</v>
      </c>
      <c r="J17" s="1045"/>
    </row>
    <row r="18" spans="2:13">
      <c r="B18" s="1037"/>
      <c r="G18" s="1050"/>
      <c r="I18" s="1050"/>
      <c r="J18" s="1045"/>
    </row>
    <row r="19" spans="2:13">
      <c r="B19" s="1051" t="s">
        <v>1698</v>
      </c>
      <c r="C19" s="1052"/>
      <c r="D19" s="1052"/>
      <c r="E19" s="1052"/>
      <c r="F19" s="1052"/>
      <c r="G19" s="1053"/>
      <c r="I19" s="1053">
        <f>I16/I17</f>
        <v>35.651097929679523</v>
      </c>
      <c r="J19" s="1045"/>
      <c r="L19" s="1054"/>
    </row>
    <row r="20" spans="2:13">
      <c r="B20" s="1055"/>
      <c r="F20" s="1056"/>
      <c r="G20" s="1057"/>
      <c r="I20" s="1058"/>
      <c r="J20" s="1045"/>
      <c r="L20" s="1059"/>
    </row>
    <row r="21" spans="2:13">
      <c r="B21" s="1060" t="s">
        <v>1469</v>
      </c>
      <c r="C21" s="1061"/>
      <c r="D21" s="1061"/>
      <c r="E21" s="1061"/>
      <c r="F21" s="1061"/>
      <c r="G21" s="1061"/>
      <c r="H21" s="1061"/>
      <c r="I21" s="1061"/>
      <c r="J21" s="1062"/>
    </row>
    <row r="22" spans="2:13">
      <c r="B22" s="1063"/>
      <c r="C22" s="1058"/>
      <c r="D22" s="1058"/>
      <c r="E22" s="1058"/>
      <c r="F22" s="1058"/>
      <c r="G22" s="1058"/>
      <c r="H22" s="1058"/>
      <c r="I22" s="1058"/>
      <c r="J22" s="1045"/>
    </row>
    <row r="23" spans="2:13">
      <c r="B23" s="1037"/>
      <c r="C23" s="1064" t="s">
        <v>1699</v>
      </c>
      <c r="D23" s="1064" t="s">
        <v>1700</v>
      </c>
      <c r="E23" s="1064" t="s">
        <v>492</v>
      </c>
      <c r="F23" s="1064" t="s">
        <v>1701</v>
      </c>
      <c r="G23" s="1064" t="s">
        <v>1702</v>
      </c>
      <c r="H23" s="1064" t="s">
        <v>478</v>
      </c>
      <c r="I23" s="1053"/>
      <c r="J23" s="1045"/>
    </row>
    <row r="24" spans="2:13">
      <c r="B24" s="1065" t="s">
        <v>1703</v>
      </c>
      <c r="C24" s="1066">
        <f>DCF!D19</f>
        <v>3.5000000000000003E-2</v>
      </c>
      <c r="D24" s="1066">
        <f>DCF!D21</f>
        <v>0.06</v>
      </c>
      <c r="E24" s="1067">
        <f>DCF!D20</f>
        <v>1.2</v>
      </c>
      <c r="F24" s="1066">
        <f>DCF!D22</f>
        <v>0.107</v>
      </c>
      <c r="G24" s="1066">
        <f>DCF!D23*(1+MODEL!V77)</f>
        <v>5.0804087660853967E-2</v>
      </c>
      <c r="H24" s="1066">
        <f>DCF!D12</f>
        <v>9.3833333333333338E-2</v>
      </c>
      <c r="I24" s="1068">
        <f>DCF!D48</f>
        <v>35.807392516547019</v>
      </c>
      <c r="J24" s="1045"/>
      <c r="L24" s="1054"/>
      <c r="M24" s="1069"/>
    </row>
    <row r="25" spans="2:13">
      <c r="B25" s="1037"/>
      <c r="I25" s="1053"/>
      <c r="J25" s="1045"/>
    </row>
    <row r="26" spans="2:13">
      <c r="B26" s="1060" t="s">
        <v>1704</v>
      </c>
      <c r="C26" s="1061"/>
      <c r="D26" s="1061"/>
      <c r="E26" s="1061"/>
      <c r="F26" s="1061"/>
      <c r="G26" s="1061"/>
      <c r="H26" s="1061"/>
      <c r="I26" s="1061"/>
      <c r="J26" s="1062"/>
    </row>
    <row r="27" spans="2:13" ht="38.25">
      <c r="B27" s="1037"/>
      <c r="D27" s="1064" t="s">
        <v>1705</v>
      </c>
      <c r="E27" s="1070" t="s">
        <v>1869</v>
      </c>
      <c r="F27" s="1070" t="s">
        <v>1706</v>
      </c>
      <c r="G27" s="1070" t="s">
        <v>1707</v>
      </c>
      <c r="H27" s="1070" t="s">
        <v>1708</v>
      </c>
      <c r="I27" s="1053"/>
      <c r="J27" s="1045"/>
    </row>
    <row r="28" spans="2:13">
      <c r="B28" s="1065" t="s">
        <v>1703</v>
      </c>
      <c r="D28" s="1040">
        <v>2</v>
      </c>
      <c r="E28" s="1071">
        <v>30</v>
      </c>
      <c r="F28" s="1040">
        <f>E28*B31+I8</f>
        <v>6961.8294244408835</v>
      </c>
      <c r="G28" s="1050">
        <f>(F28-I13+I14)/I17</f>
        <v>47.903039434215223</v>
      </c>
      <c r="H28" s="1066">
        <v>0.15</v>
      </c>
      <c r="I28" s="1053">
        <f>G28</f>
        <v>47.903039434215223</v>
      </c>
      <c r="J28" s="1045"/>
      <c r="L28" s="1054"/>
    </row>
    <row r="29" spans="2:13">
      <c r="B29" s="1037"/>
      <c r="I29" s="1053"/>
      <c r="J29" s="1045"/>
    </row>
    <row r="30" spans="2:13" ht="13.5" thickBot="1">
      <c r="B30" s="1072" t="s">
        <v>1709</v>
      </c>
      <c r="C30" s="1073"/>
      <c r="D30" s="1074"/>
      <c r="E30" s="1074"/>
      <c r="F30" s="1074"/>
      <c r="G30" s="1074"/>
      <c r="H30" s="1074"/>
      <c r="I30" s="1075">
        <f>ROUND(0.85*(AVERAGE(I19,I24))+I28*H28,1)</f>
        <v>37.6</v>
      </c>
      <c r="J30" s="1076"/>
      <c r="K30" s="1077"/>
      <c r="L30" s="1054"/>
    </row>
    <row r="31" spans="2:13">
      <c r="B31" s="1044">
        <f>SUM(D6:D7,D9)</f>
        <v>226.77570782114324</v>
      </c>
      <c r="F31" s="1024" t="s">
        <v>1780</v>
      </c>
      <c r="I31" s="1078">
        <v>34.01</v>
      </c>
      <c r="K31" s="1077"/>
      <c r="L31" s="1069"/>
    </row>
    <row r="32" spans="2:13">
      <c r="F32" s="1024" t="s">
        <v>1781</v>
      </c>
      <c r="I32" s="1079">
        <f>I30/I31-1</f>
        <v>0.10555718906204059</v>
      </c>
      <c r="L32" s="1059"/>
    </row>
    <row r="33" spans="2:10">
      <c r="F33" s="1024" t="s">
        <v>1710</v>
      </c>
      <c r="I33" s="1079">
        <f>MODEL!AE72/Valuation!I31/100</f>
        <v>1.0879153190238166E-2</v>
      </c>
    </row>
    <row r="34" spans="2:10">
      <c r="B34" s="1080"/>
      <c r="C34" s="1080"/>
      <c r="D34" s="1080"/>
      <c r="E34" s="1080"/>
      <c r="F34" s="1080" t="s">
        <v>1782</v>
      </c>
      <c r="G34" s="1080"/>
      <c r="H34" s="1080"/>
      <c r="I34" s="1081">
        <f>I32+I33</f>
        <v>0.11643634225227875</v>
      </c>
      <c r="J34" s="1080"/>
    </row>
    <row r="36" spans="2:10">
      <c r="F36" s="1024" t="s">
        <v>1906</v>
      </c>
      <c r="I36" s="1082">
        <f>MODEL!AH66</f>
        <v>110.42288313813151</v>
      </c>
    </row>
    <row r="37" spans="2:10">
      <c r="F37" s="1024" t="s">
        <v>1802</v>
      </c>
      <c r="I37" s="1082">
        <f>TP/I36*100</f>
        <v>34.050913118221118</v>
      </c>
    </row>
    <row r="38" spans="2:10">
      <c r="F38" s="1024" t="s">
        <v>1804</v>
      </c>
      <c r="I38" s="1082" t="s">
        <v>1027</v>
      </c>
    </row>
    <row r="40" spans="2:10">
      <c r="I40" s="1127"/>
    </row>
    <row r="44" spans="2:10">
      <c r="G44" s="1059"/>
    </row>
    <row r="45" spans="2:10">
      <c r="I45" s="1078"/>
    </row>
  </sheetData>
  <printOptions horizontalCentered="1" verticalCentered="1"/>
  <pageMargins left="0.7" right="0.7" top="0.75" bottom="0.75" header="0.3" footer="0.3"/>
  <pageSetup paperSize="9" scale="34" orientation="portrait" horizontalDpi="300" verticalDpi="300" r:id="rId1"/>
  <customProperties>
    <customPr name="Qube.Worksheet.ID" r:id="rId2"/>
    <customPr name="Qube.Worksheet.Visibility" r:id="rId3"/>
  </customProperties>
  <ignoredErrors>
    <ignoredError sqref="I8"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13B6D-D3E9-45E7-907D-5788DFEBE247}">
  <sheetPr>
    <tabColor theme="5"/>
    <pageSetUpPr fitToPage="1"/>
  </sheetPr>
  <dimension ref="A2:D24"/>
  <sheetViews>
    <sheetView workbookViewId="0">
      <selection activeCell="A57" sqref="A57"/>
    </sheetView>
  </sheetViews>
  <sheetFormatPr defaultRowHeight="12.75"/>
  <cols>
    <col min="1" max="1" width="32.28515625" customWidth="1"/>
    <col min="2" max="4" width="10.5703125" customWidth="1"/>
  </cols>
  <sheetData>
    <row r="2" spans="1:4">
      <c r="A2" s="1128" t="s">
        <v>1995</v>
      </c>
      <c r="B2" s="1128"/>
      <c r="C2" s="1128"/>
      <c r="D2" s="1128"/>
    </row>
    <row r="3" spans="1:4" ht="6" customHeight="1">
      <c r="A3" s="1129"/>
      <c r="B3" s="1129"/>
      <c r="C3" s="1129"/>
      <c r="D3" s="1129"/>
    </row>
    <row r="4" spans="1:4">
      <c r="A4" s="1247" t="s">
        <v>2002</v>
      </c>
      <c r="B4" s="1130" t="s">
        <v>1894</v>
      </c>
      <c r="C4" s="1130" t="s">
        <v>1996</v>
      </c>
      <c r="D4" s="1130" t="s">
        <v>1997</v>
      </c>
    </row>
    <row r="5" spans="1:4">
      <c r="A5" s="1247"/>
      <c r="B5" s="1130" t="s">
        <v>1694</v>
      </c>
      <c r="C5" s="1130" t="s">
        <v>1998</v>
      </c>
      <c r="D5" s="1130" t="s">
        <v>1694</v>
      </c>
    </row>
    <row r="6" spans="1:4">
      <c r="A6" s="1024" t="s">
        <v>1711</v>
      </c>
      <c r="B6" s="1135">
        <f>Valuation!D6</f>
        <v>200.40583009470205</v>
      </c>
      <c r="C6" s="1136">
        <f>Valuation!F6</f>
        <v>24</v>
      </c>
      <c r="D6" s="1166">
        <f>Valuation!I6</f>
        <v>4809.7399222728491</v>
      </c>
    </row>
    <row r="7" spans="1:4">
      <c r="A7" s="1024" t="s">
        <v>1712</v>
      </c>
      <c r="B7" s="1135">
        <f>Valuation!D7</f>
        <v>30.312282</v>
      </c>
      <c r="C7" s="1136">
        <f>Valuation!F7</f>
        <v>10</v>
      </c>
      <c r="D7" s="1135">
        <f>Valuation!I7</f>
        <v>303.12281999999999</v>
      </c>
    </row>
    <row r="8" spans="1:4">
      <c r="A8" s="1024" t="s">
        <v>1791</v>
      </c>
      <c r="B8" s="1135"/>
      <c r="C8" s="1136"/>
      <c r="D8" s="1135">
        <f>Valuation!I8</f>
        <v>158.55818980658657</v>
      </c>
    </row>
    <row r="9" spans="1:4">
      <c r="A9" s="1024" t="s">
        <v>1858</v>
      </c>
      <c r="B9" s="1135">
        <f>Valuation!D9</f>
        <v>-3.9424042735588163</v>
      </c>
      <c r="C9" s="1136">
        <f>Valuation!F9</f>
        <v>22.84788517130243</v>
      </c>
      <c r="D9" s="1135">
        <f>Valuation!I9</f>
        <v>-90.0756001411238</v>
      </c>
    </row>
    <row r="10" spans="1:4">
      <c r="A10" s="1034" t="s">
        <v>1999</v>
      </c>
      <c r="B10" s="1024"/>
      <c r="C10" s="1024"/>
      <c r="D10" s="1137">
        <f>Valuation!I12</f>
        <v>5181.3453319383116</v>
      </c>
    </row>
    <row r="11" spans="1:4">
      <c r="A11" s="1138" t="s">
        <v>1696</v>
      </c>
      <c r="B11" s="1024"/>
      <c r="C11" s="1024"/>
      <c r="D11" s="1137">
        <f>Valuation!I13</f>
        <v>0</v>
      </c>
    </row>
    <row r="12" spans="1:4">
      <c r="A12" s="1138" t="s">
        <v>2000</v>
      </c>
      <c r="B12" s="1024"/>
      <c r="C12" s="1024"/>
      <c r="D12" s="1137">
        <f>Valuation!I14</f>
        <v>-0.43480273388340152</v>
      </c>
    </row>
    <row r="13" spans="1:4">
      <c r="A13" s="1034" t="s">
        <v>496</v>
      </c>
      <c r="B13" s="1024"/>
      <c r="C13" s="1024"/>
      <c r="D13" s="1137">
        <f>D10-D12</f>
        <v>5181.7801346721953</v>
      </c>
    </row>
    <row r="14" spans="1:4">
      <c r="A14" s="1138" t="s">
        <v>2001</v>
      </c>
      <c r="B14" s="1024"/>
      <c r="C14" s="1024"/>
      <c r="D14" s="1137">
        <f>Valuation!I17</f>
        <v>145.32260799999997</v>
      </c>
    </row>
    <row r="15" spans="1:4">
      <c r="A15" s="1131" t="s">
        <v>1698</v>
      </c>
      <c r="B15" s="1033"/>
      <c r="C15" s="1033"/>
      <c r="D15" s="1139">
        <f>SOTP__VAL</f>
        <v>35.651097929679523</v>
      </c>
    </row>
    <row r="16" spans="1:4">
      <c r="A16" s="1247" t="s">
        <v>2003</v>
      </c>
      <c r="B16" s="1130"/>
      <c r="C16" s="1130"/>
      <c r="D16" s="1130"/>
    </row>
    <row r="17" spans="1:4">
      <c r="A17" s="1247"/>
      <c r="B17" s="1130"/>
      <c r="C17" s="1130"/>
      <c r="D17" s="1130"/>
    </row>
    <row r="18" spans="1:4">
      <c r="A18" s="1024" t="s">
        <v>2008</v>
      </c>
      <c r="B18" s="1024"/>
      <c r="C18" s="1024"/>
      <c r="D18" s="1132"/>
    </row>
    <row r="19" spans="1:4">
      <c r="A19" s="1131" t="s">
        <v>1698</v>
      </c>
      <c r="B19" s="1024"/>
      <c r="C19" s="1024"/>
      <c r="D19" s="1132">
        <f>DCF_VAL</f>
        <v>35.807392516547019</v>
      </c>
    </row>
    <row r="20" spans="1:4">
      <c r="A20" s="1247" t="s">
        <v>2004</v>
      </c>
      <c r="B20" s="1130"/>
      <c r="C20" s="1130"/>
      <c r="D20" s="1130"/>
    </row>
    <row r="21" spans="1:4">
      <c r="A21" s="1247"/>
      <c r="B21" s="1130"/>
      <c r="C21" s="1130"/>
      <c r="D21" s="1130"/>
    </row>
    <row r="22" spans="1:4">
      <c r="A22" s="1024" t="s">
        <v>2006</v>
      </c>
      <c r="B22" s="1024"/>
      <c r="C22" s="1024"/>
      <c r="D22" s="1132"/>
    </row>
    <row r="23" spans="1:4">
      <c r="A23" s="1131" t="s">
        <v>1698</v>
      </c>
      <c r="B23" s="1024"/>
      <c r="C23" s="1024"/>
      <c r="D23" s="1132">
        <f>Valuation!I28</f>
        <v>47.903039434215223</v>
      </c>
    </row>
    <row r="24" spans="1:4">
      <c r="A24" s="1133" t="s">
        <v>2005</v>
      </c>
      <c r="B24" s="1133"/>
      <c r="C24" s="1133"/>
      <c r="D24" s="1134">
        <f>TP</f>
        <v>37.6</v>
      </c>
    </row>
  </sheetData>
  <mergeCells count="3">
    <mergeCell ref="A4:A5"/>
    <mergeCell ref="A16:A17"/>
    <mergeCell ref="A20:A21"/>
  </mergeCells>
  <printOptions horizontalCentered="1" verticalCentered="1"/>
  <pageMargins left="0.7" right="0.7" top="0.75" bottom="0.75" header="0.3" footer="0.3"/>
  <pageSetup paperSize="0" scale="43" orientation="portrait" r:id="rId1"/>
  <customProperties>
    <customPr name="Qube.Worksheet.Visibility" r:id="rId2"/>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5"/>
  </sheetPr>
  <dimension ref="A2:AX113"/>
  <sheetViews>
    <sheetView workbookViewId="0">
      <selection activeCell="D13" sqref="D13"/>
    </sheetView>
  </sheetViews>
  <sheetFormatPr defaultColWidth="9.140625" defaultRowHeight="20.100000000000001" customHeight="1"/>
  <cols>
    <col min="1" max="1" width="7" style="545" customWidth="1"/>
    <col min="2" max="2" width="3.42578125" style="545" customWidth="1"/>
    <col min="3" max="3" width="52.28515625" style="545" customWidth="1"/>
    <col min="4" max="4" width="16.28515625" style="545" bestFit="1" customWidth="1"/>
    <col min="5" max="5" width="11.28515625" style="545" customWidth="1"/>
    <col min="6" max="6" width="13.140625" style="545" customWidth="1"/>
    <col min="7" max="8" width="12" style="545" hidden="1" customWidth="1"/>
    <col min="9" max="21" width="10.85546875" style="545" hidden="1" customWidth="1"/>
    <col min="22" max="22" width="16.140625" style="545" hidden="1" customWidth="1"/>
    <col min="23" max="24" width="10.85546875" style="545" hidden="1" customWidth="1"/>
    <col min="25" max="36" width="10.85546875" style="545" customWidth="1"/>
    <col min="37" max="42" width="12.5703125" style="545" customWidth="1"/>
    <col min="43" max="43" width="10.28515625" style="545" customWidth="1"/>
    <col min="44" max="48" width="11.85546875" style="545" customWidth="1"/>
    <col min="49" max="49" width="12.140625" style="545" bestFit="1" customWidth="1"/>
    <col min="50" max="16384" width="9.140625" style="545"/>
  </cols>
  <sheetData>
    <row r="2" spans="1:48" s="544" customFormat="1" ht="20.100000000000001" customHeight="1">
      <c r="A2" s="544" t="s">
        <v>1778</v>
      </c>
    </row>
    <row r="3" spans="1:48" ht="20.100000000000001" customHeight="1">
      <c r="C3" s="546"/>
      <c r="D3" s="546"/>
      <c r="E3" s="547"/>
      <c r="F3" s="548"/>
      <c r="G3" s="548"/>
      <c r="H3" s="548"/>
      <c r="I3" s="548"/>
      <c r="AK3" s="549" t="s">
        <v>1725</v>
      </c>
      <c r="AL3" s="549"/>
      <c r="AM3" s="549"/>
      <c r="AN3" s="549"/>
      <c r="AO3" s="549"/>
      <c r="AP3" s="549"/>
      <c r="AQ3" s="549"/>
    </row>
    <row r="5" spans="1:48" ht="20.100000000000001" customHeight="1">
      <c r="C5" s="550" t="s">
        <v>1779</v>
      </c>
      <c r="D5" s="550" t="s">
        <v>487</v>
      </c>
      <c r="E5" s="547"/>
      <c r="F5" s="548"/>
    </row>
    <row r="6" spans="1:48" ht="20.100000000000001" customHeight="1">
      <c r="C6" s="547"/>
      <c r="D6" s="547"/>
      <c r="E6" s="547"/>
      <c r="F6" s="548"/>
    </row>
    <row r="7" spans="1:48" ht="20.100000000000001" customHeight="1">
      <c r="C7" s="547" t="s">
        <v>1726</v>
      </c>
      <c r="D7" s="551">
        <v>45838</v>
      </c>
      <c r="E7" s="547"/>
      <c r="F7" s="548"/>
    </row>
    <row r="8" spans="1:48" ht="20.100000000000001" customHeight="1">
      <c r="C8" s="547"/>
      <c r="D8" s="547"/>
      <c r="E8" s="547"/>
      <c r="F8" s="548"/>
    </row>
    <row r="9" spans="1:48" ht="20.100000000000001" customHeight="1">
      <c r="C9" s="547" t="s">
        <v>1727</v>
      </c>
      <c r="D9" s="552">
        <f>Valuation!I31</f>
        <v>34.01</v>
      </c>
      <c r="E9" s="547"/>
      <c r="F9" s="548"/>
    </row>
    <row r="10" spans="1:48" ht="20.100000000000001" customHeight="1">
      <c r="C10" s="547" t="s">
        <v>1728</v>
      </c>
      <c r="D10" s="553">
        <f>Valuation!I17</f>
        <v>145.32260799999997</v>
      </c>
      <c r="E10" s="547"/>
    </row>
    <row r="11" spans="1:48" ht="20.100000000000001" customHeight="1">
      <c r="C11" s="547"/>
      <c r="D11" s="547"/>
      <c r="E11" s="547"/>
    </row>
    <row r="12" spans="1:48" ht="20.100000000000001" customHeight="1">
      <c r="C12" s="545" t="s">
        <v>478</v>
      </c>
      <c r="D12" s="554">
        <f>((D18/(1+D18))*D23*(0.7))+(1/(1+D18))*D22</f>
        <v>9.3833333333333338E-2</v>
      </c>
      <c r="E12" s="547"/>
    </row>
    <row r="13" spans="1:48" ht="20.100000000000001" customHeight="1">
      <c r="C13" s="545" t="s">
        <v>1729</v>
      </c>
      <c r="D13" s="555">
        <v>4.4999999999999998E-2</v>
      </c>
      <c r="E13" s="547"/>
      <c r="F13" s="556"/>
    </row>
    <row r="14" spans="1:48" s="557" customFormat="1" ht="20.100000000000001" customHeight="1">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c r="AM14" s="548"/>
      <c r="AN14" s="548"/>
      <c r="AO14" s="548"/>
      <c r="AP14" s="548"/>
      <c r="AQ14" s="548"/>
      <c r="AR14" s="548"/>
      <c r="AS14" s="548"/>
      <c r="AT14" s="548"/>
      <c r="AU14" s="548"/>
      <c r="AV14" s="548"/>
    </row>
    <row r="15" spans="1:48" s="557" customFormat="1" ht="20.100000000000001" customHeight="1">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c r="AM15" s="548"/>
      <c r="AN15" s="548"/>
      <c r="AO15" s="548"/>
      <c r="AP15" s="548"/>
      <c r="AQ15" s="548"/>
      <c r="AR15" s="548"/>
      <c r="AS15" s="548"/>
      <c r="AT15" s="548"/>
      <c r="AU15" s="548"/>
      <c r="AV15" s="548"/>
    </row>
    <row r="16" spans="1:48" s="557" customFormat="1" ht="20.100000000000001" customHeight="1">
      <c r="B16" s="548"/>
      <c r="C16" s="548"/>
      <c r="D16" s="548"/>
      <c r="E16" s="545"/>
      <c r="F16" s="545"/>
      <c r="G16" s="545"/>
      <c r="H16" s="545"/>
      <c r="I16" s="548"/>
      <c r="J16" s="548"/>
      <c r="K16" s="548"/>
      <c r="L16" s="548"/>
      <c r="M16" s="548"/>
      <c r="N16" s="548"/>
      <c r="O16" s="548"/>
      <c r="P16" s="548"/>
      <c r="Q16" s="548"/>
      <c r="R16" s="548"/>
      <c r="S16" s="548"/>
      <c r="T16" s="548"/>
      <c r="U16" s="548"/>
      <c r="V16" s="548"/>
      <c r="W16" s="548"/>
      <c r="X16" s="548"/>
      <c r="Y16" s="548"/>
      <c r="Z16" s="548"/>
      <c r="AA16" s="548"/>
      <c r="AB16" s="548"/>
      <c r="AC16" s="548"/>
      <c r="AD16" s="548"/>
      <c r="AE16" s="548"/>
      <c r="AF16" s="548"/>
      <c r="AG16" s="548"/>
      <c r="AH16" s="548"/>
      <c r="AI16" s="548"/>
      <c r="AJ16" s="548"/>
      <c r="AK16" s="548"/>
      <c r="AL16" s="548"/>
      <c r="AM16" s="548"/>
      <c r="AN16" s="548"/>
      <c r="AO16" s="548"/>
      <c r="AP16" s="548"/>
      <c r="AQ16" s="548"/>
      <c r="AR16" s="548"/>
      <c r="AS16" s="548"/>
      <c r="AT16" s="548"/>
      <c r="AU16" s="548"/>
      <c r="AV16" s="548"/>
    </row>
    <row r="17" spans="2:49" s="557" customFormat="1" ht="20.100000000000001" customHeight="1">
      <c r="B17" s="548"/>
      <c r="C17" s="558" t="s">
        <v>1730</v>
      </c>
      <c r="D17" s="545"/>
      <c r="E17" s="545"/>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c r="AM17" s="548"/>
      <c r="AN17" s="548"/>
      <c r="AO17" s="548"/>
      <c r="AP17" s="548"/>
      <c r="AQ17" s="548"/>
      <c r="AR17" s="548"/>
      <c r="AS17" s="548"/>
    </row>
    <row r="18" spans="2:49" s="557" customFormat="1" ht="20.100000000000001" customHeight="1">
      <c r="B18" s="548"/>
      <c r="C18" s="548" t="s">
        <v>1731</v>
      </c>
      <c r="D18" s="559">
        <v>0.2</v>
      </c>
      <c r="E18" s="545"/>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c r="AM18" s="548"/>
      <c r="AN18" s="548"/>
      <c r="AO18" s="548"/>
      <c r="AP18" s="548"/>
      <c r="AQ18" s="548"/>
      <c r="AR18" s="548"/>
      <c r="AS18" s="548"/>
    </row>
    <row r="19" spans="2:49" s="557" customFormat="1" ht="20.100000000000001" customHeight="1">
      <c r="B19" s="548"/>
      <c r="C19" s="548" t="s">
        <v>1732</v>
      </c>
      <c r="D19" s="560">
        <v>3.5000000000000003E-2</v>
      </c>
      <c r="E19" s="545"/>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c r="AM19" s="548"/>
      <c r="AN19" s="548"/>
      <c r="AO19" s="548"/>
      <c r="AP19" s="548"/>
      <c r="AQ19" s="548"/>
      <c r="AR19" s="548"/>
      <c r="AS19" s="548"/>
    </row>
    <row r="20" spans="2:49" s="557" customFormat="1" ht="20.100000000000001" customHeight="1">
      <c r="B20" s="548"/>
      <c r="C20" s="548" t="s">
        <v>492</v>
      </c>
      <c r="D20" s="561">
        <v>1.2</v>
      </c>
      <c r="E20" s="545"/>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c r="AM20" s="548"/>
      <c r="AN20" s="548"/>
      <c r="AO20" s="548"/>
      <c r="AP20" s="548"/>
      <c r="AQ20" s="548"/>
      <c r="AR20" s="548"/>
      <c r="AS20" s="548"/>
    </row>
    <row r="21" spans="2:49" s="557" customFormat="1" ht="20.100000000000001" customHeight="1">
      <c r="B21" s="548"/>
      <c r="C21" s="545" t="s">
        <v>1733</v>
      </c>
      <c r="D21" s="560">
        <v>0.06</v>
      </c>
      <c r="E21" s="545"/>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c r="AM21" s="548"/>
      <c r="AN21" s="548"/>
      <c r="AO21" s="548"/>
      <c r="AP21" s="548"/>
      <c r="AQ21" s="548"/>
      <c r="AR21" s="548"/>
      <c r="AS21" s="548"/>
    </row>
    <row r="22" spans="2:49" s="557" customFormat="1" ht="20.100000000000001" customHeight="1">
      <c r="B22" s="548"/>
      <c r="C22" s="545" t="s">
        <v>146</v>
      </c>
      <c r="D22" s="562">
        <f>D19+(D20*D21)</f>
        <v>0.107</v>
      </c>
      <c r="E22" s="545"/>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c r="AM22" s="548"/>
      <c r="AN22" s="548"/>
      <c r="AO22" s="548"/>
      <c r="AP22" s="548"/>
      <c r="AQ22" s="548"/>
      <c r="AR22" s="548"/>
      <c r="AS22" s="548"/>
    </row>
    <row r="23" spans="2:49" s="557" customFormat="1" ht="20.100000000000001" customHeight="1">
      <c r="B23" s="552"/>
      <c r="C23" s="545" t="s">
        <v>1734</v>
      </c>
      <c r="D23" s="563">
        <f>D19+0.5%</f>
        <v>0.04</v>
      </c>
      <c r="E23" s="545"/>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c r="AM23" s="548"/>
      <c r="AN23" s="548"/>
      <c r="AO23" s="548"/>
      <c r="AP23" s="548"/>
      <c r="AQ23" s="548"/>
      <c r="AR23" s="548"/>
      <c r="AS23" s="548"/>
    </row>
    <row r="24" spans="2:49" s="557" customFormat="1" ht="20.100000000000001" customHeight="1">
      <c r="B24" s="552"/>
      <c r="C24" s="545"/>
      <c r="D24" s="545"/>
      <c r="E24" s="545"/>
      <c r="F24" s="545"/>
      <c r="G24" s="545"/>
      <c r="H24" s="545"/>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c r="AM24" s="548"/>
      <c r="AN24" s="548"/>
      <c r="AO24" s="548"/>
      <c r="AP24" s="548"/>
      <c r="AQ24" s="548"/>
      <c r="AR24" s="548"/>
      <c r="AS24" s="548"/>
      <c r="AT24" s="548"/>
      <c r="AU24" s="548"/>
      <c r="AV24" s="548"/>
    </row>
    <row r="25" spans="2:49" s="557" customFormat="1" ht="20.100000000000001" customHeight="1">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c r="AM25" s="548"/>
      <c r="AN25" s="548"/>
      <c r="AO25" s="548"/>
      <c r="AP25" s="548"/>
      <c r="AQ25" s="548"/>
      <c r="AR25" s="548"/>
      <c r="AS25" s="548"/>
      <c r="AT25" s="548"/>
      <c r="AU25" s="548"/>
      <c r="AV25" s="548"/>
    </row>
    <row r="26" spans="2:49" s="557" customFormat="1" ht="20.100000000000001" customHeight="1">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c r="AM26" s="548"/>
      <c r="AN26" s="548"/>
      <c r="AO26" s="548"/>
      <c r="AP26" s="548"/>
      <c r="AQ26" s="548"/>
      <c r="AR26" s="548"/>
      <c r="AS26" s="548"/>
      <c r="AT26" s="548"/>
      <c r="AU26" s="548"/>
      <c r="AV26" s="548"/>
    </row>
    <row r="27" spans="2:49" s="564" customFormat="1" ht="20.100000000000001" customHeight="1">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c r="AM27" s="548"/>
      <c r="AN27" s="548"/>
      <c r="AO27" s="548"/>
      <c r="AP27" s="548"/>
      <c r="AQ27" s="548"/>
      <c r="AR27" s="548"/>
      <c r="AS27" s="548"/>
      <c r="AT27" s="548"/>
      <c r="AU27" s="548"/>
      <c r="AV27" s="548"/>
    </row>
    <row r="28" spans="2:49" s="564" customFormat="1" ht="20.100000000000001" customHeight="1">
      <c r="C28" s="565" t="s">
        <v>1735</v>
      </c>
      <c r="D28" s="566"/>
      <c r="E28" s="566"/>
      <c r="F28" s="566"/>
      <c r="G28" s="566"/>
      <c r="H28" s="566"/>
      <c r="I28" s="566"/>
      <c r="J28" s="566"/>
      <c r="K28" s="566"/>
      <c r="L28" s="566"/>
      <c r="M28" s="566"/>
      <c r="N28" s="566"/>
      <c r="O28" s="566"/>
      <c r="P28" s="566"/>
      <c r="Q28" s="566"/>
      <c r="R28" s="566"/>
      <c r="S28" s="566"/>
      <c r="T28" s="566"/>
      <c r="U28" s="566"/>
      <c r="V28" s="566"/>
      <c r="W28" s="566"/>
      <c r="X28" s="566"/>
      <c r="Y28" s="566"/>
      <c r="Z28" s="566"/>
      <c r="AA28" s="566"/>
      <c r="AB28" s="566"/>
      <c r="AC28" s="566"/>
      <c r="AD28" s="566"/>
      <c r="AE28" s="566"/>
      <c r="AF28" s="566"/>
      <c r="AG28" s="566"/>
      <c r="AH28" s="566"/>
      <c r="AI28" s="566"/>
      <c r="AJ28" s="566"/>
      <c r="AK28" s="566"/>
      <c r="AL28" s="566"/>
      <c r="AM28" s="566"/>
      <c r="AN28" s="566"/>
      <c r="AO28" s="566"/>
      <c r="AP28" s="566"/>
      <c r="AQ28" s="566"/>
      <c r="AR28" s="548"/>
      <c r="AS28" s="548"/>
      <c r="AT28" s="548"/>
      <c r="AU28" s="548"/>
      <c r="AV28" s="548"/>
    </row>
    <row r="29" spans="2:49" s="564" customFormat="1" ht="20.100000000000001" customHeight="1">
      <c r="C29" s="567"/>
      <c r="D29" s="568"/>
      <c r="E29" s="568"/>
      <c r="F29" s="568"/>
      <c r="G29" s="568"/>
      <c r="H29" s="568"/>
      <c r="I29" s="568"/>
      <c r="J29" s="568"/>
      <c r="K29" s="568"/>
      <c r="L29" s="568"/>
      <c r="M29" s="568"/>
      <c r="N29" s="568"/>
      <c r="O29" s="568"/>
      <c r="P29" s="568"/>
      <c r="Q29" s="568"/>
      <c r="R29" s="568"/>
      <c r="S29" s="568"/>
      <c r="T29" s="568"/>
      <c r="U29" s="568"/>
      <c r="V29" s="568"/>
      <c r="W29" s="568"/>
      <c r="X29" s="568"/>
      <c r="Y29" s="568"/>
      <c r="Z29" s="568"/>
      <c r="AA29" s="568"/>
      <c r="AB29" s="568"/>
      <c r="AC29" s="568"/>
      <c r="AD29" s="568"/>
      <c r="AE29" s="568"/>
      <c r="AF29" s="568"/>
      <c r="AG29" s="568"/>
      <c r="AH29" s="568"/>
      <c r="AI29" s="568"/>
      <c r="AJ29" s="568"/>
      <c r="AK29" s="568"/>
      <c r="AL29" s="568"/>
      <c r="AM29" s="568"/>
      <c r="AN29" s="568"/>
      <c r="AO29" s="568"/>
      <c r="AP29" s="568"/>
      <c r="AQ29" s="568"/>
      <c r="AR29" s="548"/>
      <c r="AS29" s="548"/>
      <c r="AT29" s="548"/>
      <c r="AU29" s="548"/>
      <c r="AV29" s="548"/>
    </row>
    <row r="30" spans="2:49" s="557" customFormat="1" ht="20.100000000000001" customHeight="1">
      <c r="C30" s="569" t="s">
        <v>1736</v>
      </c>
      <c r="D30" s="570"/>
      <c r="E30" s="570"/>
      <c r="F30" s="570"/>
      <c r="G30" s="570"/>
      <c r="H30" s="570"/>
      <c r="I30" s="570"/>
      <c r="J30" s="570"/>
      <c r="K30" s="570"/>
      <c r="L30" s="570"/>
      <c r="M30" s="570"/>
      <c r="N30" s="570"/>
      <c r="O30" s="570"/>
      <c r="P30" s="570"/>
      <c r="Q30" s="570"/>
      <c r="R30" s="570"/>
      <c r="S30" s="570"/>
      <c r="T30" s="570"/>
      <c r="U30" s="570"/>
      <c r="V30" s="570"/>
      <c r="W30" s="570">
        <v>42916</v>
      </c>
      <c r="X30" s="570">
        <v>43281</v>
      </c>
      <c r="Y30" s="570">
        <v>43646</v>
      </c>
      <c r="Z30" s="570">
        <v>44012</v>
      </c>
      <c r="AA30" s="570">
        <v>44377</v>
      </c>
      <c r="AB30" s="570">
        <v>44742</v>
      </c>
      <c r="AC30" s="570">
        <v>45107</v>
      </c>
      <c r="AD30" s="570">
        <v>45473</v>
      </c>
      <c r="AE30" s="570">
        <v>45838</v>
      </c>
      <c r="AF30" s="570">
        <v>46203</v>
      </c>
      <c r="AG30" s="570">
        <v>46568</v>
      </c>
      <c r="AH30" s="570">
        <v>46934</v>
      </c>
      <c r="AI30" s="570">
        <v>47299</v>
      </c>
      <c r="AJ30" s="571">
        <v>47664</v>
      </c>
      <c r="AK30" s="571">
        <v>48029</v>
      </c>
      <c r="AL30" s="571">
        <v>48395</v>
      </c>
      <c r="AM30" s="571">
        <v>48760</v>
      </c>
      <c r="AN30" s="571">
        <v>49125</v>
      </c>
      <c r="AO30" s="571">
        <v>49490</v>
      </c>
      <c r="AP30" s="571">
        <v>49856</v>
      </c>
      <c r="AQ30" s="572" t="s">
        <v>1737</v>
      </c>
      <c r="AR30" s="548"/>
      <c r="AS30" s="548"/>
      <c r="AT30" s="548"/>
      <c r="AU30" s="548"/>
      <c r="AV30" s="548"/>
      <c r="AW30" s="564"/>
    </row>
    <row r="31" spans="2:49" ht="20.100000000000001" customHeight="1">
      <c r="C31" s="573" t="s">
        <v>493</v>
      </c>
      <c r="D31" s="573"/>
      <c r="E31" s="573"/>
      <c r="F31" s="573"/>
      <c r="G31" s="573"/>
      <c r="H31" s="573"/>
      <c r="I31" s="573"/>
      <c r="J31" s="573"/>
      <c r="K31" s="573"/>
      <c r="L31" s="573"/>
      <c r="M31" s="573"/>
      <c r="N31" s="573"/>
      <c r="O31" s="573"/>
      <c r="P31" s="573"/>
      <c r="Q31" s="573"/>
      <c r="R31" s="573"/>
      <c r="S31" s="573"/>
      <c r="T31" s="573"/>
      <c r="U31" s="573"/>
      <c r="V31" s="573"/>
      <c r="W31" s="573"/>
      <c r="X31" s="573"/>
      <c r="Y31" s="573"/>
      <c r="Z31" s="573"/>
      <c r="AA31" s="573"/>
      <c r="AB31" s="573">
        <f t="shared" ref="AB31:AJ31" si="0">AB89</f>
        <v>-93.251300000000015</v>
      </c>
      <c r="AC31" s="573">
        <f t="shared" si="0"/>
        <v>-47.261000000000038</v>
      </c>
      <c r="AD31" s="573">
        <f t="shared" si="0"/>
        <v>224.88220000000001</v>
      </c>
      <c r="AE31" s="573">
        <f t="shared" si="0"/>
        <v>68.370399999999961</v>
      </c>
      <c r="AF31" s="573">
        <f t="shared" si="0"/>
        <v>14.064414709566478</v>
      </c>
      <c r="AG31" s="573">
        <f t="shared" si="0"/>
        <v>221.15448681043532</v>
      </c>
      <c r="AH31" s="573">
        <f t="shared" si="0"/>
        <v>118.42101934050467</v>
      </c>
      <c r="AI31" s="573">
        <f t="shared" si="0"/>
        <v>204.05594158721649</v>
      </c>
      <c r="AJ31" s="574">
        <f t="shared" si="0"/>
        <v>192.45180058359404</v>
      </c>
      <c r="AK31" s="574">
        <f>AK89</f>
        <v>197.67917222933934</v>
      </c>
      <c r="AL31" s="574">
        <f t="shared" ref="AL31:AN31" si="1">AL89</f>
        <v>231.77872873685828</v>
      </c>
      <c r="AM31" s="574">
        <f t="shared" si="1"/>
        <v>265.1684164289174</v>
      </c>
      <c r="AN31" s="574">
        <f t="shared" si="1"/>
        <v>296.16026881274655</v>
      </c>
      <c r="AO31" s="574">
        <f t="shared" ref="AO31:AP31" si="2">AO89</f>
        <v>338.07863377570715</v>
      </c>
      <c r="AP31" s="574">
        <f t="shared" si="2"/>
        <v>384.57077203510187</v>
      </c>
      <c r="AQ31" s="545">
        <f>AP31*(1+D13)</f>
        <v>401.87645677668144</v>
      </c>
      <c r="AR31" s="548"/>
      <c r="AS31" s="548"/>
      <c r="AT31" s="575"/>
      <c r="AU31" s="548"/>
      <c r="AV31" s="548"/>
      <c r="AW31" s="564"/>
    </row>
    <row r="32" spans="2:49" s="576" customFormat="1" ht="20.100000000000001" customHeight="1">
      <c r="C32" s="577" t="s">
        <v>1738</v>
      </c>
      <c r="D32" s="578"/>
      <c r="E32" s="578"/>
      <c r="F32" s="578"/>
      <c r="G32" s="578"/>
      <c r="H32" s="578"/>
      <c r="I32" s="578"/>
      <c r="J32" s="578"/>
      <c r="K32" s="578"/>
      <c r="L32" s="578"/>
      <c r="M32" s="578"/>
      <c r="N32" s="578"/>
      <c r="O32" s="578"/>
      <c r="P32" s="578"/>
      <c r="Q32" s="578"/>
      <c r="R32" s="578"/>
      <c r="S32" s="578"/>
      <c r="T32" s="578"/>
      <c r="U32" s="578"/>
      <c r="V32" s="578"/>
      <c r="W32" s="578"/>
      <c r="X32" s="578"/>
      <c r="Y32" s="578"/>
      <c r="Z32" s="578"/>
      <c r="AA32" s="578"/>
      <c r="AB32" s="578">
        <f t="shared" ref="AB32:AP32" si="3">$D$12</f>
        <v>9.3833333333333338E-2</v>
      </c>
      <c r="AC32" s="578">
        <f t="shared" si="3"/>
        <v>9.3833333333333338E-2</v>
      </c>
      <c r="AD32" s="578">
        <f t="shared" si="3"/>
        <v>9.3833333333333338E-2</v>
      </c>
      <c r="AE32" s="578">
        <f t="shared" si="3"/>
        <v>9.3833333333333338E-2</v>
      </c>
      <c r="AF32" s="578">
        <f t="shared" si="3"/>
        <v>9.3833333333333338E-2</v>
      </c>
      <c r="AG32" s="578">
        <f t="shared" si="3"/>
        <v>9.3833333333333338E-2</v>
      </c>
      <c r="AH32" s="578">
        <f>$D$12</f>
        <v>9.3833333333333338E-2</v>
      </c>
      <c r="AI32" s="578">
        <f t="shared" si="3"/>
        <v>9.3833333333333338E-2</v>
      </c>
      <c r="AJ32" s="579">
        <f t="shared" si="3"/>
        <v>9.3833333333333338E-2</v>
      </c>
      <c r="AK32" s="579">
        <f t="shared" si="3"/>
        <v>9.3833333333333338E-2</v>
      </c>
      <c r="AL32" s="579">
        <f t="shared" si="3"/>
        <v>9.3833333333333338E-2</v>
      </c>
      <c r="AM32" s="579">
        <f t="shared" si="3"/>
        <v>9.3833333333333338E-2</v>
      </c>
      <c r="AN32" s="579">
        <f t="shared" si="3"/>
        <v>9.3833333333333338E-2</v>
      </c>
      <c r="AO32" s="579">
        <f t="shared" si="3"/>
        <v>9.3833333333333338E-2</v>
      </c>
      <c r="AP32" s="579">
        <f t="shared" si="3"/>
        <v>9.3833333333333338E-2</v>
      </c>
      <c r="AQ32" s="577"/>
      <c r="AR32" s="548"/>
      <c r="AS32" s="548"/>
      <c r="AT32" s="548"/>
      <c r="AU32" s="548"/>
      <c r="AV32" s="548"/>
      <c r="AW32" s="564"/>
    </row>
    <row r="33" spans="3:50" s="580" customFormat="1" ht="20.100000000000001" customHeight="1">
      <c r="C33" s="581" t="s">
        <v>1739</v>
      </c>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f t="shared" ref="AG33:AL33" si="4">IF(((1+AG32)^(($D$7-(AF30))/365))&gt;1,1,((1+AG32)^(($D$7-(AF30))/365)))</f>
        <v>0.9142160597287825</v>
      </c>
      <c r="AH33" s="581">
        <f t="shared" si="4"/>
        <v>0.83579100386602079</v>
      </c>
      <c r="AI33" s="581">
        <f t="shared" si="4"/>
        <v>0.76390582716419075</v>
      </c>
      <c r="AJ33" s="581">
        <f t="shared" si="4"/>
        <v>0.69837497531390291</v>
      </c>
      <c r="AK33" s="581">
        <f t="shared" si="4"/>
        <v>0.63846561814466196</v>
      </c>
      <c r="AL33" s="581">
        <f t="shared" si="4"/>
        <v>0.58369552169251426</v>
      </c>
      <c r="AM33" s="581">
        <f t="shared" ref="AM33" si="5">IF(((1+AM32)^(($D$7-(AL30))/365))&gt;1,1,((1+AM32)^(($D$7-(AL30))/365)))</f>
        <v>0.53349271318793823</v>
      </c>
      <c r="AN33" s="581">
        <f t="shared" ref="AN33:AP33" si="6">IF(((1+AN32)^(($D$7-(AM30))/365))&gt;1,1,((1+AN32)^(($D$7-(AM30))/365)))</f>
        <v>0.48772760614469446</v>
      </c>
      <c r="AO33" s="581">
        <f t="shared" si="6"/>
        <v>0.44588841031055404</v>
      </c>
      <c r="AP33" s="581">
        <f t="shared" si="6"/>
        <v>0.40763834555284528</v>
      </c>
      <c r="AQ33" s="581">
        <f>AP33/(D12-$D$13)</f>
        <v>8.347542912344954</v>
      </c>
      <c r="AR33" s="548"/>
      <c r="AS33" s="548"/>
      <c r="AT33" s="548"/>
      <c r="AU33" s="548"/>
      <c r="AV33" s="548"/>
      <c r="AW33" s="564"/>
    </row>
    <row r="34" spans="3:50" ht="20.100000000000001" customHeight="1">
      <c r="C34" s="573" t="s">
        <v>494</v>
      </c>
      <c r="D34" s="573"/>
      <c r="E34" s="573"/>
      <c r="F34" s="573"/>
      <c r="G34" s="573"/>
      <c r="H34" s="573"/>
      <c r="I34" s="573"/>
      <c r="J34" s="573"/>
      <c r="K34" s="573"/>
      <c r="L34" s="573"/>
      <c r="M34" s="573"/>
      <c r="N34" s="573"/>
      <c r="O34" s="573"/>
      <c r="P34" s="573"/>
      <c r="Q34" s="573"/>
      <c r="R34" s="573"/>
      <c r="S34" s="573"/>
      <c r="T34" s="573"/>
      <c r="U34" s="573"/>
      <c r="V34" s="573"/>
      <c r="W34" s="573"/>
      <c r="X34" s="573"/>
      <c r="Y34" s="573"/>
      <c r="Z34" s="573"/>
      <c r="AA34" s="573"/>
      <c r="AB34" s="573"/>
      <c r="AC34" s="573"/>
      <c r="AD34" s="573"/>
      <c r="AE34" s="573"/>
      <c r="AF34" s="573"/>
      <c r="AG34" s="573">
        <f t="shared" ref="AG34:AK34" si="7">AG31*AG33</f>
        <v>202.18298352317717</v>
      </c>
      <c r="AH34" s="573">
        <f t="shared" si="7"/>
        <v>98.975222633437866</v>
      </c>
      <c r="AI34" s="573">
        <f t="shared" si="7"/>
        <v>155.87952284595042</v>
      </c>
      <c r="AJ34" s="574">
        <f t="shared" si="7"/>
        <v>134.40352148168364</v>
      </c>
      <c r="AK34" s="574">
        <f t="shared" si="7"/>
        <v>126.21135489173024</v>
      </c>
      <c r="AL34" s="574">
        <f t="shared" ref="AL34:AN34" si="8">AL31*AL33</f>
        <v>135.28820598728825</v>
      </c>
      <c r="AM34" s="574">
        <f t="shared" si="8"/>
        <v>141.46541793241221</v>
      </c>
      <c r="AN34" s="574">
        <f t="shared" si="8"/>
        <v>144.4455389432101</v>
      </c>
      <c r="AO34" s="574">
        <f t="shared" ref="AO34:AP34" si="9">AO31*AO33</f>
        <v>150.74534457421404</v>
      </c>
      <c r="AP34" s="574">
        <f t="shared" si="9"/>
        <v>156.76579326036935</v>
      </c>
      <c r="AQ34" s="573">
        <f>AQ31*AQ33</f>
        <v>3354.6809684044906</v>
      </c>
      <c r="AR34" s="548"/>
      <c r="AS34" s="548"/>
      <c r="AT34" s="548"/>
      <c r="AU34" s="548"/>
      <c r="AV34" s="548"/>
      <c r="AW34" s="564"/>
    </row>
    <row r="35" spans="3:50" ht="20.100000000000001" customHeight="1">
      <c r="AR35" s="548"/>
      <c r="AS35" s="548"/>
      <c r="AT35" s="548"/>
      <c r="AU35" s="548"/>
      <c r="AV35" s="548"/>
      <c r="AW35" s="564"/>
    </row>
    <row r="37" spans="3:50" ht="20.100000000000001" customHeight="1">
      <c r="C37" s="1248" t="s">
        <v>1740</v>
      </c>
      <c r="D37" s="1248"/>
      <c r="E37" s="547"/>
      <c r="F37" s="547"/>
      <c r="H37" s="1249"/>
      <c r="I37" s="1249"/>
      <c r="J37" s="1249"/>
    </row>
    <row r="38" spans="3:50" ht="20.100000000000001" customHeight="1">
      <c r="C38" s="1250"/>
      <c r="D38" s="1250"/>
      <c r="H38" s="582"/>
      <c r="I38" s="583"/>
      <c r="J38" s="584"/>
    </row>
    <row r="39" spans="3:50" ht="20.100000000000001" customHeight="1">
      <c r="C39" s="585" t="s">
        <v>495</v>
      </c>
      <c r="D39" s="585">
        <f>SUM(AD34:AQ34)</f>
        <v>4801.043874477964</v>
      </c>
      <c r="H39" s="575"/>
      <c r="I39" s="575"/>
      <c r="J39" s="575"/>
      <c r="AR39" s="546"/>
      <c r="AS39" s="546"/>
      <c r="AT39" s="546"/>
      <c r="AU39" s="546"/>
      <c r="AV39" s="546"/>
    </row>
    <row r="40" spans="3:50" ht="20.100000000000001" customHeight="1">
      <c r="C40" s="573" t="s">
        <v>1741</v>
      </c>
      <c r="D40" s="586"/>
      <c r="AR40" s="546"/>
      <c r="AS40" s="546"/>
      <c r="AT40" s="546"/>
      <c r="AU40" s="546"/>
      <c r="AV40" s="546"/>
    </row>
    <row r="41" spans="3:50" ht="20.100000000000001" customHeight="1">
      <c r="C41" s="573" t="s">
        <v>1742</v>
      </c>
      <c r="D41" s="545">
        <f>-MODEL!V114</f>
        <v>-196.33899999999991</v>
      </c>
      <c r="H41" s="587"/>
      <c r="AR41" s="546"/>
      <c r="AS41" s="546"/>
      <c r="AT41" s="546"/>
      <c r="AU41" s="546"/>
      <c r="AV41" s="546"/>
    </row>
    <row r="42" spans="3:50" ht="20.100000000000001" customHeight="1">
      <c r="C42" s="585" t="s">
        <v>496</v>
      </c>
      <c r="D42" s="585">
        <f>D39+D40-D41</f>
        <v>4997.3828744779639</v>
      </c>
      <c r="AR42" s="546"/>
      <c r="AS42" s="546"/>
      <c r="AT42" s="546"/>
      <c r="AU42" s="546"/>
      <c r="AV42" s="546"/>
    </row>
    <row r="43" spans="3:50" ht="20.100000000000001" customHeight="1">
      <c r="C43" s="573" t="s">
        <v>1743</v>
      </c>
      <c r="D43" s="573">
        <f>D10</f>
        <v>145.32260799999997</v>
      </c>
      <c r="AR43" s="546"/>
      <c r="AS43" s="546"/>
      <c r="AT43" s="546"/>
      <c r="AU43" s="546"/>
      <c r="AV43" s="546"/>
    </row>
    <row r="44" spans="3:50" ht="20.100000000000001" customHeight="1">
      <c r="C44" s="585" t="s">
        <v>497</v>
      </c>
      <c r="D44" s="588">
        <f>D42/D43</f>
        <v>34.388199766398117</v>
      </c>
      <c r="AR44" s="546"/>
      <c r="AS44" s="546"/>
      <c r="AT44" s="546"/>
      <c r="AU44" s="546"/>
      <c r="AV44" s="546"/>
    </row>
    <row r="45" spans="3:50" ht="20.100000000000001" customHeight="1">
      <c r="C45" s="573" t="s">
        <v>498</v>
      </c>
      <c r="D45" s="589">
        <f>AQ111</f>
        <v>1.4191927501488997</v>
      </c>
      <c r="G45" s="546"/>
      <c r="J45" s="575"/>
      <c r="AR45" s="546"/>
      <c r="AS45" s="546"/>
      <c r="AT45" s="546"/>
      <c r="AU45" s="546"/>
      <c r="AV45" s="546"/>
      <c r="AW45" s="546"/>
      <c r="AX45" s="546"/>
    </row>
    <row r="46" spans="3:50" ht="20.100000000000001" customHeight="1">
      <c r="C46" s="573" t="s">
        <v>500</v>
      </c>
      <c r="D46" s="589">
        <f>D44+D45</f>
        <v>35.807392516547019</v>
      </c>
      <c r="G46" s="546"/>
      <c r="AR46" s="546"/>
      <c r="AS46" s="546"/>
      <c r="AT46" s="546"/>
      <c r="AU46" s="546"/>
      <c r="AV46" s="546"/>
      <c r="AW46" s="546"/>
      <c r="AX46" s="546"/>
    </row>
    <row r="47" spans="3:50" ht="20.100000000000001" customHeight="1" thickBot="1">
      <c r="C47" s="573" t="s">
        <v>1744</v>
      </c>
      <c r="D47" s="589"/>
      <c r="G47" s="546"/>
      <c r="AR47" s="546"/>
      <c r="AS47" s="546"/>
      <c r="AT47" s="546"/>
      <c r="AU47" s="546"/>
      <c r="AV47" s="546"/>
      <c r="AW47" s="546"/>
      <c r="AX47" s="546"/>
    </row>
    <row r="48" spans="3:50" ht="20.100000000000001" customHeight="1" thickTop="1" thickBot="1">
      <c r="C48" s="590" t="s">
        <v>1745</v>
      </c>
      <c r="D48" s="591">
        <f>D46</f>
        <v>35.807392516547019</v>
      </c>
      <c r="E48" s="592"/>
      <c r="G48" s="546"/>
      <c r="H48" s="556"/>
      <c r="AR48" s="546"/>
      <c r="AS48" s="546"/>
      <c r="AT48" s="546"/>
      <c r="AU48" s="546"/>
      <c r="AV48" s="546"/>
      <c r="AW48" s="546"/>
      <c r="AX48" s="546"/>
    </row>
    <row r="49" spans="1:50" ht="20.100000000000001" customHeight="1" thickTop="1">
      <c r="C49" s="547"/>
      <c r="F49" s="593"/>
      <c r="G49" s="546"/>
      <c r="AR49" s="546"/>
      <c r="AS49" s="546"/>
      <c r="AT49" s="546"/>
      <c r="AU49" s="546"/>
      <c r="AV49" s="546"/>
      <c r="AW49" s="546"/>
      <c r="AX49" s="546"/>
    </row>
    <row r="50" spans="1:50" s="557" customFormat="1" ht="20.100000000000001" customHeight="1">
      <c r="C50" s="594"/>
      <c r="D50" s="595"/>
      <c r="E50" s="595"/>
      <c r="F50" s="595"/>
      <c r="G50" s="595"/>
      <c r="H50" s="595"/>
      <c r="I50" s="595"/>
      <c r="J50" s="595"/>
      <c r="K50" s="595"/>
      <c r="L50" s="595"/>
      <c r="M50" s="595"/>
      <c r="N50" s="595"/>
      <c r="O50" s="595"/>
      <c r="P50" s="595"/>
      <c r="Q50" s="595"/>
      <c r="R50" s="595"/>
      <c r="S50" s="595"/>
      <c r="T50" s="595"/>
      <c r="U50" s="595"/>
      <c r="V50" s="595"/>
      <c r="W50" s="595"/>
      <c r="X50" s="595"/>
      <c r="Y50" s="595"/>
      <c r="Z50" s="595"/>
      <c r="AA50" s="595"/>
      <c r="AB50" s="595"/>
      <c r="AC50" s="595"/>
      <c r="AD50" s="595"/>
      <c r="AE50" s="595"/>
      <c r="AF50" s="595"/>
      <c r="AG50" s="595"/>
      <c r="AH50" s="595"/>
      <c r="AI50" s="595"/>
      <c r="AJ50" s="595"/>
      <c r="AK50" s="595"/>
      <c r="AL50" s="595"/>
      <c r="AM50" s="595"/>
      <c r="AN50" s="595"/>
      <c r="AO50" s="595"/>
      <c r="AP50" s="595"/>
      <c r="AQ50" s="595"/>
      <c r="AR50" s="596"/>
      <c r="AS50" s="596"/>
      <c r="AT50" s="596"/>
      <c r="AU50" s="596"/>
      <c r="AV50" s="596"/>
    </row>
    <row r="51" spans="1:50" s="557" customFormat="1" ht="20.100000000000001" customHeight="1">
      <c r="C51" s="547"/>
      <c r="D51" s="595"/>
      <c r="E51" s="595"/>
      <c r="F51" s="595"/>
      <c r="G51" s="595"/>
      <c r="H51" s="595"/>
      <c r="I51" s="595"/>
      <c r="J51" s="595"/>
      <c r="K51" s="595"/>
      <c r="L51" s="595"/>
      <c r="M51" s="595"/>
      <c r="N51" s="595"/>
      <c r="O51" s="595"/>
      <c r="P51" s="595"/>
      <c r="Q51" s="595"/>
      <c r="R51" s="595"/>
      <c r="S51" s="595"/>
      <c r="T51" s="595"/>
      <c r="U51" s="595"/>
      <c r="V51" s="595"/>
      <c r="W51" s="595"/>
      <c r="X51" s="595"/>
      <c r="Y51" s="595"/>
      <c r="Z51" s="595"/>
      <c r="AA51" s="595"/>
      <c r="AB51" s="595"/>
      <c r="AC51" s="595"/>
      <c r="AD51" s="595"/>
      <c r="AE51" s="595"/>
      <c r="AF51" s="595"/>
      <c r="AG51" s="595"/>
      <c r="AH51" s="595"/>
      <c r="AI51" s="595"/>
      <c r="AJ51" s="595"/>
      <c r="AK51" s="596"/>
      <c r="AL51" s="596"/>
      <c r="AM51" s="596"/>
      <c r="AN51" s="596"/>
      <c r="AO51" s="596"/>
      <c r="AP51" s="596"/>
      <c r="AQ51" s="596"/>
      <c r="AR51" s="596"/>
      <c r="AS51" s="596"/>
    </row>
    <row r="52" spans="1:50" s="557" customFormat="1" ht="20.100000000000001" customHeight="1">
      <c r="C52" s="547"/>
      <c r="D52" s="595"/>
      <c r="E52" s="595"/>
      <c r="F52" s="595"/>
      <c r="G52" s="597">
        <v>2</v>
      </c>
      <c r="H52" s="597">
        <f>G52+1</f>
        <v>3</v>
      </c>
      <c r="I52" s="597">
        <f>H52+1</f>
        <v>4</v>
      </c>
      <c r="J52" s="597">
        <f>I52+1</f>
        <v>5</v>
      </c>
      <c r="K52" s="597">
        <f>J52+3</f>
        <v>8</v>
      </c>
      <c r="L52" s="597">
        <f>K52+3</f>
        <v>11</v>
      </c>
      <c r="M52" s="597">
        <f t="shared" ref="M52:X52" si="10">L52+3</f>
        <v>14</v>
      </c>
      <c r="N52" s="597">
        <f t="shared" si="10"/>
        <v>17</v>
      </c>
      <c r="O52" s="597">
        <f t="shared" si="10"/>
        <v>20</v>
      </c>
      <c r="P52" s="597">
        <f t="shared" si="10"/>
        <v>23</v>
      </c>
      <c r="Q52" s="597">
        <f t="shared" si="10"/>
        <v>26</v>
      </c>
      <c r="R52" s="597">
        <f t="shared" si="10"/>
        <v>29</v>
      </c>
      <c r="S52" s="597">
        <f t="shared" si="10"/>
        <v>32</v>
      </c>
      <c r="T52" s="597">
        <f t="shared" si="10"/>
        <v>35</v>
      </c>
      <c r="U52" s="597">
        <f t="shared" si="10"/>
        <v>38</v>
      </c>
      <c r="V52" s="597">
        <f t="shared" si="10"/>
        <v>41</v>
      </c>
      <c r="W52" s="598">
        <f t="shared" si="10"/>
        <v>44</v>
      </c>
      <c r="X52" s="598">
        <f t="shared" si="10"/>
        <v>47</v>
      </c>
      <c r="Y52" s="599">
        <f>COLUMN(MODEL!J1)</f>
        <v>10</v>
      </c>
      <c r="Z52" s="599">
        <f>COLUMN(MODEL!M1)</f>
        <v>13</v>
      </c>
      <c r="AA52" s="599">
        <f>COLUMN(MODEL!P1)</f>
        <v>16</v>
      </c>
      <c r="AB52" s="599">
        <f>COLUMN(MODEL!S1)</f>
        <v>19</v>
      </c>
      <c r="AC52" s="599">
        <f>COLUMN(MODEL!V1)</f>
        <v>22</v>
      </c>
      <c r="AD52" s="599">
        <f>COLUMN(MODEL!Y1)</f>
        <v>25</v>
      </c>
      <c r="AE52" s="599">
        <f>COLUMN(MODEL!AB1)</f>
        <v>28</v>
      </c>
      <c r="AF52" s="599">
        <f>COLUMN(MODEL!AE1)</f>
        <v>31</v>
      </c>
      <c r="AG52" s="599">
        <f>COLUMN(MODEL!AH1)</f>
        <v>34</v>
      </c>
      <c r="AH52" s="599">
        <f>COLUMN(MODEL!AK1)</f>
        <v>37</v>
      </c>
      <c r="AI52" s="599">
        <f>COLUMN(MODEL!AN1)</f>
        <v>40</v>
      </c>
      <c r="AJ52" s="599">
        <f>COLUMN(MODEL!AQ1)</f>
        <v>43</v>
      </c>
      <c r="AK52" s="599">
        <f>COLUMN(MODEL!AT1)</f>
        <v>46</v>
      </c>
      <c r="AL52" s="599">
        <f>COLUMN(MODEL!AW1)</f>
        <v>49</v>
      </c>
      <c r="AM52" s="599">
        <f>COLUMN(MODEL!AZ1)</f>
        <v>52</v>
      </c>
      <c r="AN52" s="599">
        <f>COLUMN(MODEL!BC1)</f>
        <v>55</v>
      </c>
      <c r="AO52" s="599">
        <f>COLUMN(MODEL!BF1)</f>
        <v>58</v>
      </c>
      <c r="AP52" s="599">
        <f>COLUMN(MODEL!BI1)</f>
        <v>61</v>
      </c>
      <c r="AQ52" s="596"/>
      <c r="AR52" s="596"/>
      <c r="AS52" s="596"/>
    </row>
    <row r="53" spans="1:50" s="557" customFormat="1" ht="20.100000000000001" customHeight="1">
      <c r="B53" s="569"/>
      <c r="C53" s="600" t="str">
        <f>$A$2</f>
        <v>DISCOUNTED CASH FLOW (DCF) MODEL FOR Breville Group Ltd.</v>
      </c>
      <c r="D53" s="601"/>
      <c r="E53" s="601"/>
      <c r="F53" s="601"/>
      <c r="G53" s="601"/>
      <c r="H53" s="601"/>
      <c r="I53" s="601"/>
      <c r="J53" s="601"/>
      <c r="K53" s="601"/>
      <c r="L53" s="601"/>
      <c r="M53" s="601"/>
      <c r="N53" s="601"/>
      <c r="O53" s="601"/>
      <c r="P53" s="601"/>
      <c r="Q53" s="601"/>
      <c r="R53" s="601"/>
      <c r="S53" s="601"/>
      <c r="T53" s="601"/>
      <c r="U53" s="601"/>
      <c r="V53" s="601"/>
      <c r="W53" s="601"/>
      <c r="X53" s="601"/>
      <c r="Y53" s="601"/>
      <c r="Z53" s="601"/>
      <c r="AA53" s="601"/>
      <c r="AB53" s="601"/>
      <c r="AC53" s="601"/>
      <c r="AD53" s="601"/>
      <c r="AE53" s="601"/>
      <c r="AF53" s="601"/>
      <c r="AG53" s="601"/>
      <c r="AH53" s="601"/>
      <c r="AI53" s="601"/>
      <c r="AJ53" s="601"/>
      <c r="AK53" s="601"/>
      <c r="AL53" s="601"/>
      <c r="AM53" s="601"/>
      <c r="AN53" s="601"/>
      <c r="AO53" s="601"/>
      <c r="AP53" s="601"/>
      <c r="AQ53" s="596"/>
      <c r="AR53" s="596"/>
      <c r="AS53" s="596"/>
    </row>
    <row r="54" spans="1:50" s="557" customFormat="1" ht="20.100000000000001" customHeight="1">
      <c r="B54" s="569"/>
      <c r="C54" s="602"/>
      <c r="D54" s="603"/>
      <c r="E54" s="585"/>
      <c r="F54" s="568"/>
      <c r="G54" s="568"/>
      <c r="H54" s="568"/>
      <c r="I54" s="568"/>
      <c r="J54" s="573"/>
      <c r="K54" s="573"/>
      <c r="L54" s="573"/>
      <c r="M54" s="573"/>
      <c r="N54" s="573"/>
      <c r="O54" s="573"/>
      <c r="P54" s="573"/>
      <c r="Q54" s="573"/>
      <c r="R54" s="573"/>
      <c r="S54" s="604"/>
      <c r="T54" s="573"/>
      <c r="U54" s="573"/>
      <c r="V54" s="573"/>
      <c r="W54" s="573"/>
      <c r="X54" s="573"/>
      <c r="Y54" s="573"/>
      <c r="Z54" s="573"/>
      <c r="AA54" s="573"/>
      <c r="AB54" s="573"/>
      <c r="AC54" s="573"/>
      <c r="AD54" s="573"/>
      <c r="AE54" s="573"/>
      <c r="AF54" s="573"/>
      <c r="AG54" s="573"/>
      <c r="AH54" s="573"/>
      <c r="AI54" s="573"/>
      <c r="AJ54" s="573"/>
      <c r="AK54" s="572"/>
      <c r="AL54" s="572"/>
      <c r="AM54" s="572"/>
      <c r="AN54" s="572"/>
      <c r="AO54" s="572"/>
      <c r="AP54" s="572"/>
      <c r="AQ54" s="596"/>
      <c r="AR54" s="596"/>
      <c r="AS54" s="596"/>
    </row>
    <row r="55" spans="1:50" s="557" customFormat="1" ht="20.100000000000001" customHeight="1">
      <c r="B55" s="569"/>
      <c r="C55" s="605" t="s">
        <v>1746</v>
      </c>
      <c r="D55" s="606"/>
      <c r="E55" s="606"/>
      <c r="F55" s="606"/>
      <c r="G55" s="606"/>
      <c r="H55" s="606"/>
      <c r="I55" s="606"/>
      <c r="J55" s="606"/>
      <c r="K55" s="606"/>
      <c r="L55" s="606"/>
      <c r="M55" s="606"/>
      <c r="N55" s="606"/>
      <c r="O55" s="606"/>
      <c r="P55" s="606"/>
      <c r="Q55" s="606"/>
      <c r="R55" s="606"/>
      <c r="S55" s="606"/>
      <c r="T55" s="606"/>
      <c r="U55" s="606"/>
      <c r="V55" s="606"/>
      <c r="W55" s="606"/>
      <c r="X55" s="606"/>
      <c r="Y55" s="606"/>
      <c r="Z55" s="606"/>
      <c r="AA55" s="606"/>
      <c r="AB55" s="606"/>
      <c r="AC55" s="606"/>
      <c r="AD55" s="606"/>
      <c r="AE55" s="606"/>
      <c r="AF55" s="606"/>
      <c r="AG55" s="606"/>
      <c r="AH55" s="606"/>
      <c r="AI55" s="606"/>
      <c r="AJ55" s="606"/>
      <c r="AK55" s="606"/>
      <c r="AL55" s="606"/>
      <c r="AM55" s="606"/>
      <c r="AN55" s="606"/>
      <c r="AO55" s="606"/>
      <c r="AP55" s="606"/>
      <c r="AQ55" s="596"/>
      <c r="AR55" s="596"/>
      <c r="AS55" s="596"/>
    </row>
    <row r="56" spans="1:50" s="557" customFormat="1" ht="20.100000000000001" customHeight="1">
      <c r="B56" s="569"/>
      <c r="C56" s="569"/>
      <c r="D56" s="570"/>
      <c r="E56" s="570"/>
      <c r="F56" s="570"/>
      <c r="G56" s="570"/>
      <c r="H56" s="570"/>
      <c r="I56" s="570"/>
      <c r="J56" s="570"/>
      <c r="K56" s="570"/>
      <c r="L56" s="570"/>
      <c r="M56" s="570"/>
      <c r="N56" s="570"/>
      <c r="O56" s="570"/>
      <c r="P56" s="570"/>
      <c r="Q56" s="570"/>
      <c r="R56" s="570"/>
      <c r="S56" s="570"/>
      <c r="T56" s="570"/>
      <c r="U56" s="570"/>
      <c r="V56" s="570"/>
      <c r="W56" s="570"/>
      <c r="X56" s="570"/>
      <c r="Y56" s="570"/>
      <c r="Z56" s="570"/>
      <c r="AA56" s="570"/>
      <c r="AB56" s="570"/>
      <c r="AC56" s="570"/>
      <c r="AD56" s="570"/>
      <c r="AE56" s="570"/>
      <c r="AF56" s="570"/>
      <c r="AG56" s="570"/>
      <c r="AH56" s="570"/>
      <c r="AI56" s="570"/>
      <c r="AJ56" s="570"/>
      <c r="AK56" s="607"/>
      <c r="AL56" s="607"/>
      <c r="AM56" s="607"/>
      <c r="AN56" s="607"/>
      <c r="AO56" s="607"/>
      <c r="AP56" s="607"/>
      <c r="AQ56" s="596"/>
      <c r="AR56" s="596"/>
      <c r="AS56" s="596"/>
    </row>
    <row r="57" spans="1:50" s="557" customFormat="1" ht="20.100000000000001" customHeight="1">
      <c r="B57" s="569"/>
      <c r="C57" s="569" t="s">
        <v>1736</v>
      </c>
      <c r="D57" s="570"/>
      <c r="E57" s="570"/>
      <c r="F57" s="570"/>
      <c r="G57" s="570">
        <v>37072</v>
      </c>
      <c r="H57" s="570">
        <v>37437</v>
      </c>
      <c r="I57" s="570">
        <v>37802</v>
      </c>
      <c r="J57" s="570">
        <v>38168</v>
      </c>
      <c r="K57" s="570">
        <v>38533</v>
      </c>
      <c r="L57" s="570">
        <v>38898</v>
      </c>
      <c r="M57" s="570">
        <v>39263</v>
      </c>
      <c r="N57" s="570">
        <v>39629</v>
      </c>
      <c r="O57" s="570">
        <v>39994</v>
      </c>
      <c r="P57" s="570">
        <v>40359</v>
      </c>
      <c r="Q57" s="570">
        <v>40724</v>
      </c>
      <c r="R57" s="570">
        <v>41090</v>
      </c>
      <c r="S57" s="570">
        <v>41455</v>
      </c>
      <c r="T57" s="570">
        <v>41820</v>
      </c>
      <c r="U57" s="570">
        <f>T57+365</f>
        <v>42185</v>
      </c>
      <c r="V57" s="570">
        <f>U57+365</f>
        <v>42550</v>
      </c>
      <c r="W57" s="570">
        <f t="shared" ref="W57:AM57" si="11">W30</f>
        <v>42916</v>
      </c>
      <c r="X57" s="570">
        <f t="shared" si="11"/>
        <v>43281</v>
      </c>
      <c r="Y57" s="570">
        <f t="shared" si="11"/>
        <v>43646</v>
      </c>
      <c r="Z57" s="570">
        <f t="shared" si="11"/>
        <v>44012</v>
      </c>
      <c r="AA57" s="570">
        <f t="shared" si="11"/>
        <v>44377</v>
      </c>
      <c r="AB57" s="570">
        <f t="shared" si="11"/>
        <v>44742</v>
      </c>
      <c r="AC57" s="570">
        <f t="shared" si="11"/>
        <v>45107</v>
      </c>
      <c r="AD57" s="570">
        <f t="shared" si="11"/>
        <v>45473</v>
      </c>
      <c r="AE57" s="570">
        <f t="shared" si="11"/>
        <v>45838</v>
      </c>
      <c r="AF57" s="570">
        <f t="shared" si="11"/>
        <v>46203</v>
      </c>
      <c r="AG57" s="570">
        <f t="shared" si="11"/>
        <v>46568</v>
      </c>
      <c r="AH57" s="570">
        <f t="shared" si="11"/>
        <v>46934</v>
      </c>
      <c r="AI57" s="570">
        <f t="shared" si="11"/>
        <v>47299</v>
      </c>
      <c r="AJ57" s="570">
        <f t="shared" si="11"/>
        <v>47664</v>
      </c>
      <c r="AK57" s="570">
        <f t="shared" si="11"/>
        <v>48029</v>
      </c>
      <c r="AL57" s="570">
        <f t="shared" ref="AL57:AN57" si="12">AL30</f>
        <v>48395</v>
      </c>
      <c r="AM57" s="570">
        <f t="shared" si="11"/>
        <v>48760</v>
      </c>
      <c r="AN57" s="570">
        <f t="shared" si="12"/>
        <v>49125</v>
      </c>
      <c r="AO57" s="570">
        <f t="shared" ref="AO57:AP57" si="13">AO30</f>
        <v>49490</v>
      </c>
      <c r="AP57" s="570">
        <f t="shared" si="13"/>
        <v>49856</v>
      </c>
    </row>
    <row r="58" spans="1:50" ht="20.100000000000001" customHeight="1">
      <c r="B58" s="573"/>
      <c r="C58" s="568"/>
      <c r="D58" s="573"/>
      <c r="E58" s="573"/>
      <c r="F58" s="573"/>
      <c r="G58" s="573"/>
      <c r="H58" s="573"/>
      <c r="I58" s="573"/>
      <c r="J58" s="573"/>
      <c r="K58" s="573"/>
      <c r="L58" s="573"/>
      <c r="M58" s="573"/>
      <c r="N58" s="573"/>
      <c r="O58" s="573"/>
      <c r="P58" s="573"/>
      <c r="Q58" s="573"/>
      <c r="R58" s="573"/>
      <c r="S58" s="573"/>
      <c r="T58" s="573"/>
      <c r="U58" s="573"/>
      <c r="V58" s="573"/>
      <c r="W58" s="573"/>
      <c r="X58" s="573"/>
      <c r="Y58" s="573"/>
      <c r="Z58" s="573"/>
      <c r="AA58" s="573"/>
      <c r="AB58" s="573"/>
      <c r="AC58" s="573"/>
      <c r="AD58" s="573"/>
      <c r="AE58" s="573"/>
      <c r="AF58" s="573"/>
      <c r="AG58" s="573"/>
      <c r="AH58" s="573"/>
      <c r="AI58" s="573"/>
      <c r="AJ58" s="573"/>
      <c r="AK58" s="573"/>
      <c r="AL58" s="573"/>
      <c r="AM58" s="573"/>
      <c r="AN58" s="573"/>
      <c r="AO58" s="573"/>
      <c r="AP58" s="573"/>
    </row>
    <row r="59" spans="1:50" ht="20.100000000000001" customHeight="1">
      <c r="A59" s="627">
        <f>ROW(MODEL!A50)</f>
        <v>50</v>
      </c>
      <c r="B59" s="573"/>
      <c r="C59" s="573" t="s">
        <v>499</v>
      </c>
      <c r="D59" s="573"/>
      <c r="E59" s="573"/>
      <c r="F59" s="573"/>
      <c r="G59" s="573">
        <v>1.022</v>
      </c>
      <c r="H59" s="573">
        <v>3.399</v>
      </c>
      <c r="I59" s="573">
        <v>6.55</v>
      </c>
      <c r="J59" s="573">
        <v>6.9189999999999996</v>
      </c>
      <c r="K59" s="573">
        <v>10.459857142857143</v>
      </c>
      <c r="L59" s="573">
        <v>17.181999999999999</v>
      </c>
      <c r="M59" s="573">
        <v>12.335000000000003</v>
      </c>
      <c r="N59" s="573">
        <v>17.016000000000002</v>
      </c>
      <c r="O59" s="573">
        <v>20.296999986444376</v>
      </c>
      <c r="P59" s="573">
        <v>23.721999999999998</v>
      </c>
      <c r="Q59" s="573">
        <v>29.667999999999999</v>
      </c>
      <c r="R59" s="573">
        <v>37.643999999999998</v>
      </c>
      <c r="S59" s="573">
        <v>42.695000000000007</v>
      </c>
      <c r="T59" s="573">
        <v>70.914273547839514</v>
      </c>
      <c r="U59" s="573">
        <v>97.840000000000018</v>
      </c>
      <c r="V59" s="573">
        <v>140.303</v>
      </c>
      <c r="W59" s="573"/>
      <c r="X59" s="573"/>
      <c r="Y59" s="573">
        <f t="shared" ref="Y59:AP59" si="14">INDEX(model,$A59,Y$52)</f>
        <v>94.310999999999993</v>
      </c>
      <c r="Z59" s="573">
        <f t="shared" si="14"/>
        <v>101.724</v>
      </c>
      <c r="AA59" s="573">
        <f t="shared" si="14"/>
        <v>127.40300000000001</v>
      </c>
      <c r="AB59" s="573">
        <f t="shared" si="14"/>
        <v>147.87300000000002</v>
      </c>
      <c r="AC59" s="573">
        <f t="shared" si="14"/>
        <v>150.99099999999999</v>
      </c>
      <c r="AD59" s="573">
        <f t="shared" si="14"/>
        <v>165.68699999999998</v>
      </c>
      <c r="AE59" s="573">
        <f t="shared" si="14"/>
        <v>189.898</v>
      </c>
      <c r="AF59" s="573">
        <f t="shared" si="14"/>
        <v>189.78269538721597</v>
      </c>
      <c r="AG59" s="573">
        <f>INDEX(model,$A59,AG$52)</f>
        <v>224.305656843273</v>
      </c>
      <c r="AH59" s="573">
        <f t="shared" si="14"/>
        <v>259.83508071729523</v>
      </c>
      <c r="AI59" s="573">
        <f t="shared" si="14"/>
        <v>300.10452261089972</v>
      </c>
      <c r="AJ59" s="573">
        <f t="shared" si="14"/>
        <v>345.28153630581011</v>
      </c>
      <c r="AK59" s="573">
        <f t="shared" si="14"/>
        <v>395.87003047467823</v>
      </c>
      <c r="AL59" s="573">
        <f t="shared" si="14"/>
        <v>449.47652724326468</v>
      </c>
      <c r="AM59" s="573">
        <f t="shared" si="14"/>
        <v>509.34394314758248</v>
      </c>
      <c r="AN59" s="573">
        <f t="shared" si="14"/>
        <v>576.6855996807642</v>
      </c>
      <c r="AO59" s="573">
        <f t="shared" si="14"/>
        <v>653.04010346691587</v>
      </c>
      <c r="AP59" s="573">
        <f t="shared" si="14"/>
        <v>737.91367637276892</v>
      </c>
    </row>
    <row r="60" spans="1:50" ht="20.100000000000001" customHeight="1">
      <c r="A60" s="564">
        <f>ROW(MODEL!A48)</f>
        <v>48</v>
      </c>
      <c r="B60" s="573"/>
      <c r="C60" s="573" t="s">
        <v>1855</v>
      </c>
      <c r="D60" s="573"/>
      <c r="E60" s="573"/>
      <c r="F60" s="573"/>
      <c r="G60" s="573">
        <v>-0.221</v>
      </c>
      <c r="H60" s="573">
        <v>0.42099999999999999</v>
      </c>
      <c r="I60" s="573">
        <v>0.42</v>
      </c>
      <c r="J60" s="573">
        <v>1.4419999999999999</v>
      </c>
      <c r="K60" s="573">
        <v>1.944</v>
      </c>
      <c r="L60" s="573">
        <v>1.4589999999999999</v>
      </c>
      <c r="M60" s="573">
        <v>2.8740000000000001</v>
      </c>
      <c r="N60" s="573">
        <v>2.0859999999999999</v>
      </c>
      <c r="O60" s="573">
        <v>1.552</v>
      </c>
      <c r="P60" s="573">
        <v>0.79700000000000004</v>
      </c>
      <c r="Q60" s="573">
        <v>0.73399999999999999</v>
      </c>
      <c r="R60" s="573">
        <v>0.45100000000000001</v>
      </c>
      <c r="S60" s="573">
        <v>0.40500000000000003</v>
      </c>
      <c r="T60" s="573">
        <v>2.4580000000000002</v>
      </c>
      <c r="U60" s="573">
        <v>2.4510000000000001</v>
      </c>
      <c r="V60" s="573">
        <v>3.2970000000000002</v>
      </c>
      <c r="W60" s="573"/>
      <c r="X60" s="573"/>
      <c r="Y60" s="573">
        <f t="shared" ref="Y60:AN60" si="15">-INDEX(model,$A60,Y$52)+INDEX(PPE_and_intangibles,$A63+4,Y$52)</f>
        <v>3.0340000000000003</v>
      </c>
      <c r="Z60" s="573">
        <f t="shared" si="15"/>
        <v>6.5880000000000001</v>
      </c>
      <c r="AA60" s="573">
        <f t="shared" si="15"/>
        <v>7.8129999999999988</v>
      </c>
      <c r="AB60" s="573">
        <f t="shared" si="15"/>
        <v>7.8709999999999996</v>
      </c>
      <c r="AC60" s="573">
        <f t="shared" si="15"/>
        <v>16.89</v>
      </c>
      <c r="AD60" s="573">
        <f t="shared" si="15"/>
        <v>15.495999999999999</v>
      </c>
      <c r="AE60" s="573">
        <f t="shared" si="15"/>
        <v>10.481999999999999</v>
      </c>
      <c r="AF60" s="573">
        <f t="shared" si="15"/>
        <v>13.124074976357097</v>
      </c>
      <c r="AG60" s="573">
        <f t="shared" si="15"/>
        <v>10.470050977870242</v>
      </c>
      <c r="AH60" s="573">
        <f t="shared" si="15"/>
        <v>6.6561299999999965</v>
      </c>
      <c r="AI60" s="573">
        <f t="shared" si="15"/>
        <v>5.9764917142528411</v>
      </c>
      <c r="AJ60" s="573">
        <f t="shared" si="15"/>
        <v>4.2914698486624907</v>
      </c>
      <c r="AK60" s="573">
        <f t="shared" si="15"/>
        <v>3.2639450252875131</v>
      </c>
      <c r="AL60" s="573">
        <f t="shared" si="15"/>
        <v>1.0159894136268059</v>
      </c>
      <c r="AM60" s="573">
        <f t="shared" si="15"/>
        <v>-0.77485623419986815</v>
      </c>
      <c r="AN60" s="573">
        <f t="shared" si="15"/>
        <v>-2.4269877804112454</v>
      </c>
      <c r="AO60" s="573">
        <f t="shared" ref="AO60:AP60" si="16">-INDEX(model,$A60,AO$52)+INDEX(PPE_and_intangibles,$A63+4,AO$52)</f>
        <v>-4.4620135477025151</v>
      </c>
      <c r="AP60" s="573">
        <f t="shared" si="16"/>
        <v>-6.8599046229801033</v>
      </c>
    </row>
    <row r="61" spans="1:50" ht="20.100000000000001" customHeight="1">
      <c r="A61" s="545">
        <f>ROW(MODEL!A56)</f>
        <v>56</v>
      </c>
      <c r="B61" s="573"/>
      <c r="C61" s="573" t="s">
        <v>1747</v>
      </c>
      <c r="D61" s="573"/>
      <c r="E61" s="573"/>
      <c r="F61" s="573"/>
      <c r="G61" s="573" t="e">
        <v>#VALUE!</v>
      </c>
      <c r="H61" s="573" t="e">
        <v>#VALUE!</v>
      </c>
      <c r="I61" s="573" t="e">
        <v>#VALUE!</v>
      </c>
      <c r="J61" s="573" t="e">
        <v>#VALUE!</v>
      </c>
      <c r="K61" s="573" t="e">
        <v>#VALUE!</v>
      </c>
      <c r="L61" s="573" t="e">
        <v>#VALUE!</v>
      </c>
      <c r="M61" s="573" t="e">
        <v>#VALUE!</v>
      </c>
      <c r="N61" s="573" t="e">
        <v>#VALUE!</v>
      </c>
      <c r="O61" s="573" t="e">
        <v>#VALUE!</v>
      </c>
      <c r="P61" s="573" t="e">
        <v>#VALUE!</v>
      </c>
      <c r="Q61" s="573" t="e">
        <v>#VALUE!</v>
      </c>
      <c r="R61" s="573" t="e">
        <v>#VALUE!</v>
      </c>
      <c r="S61" s="573" t="e">
        <v>#VALUE!</v>
      </c>
      <c r="T61" s="573" t="e">
        <v>#VALUE!</v>
      </c>
      <c r="U61" s="573" t="e">
        <v>#VALUE!</v>
      </c>
      <c r="V61" s="573" t="e">
        <v>#VALUE!</v>
      </c>
      <c r="W61" s="573"/>
      <c r="X61" s="573"/>
      <c r="Y61" s="573">
        <f t="shared" ref="Y61:AP61" si="17">INDEX(model,$A61,Y$52)</f>
        <v>0</v>
      </c>
      <c r="Z61" s="573">
        <f t="shared" si="17"/>
        <v>0</v>
      </c>
      <c r="AA61" s="573">
        <f t="shared" si="17"/>
        <v>0</v>
      </c>
      <c r="AB61" s="573">
        <f t="shared" si="17"/>
        <v>0</v>
      </c>
      <c r="AC61" s="573">
        <f t="shared" si="17"/>
        <v>0</v>
      </c>
      <c r="AD61" s="573">
        <f t="shared" si="17"/>
        <v>0</v>
      </c>
      <c r="AE61" s="573">
        <f t="shared" si="17"/>
        <v>0</v>
      </c>
      <c r="AF61" s="573">
        <f t="shared" si="17"/>
        <v>0</v>
      </c>
      <c r="AG61" s="573">
        <f t="shared" si="17"/>
        <v>0</v>
      </c>
      <c r="AH61" s="573">
        <f t="shared" si="17"/>
        <v>0</v>
      </c>
      <c r="AI61" s="573">
        <f t="shared" si="17"/>
        <v>0</v>
      </c>
      <c r="AJ61" s="573">
        <f t="shared" si="17"/>
        <v>0</v>
      </c>
      <c r="AK61" s="573">
        <f t="shared" si="17"/>
        <v>0</v>
      </c>
      <c r="AL61" s="573">
        <f t="shared" si="17"/>
        <v>0</v>
      </c>
      <c r="AM61" s="573">
        <f t="shared" si="17"/>
        <v>0</v>
      </c>
      <c r="AN61" s="573">
        <f t="shared" si="17"/>
        <v>0</v>
      </c>
      <c r="AO61" s="573">
        <f t="shared" si="17"/>
        <v>0</v>
      </c>
      <c r="AP61" s="573">
        <f t="shared" si="17"/>
        <v>0</v>
      </c>
    </row>
    <row r="62" spans="1:50" ht="20.100000000000001" customHeight="1">
      <c r="A62" s="545">
        <f>ROW(MODEL!A36)</f>
        <v>36</v>
      </c>
      <c r="B62" s="573"/>
      <c r="C62" s="573" t="s">
        <v>1748</v>
      </c>
      <c r="D62" s="573"/>
      <c r="E62" s="573"/>
      <c r="F62" s="573"/>
      <c r="G62" s="573" t="e">
        <v>#VALUE!</v>
      </c>
      <c r="H62" s="573" t="e">
        <v>#VALUE!</v>
      </c>
      <c r="I62" s="573" t="e">
        <v>#VALUE!</v>
      </c>
      <c r="J62" s="573" t="e">
        <v>#VALUE!</v>
      </c>
      <c r="K62" s="573" t="e">
        <v>#VALUE!</v>
      </c>
      <c r="L62" s="573" t="e">
        <v>#VALUE!</v>
      </c>
      <c r="M62" s="573" t="e">
        <v>#VALUE!</v>
      </c>
      <c r="N62" s="573" t="e">
        <v>#VALUE!</v>
      </c>
      <c r="O62" s="573" t="e">
        <v>#VALUE!</v>
      </c>
      <c r="P62" s="573" t="e">
        <v>#VALUE!</v>
      </c>
      <c r="Q62" s="573" t="e">
        <v>#VALUE!</v>
      </c>
      <c r="R62" s="573" t="e">
        <v>#VALUE!</v>
      </c>
      <c r="S62" s="573" t="e">
        <v>#VALUE!</v>
      </c>
      <c r="T62" s="573" t="e">
        <v>#VALUE!</v>
      </c>
      <c r="U62" s="573" t="e">
        <v>#VALUE!</v>
      </c>
      <c r="V62" s="573" t="e">
        <v>#VALUE!</v>
      </c>
      <c r="W62" s="573"/>
      <c r="X62" s="573"/>
      <c r="Y62" s="573">
        <f>-INDEX(model,$A62,Y$52)</f>
        <v>16.616</v>
      </c>
      <c r="Z62" s="573">
        <f t="shared" ref="Z62:AP62" si="18">-INDEX(model,$A62,Z$52)</f>
        <v>22.338000000000001</v>
      </c>
      <c r="AA62" s="573">
        <f t="shared" si="18"/>
        <v>26.867999999999999</v>
      </c>
      <c r="AB62" s="573">
        <f t="shared" si="18"/>
        <v>30.463999999999999</v>
      </c>
      <c r="AC62" s="573">
        <f t="shared" si="18"/>
        <v>46.141999999999996</v>
      </c>
      <c r="AD62" s="573">
        <f t="shared" si="18"/>
        <v>59.784999999999997</v>
      </c>
      <c r="AE62" s="573">
        <f t="shared" si="18"/>
        <v>67.328000000000003</v>
      </c>
      <c r="AF62" s="573">
        <f t="shared" si="18"/>
        <v>73.883378007412034</v>
      </c>
      <c r="AG62" s="573">
        <f t="shared" si="18"/>
        <v>80.059756722977397</v>
      </c>
      <c r="AH62" s="573">
        <f t="shared" si="18"/>
        <v>87.424675048402833</v>
      </c>
      <c r="AI62" s="573">
        <f t="shared" si="18"/>
        <v>95.524508675248029</v>
      </c>
      <c r="AJ62" s="573">
        <f t="shared" si="18"/>
        <v>104.16941943613006</v>
      </c>
      <c r="AK62" s="573">
        <f t="shared" si="18"/>
        <v>113.49631526209532</v>
      </c>
      <c r="AL62" s="573">
        <f t="shared" si="18"/>
        <v>125.40762081936802</v>
      </c>
      <c r="AM62" s="573">
        <f t="shared" si="18"/>
        <v>138.66907735199482</v>
      </c>
      <c r="AN62" s="573">
        <f t="shared" si="18"/>
        <v>153.44179609990417</v>
      </c>
      <c r="AO62" s="573">
        <f t="shared" si="18"/>
        <v>169.90698114075985</v>
      </c>
      <c r="AP62" s="573">
        <f t="shared" si="18"/>
        <v>188.26853794956713</v>
      </c>
    </row>
    <row r="63" spans="1:50" ht="20.100000000000001" customHeight="1">
      <c r="A63" s="545">
        <v>50</v>
      </c>
      <c r="B63" s="573"/>
      <c r="C63" s="573" t="s">
        <v>1854</v>
      </c>
      <c r="D63" s="573"/>
      <c r="E63" s="573"/>
      <c r="F63" s="573"/>
      <c r="G63" s="573"/>
      <c r="H63" s="573"/>
      <c r="I63" s="573"/>
      <c r="J63" s="573"/>
      <c r="K63" s="573"/>
      <c r="L63" s="573"/>
      <c r="M63" s="573"/>
      <c r="N63" s="573"/>
      <c r="O63" s="573"/>
      <c r="P63" s="573"/>
      <c r="Q63" s="573"/>
      <c r="R63" s="573"/>
      <c r="S63" s="573"/>
      <c r="T63" s="573"/>
      <c r="U63" s="573"/>
      <c r="V63" s="573"/>
      <c r="W63" s="573"/>
      <c r="X63" s="573"/>
      <c r="Y63" s="573" cm="1">
        <f t="array" ref="Y63">INDEX(PPE_and_intangibles,$A63,Y$52)</f>
        <v>0</v>
      </c>
      <c r="Z63" s="573" cm="1">
        <f t="array" ref="Z63">INDEX(PPE_and_intangibles,$A63,Z$52)</f>
        <v>-7.3250000000000002</v>
      </c>
      <c r="AA63" s="573" cm="1">
        <f t="array" ref="AA63">INDEX(PPE_and_intangibles,$A63,AA$52)</f>
        <v>-7.4790000000000001</v>
      </c>
      <c r="AB63" s="573" cm="1">
        <f t="array" ref="AB63">INDEX(PPE_and_intangibles,$A63,AB$52)</f>
        <v>-7.6740000000000004</v>
      </c>
      <c r="AC63" s="573" cm="1">
        <f t="array" ref="AC63">INDEX(PPE_and_intangibles,$A63,AC$52)</f>
        <v>-18.303000000000001</v>
      </c>
      <c r="AD63" s="573" cm="1">
        <f t="array" ref="AD63">INDEX(PPE_and_intangibles,$A63,AD$52)</f>
        <v>-20.547000000000001</v>
      </c>
      <c r="AE63" s="573" cm="1">
        <f t="array" ref="AE63">INDEX(PPE_and_intangibles,$A63,AE$52)</f>
        <v>-22.802</v>
      </c>
      <c r="AF63" s="573" cm="1">
        <f t="array" ref="AF63">INDEX(PPE_and_intangibles,$A63,AF$52)</f>
        <v>-19.425054819889443</v>
      </c>
      <c r="AG63" s="573" cm="1">
        <f t="array" ref="AG63">INDEX(PPE_and_intangibles,$A63,AG$52)</f>
        <v>-21.475084148516036</v>
      </c>
      <c r="AH63" s="573" cm="1">
        <f t="array" ref="AH63">INDEX(PPE_and_intangibles,$A63,AH$52)</f>
        <v>-23.491793023281769</v>
      </c>
      <c r="AI63" s="573" cm="1">
        <f t="array" ref="AI63">INDEX(PPE_and_intangibles,$A63,AI$52)</f>
        <v>-25.80525656865419</v>
      </c>
      <c r="AJ63" s="573" cm="1">
        <f t="array" ref="AJ63">INDEX(PPE_and_intangibles,$A63,AJ$52)</f>
        <v>-28.428934860153472</v>
      </c>
      <c r="AK63" s="573" cm="1">
        <f t="array" ref="AK63">INDEX(PPE_and_intangibles,$A63,AK$52)</f>
        <v>-31.354505456960499</v>
      </c>
      <c r="AL63" s="573" cm="1">
        <f t="array" ref="AL63">INDEX(PPE_and_intangibles,$A63,AL$52)</f>
        <v>-34.595832164511883</v>
      </c>
      <c r="AM63" s="573" cm="1">
        <f t="array" ref="AM63">INDEX(PPE_and_intangibles,$A63,AM$52)</f>
        <v>-38.192982590971113</v>
      </c>
      <c r="AN63" s="573" cm="1">
        <f t="array" ref="AN63">INDEX(PPE_and_intangibles,$A63,AN$52)</f>
        <v>-42.189966754143533</v>
      </c>
      <c r="AO63" s="573" cm="1">
        <f t="array" ref="AO63">INDEX(PPE_and_intangibles,$A63,AO$52)</f>
        <v>-46.635554130854025</v>
      </c>
      <c r="AP63" s="573" cm="1">
        <f t="array" ref="AP63">INDEX(PPE_and_intangibles,$A63,AP$52)</f>
        <v>-51.584098753400909</v>
      </c>
    </row>
    <row r="64" spans="1:50" ht="20.100000000000001" customHeight="1">
      <c r="B64" s="573"/>
      <c r="C64" s="573" t="s">
        <v>1758</v>
      </c>
      <c r="D64" s="573"/>
      <c r="E64" s="573"/>
      <c r="F64" s="573"/>
      <c r="G64" s="573">
        <f>G81*0.34</f>
        <v>0</v>
      </c>
      <c r="H64" s="573">
        <f t="shared" ref="H64:V64" si="19">H81*0.3</f>
        <v>0</v>
      </c>
      <c r="I64" s="573">
        <f t="shared" si="19"/>
        <v>0</v>
      </c>
      <c r="J64" s="573">
        <f t="shared" si="19"/>
        <v>0</v>
      </c>
      <c r="K64" s="573">
        <f t="shared" si="19"/>
        <v>0</v>
      </c>
      <c r="L64" s="573">
        <f t="shared" si="19"/>
        <v>0</v>
      </c>
      <c r="M64" s="573">
        <f t="shared" si="19"/>
        <v>0</v>
      </c>
      <c r="N64" s="573">
        <f t="shared" si="19"/>
        <v>0</v>
      </c>
      <c r="O64" s="573">
        <f t="shared" si="19"/>
        <v>0</v>
      </c>
      <c r="P64" s="573">
        <f t="shared" si="19"/>
        <v>0</v>
      </c>
      <c r="Q64" s="573">
        <f t="shared" si="19"/>
        <v>0</v>
      </c>
      <c r="R64" s="573">
        <f t="shared" si="19"/>
        <v>0</v>
      </c>
      <c r="S64" s="573">
        <f t="shared" si="19"/>
        <v>0</v>
      </c>
      <c r="T64" s="573">
        <f t="shared" si="19"/>
        <v>0</v>
      </c>
      <c r="U64" s="573">
        <f t="shared" si="19"/>
        <v>0</v>
      </c>
      <c r="V64" s="573">
        <f t="shared" si="19"/>
        <v>0</v>
      </c>
      <c r="W64" s="573"/>
      <c r="X64" s="573"/>
      <c r="Y64" s="573">
        <f t="shared" ref="Y64:AN64" si="20">Y81*0.3</f>
        <v>0</v>
      </c>
      <c r="Z64" s="573">
        <f t="shared" si="20"/>
        <v>0</v>
      </c>
      <c r="AA64" s="573">
        <f t="shared" si="20"/>
        <v>0</v>
      </c>
      <c r="AB64" s="573">
        <f t="shared" si="20"/>
        <v>0</v>
      </c>
      <c r="AC64" s="573">
        <f t="shared" si="20"/>
        <v>0</v>
      </c>
      <c r="AD64" s="573">
        <f t="shared" si="20"/>
        <v>0</v>
      </c>
      <c r="AE64" s="573">
        <f t="shared" si="20"/>
        <v>0</v>
      </c>
      <c r="AF64" s="573">
        <f t="shared" si="20"/>
        <v>0</v>
      </c>
      <c r="AG64" s="573">
        <f t="shared" si="20"/>
        <v>0</v>
      </c>
      <c r="AH64" s="573">
        <f t="shared" si="20"/>
        <v>0</v>
      </c>
      <c r="AI64" s="573">
        <f t="shared" si="20"/>
        <v>0</v>
      </c>
      <c r="AJ64" s="573">
        <f t="shared" si="20"/>
        <v>0</v>
      </c>
      <c r="AK64" s="573">
        <f t="shared" si="20"/>
        <v>0</v>
      </c>
      <c r="AL64" s="573">
        <f t="shared" si="20"/>
        <v>0</v>
      </c>
      <c r="AM64" s="573">
        <f t="shared" si="20"/>
        <v>0</v>
      </c>
      <c r="AN64" s="573">
        <f t="shared" si="20"/>
        <v>0</v>
      </c>
      <c r="AO64" s="573">
        <f t="shared" ref="AO64:AP64" si="21">AO81*0.3</f>
        <v>0</v>
      </c>
      <c r="AP64" s="573">
        <f t="shared" si="21"/>
        <v>0</v>
      </c>
    </row>
    <row r="65" spans="1:42" ht="20.100000000000001" customHeight="1">
      <c r="A65" s="564">
        <f>ROW(MODEL!A52)</f>
        <v>52</v>
      </c>
      <c r="B65" s="573"/>
      <c r="C65" s="573" t="s">
        <v>1754</v>
      </c>
      <c r="D65" s="573"/>
      <c r="E65" s="573"/>
      <c r="F65" s="573"/>
      <c r="G65" s="573" t="e">
        <v>#REF!</v>
      </c>
      <c r="H65" s="573" t="e">
        <v>#REF!</v>
      </c>
      <c r="I65" s="573" t="e">
        <v>#REF!</v>
      </c>
      <c r="J65" s="573" t="e">
        <v>#REF!</v>
      </c>
      <c r="K65" s="573" t="e">
        <v>#REF!</v>
      </c>
      <c r="L65" s="573" t="e">
        <v>#REF!</v>
      </c>
      <c r="M65" s="573" t="e">
        <v>#REF!</v>
      </c>
      <c r="N65" s="573" t="e">
        <v>#REF!</v>
      </c>
      <c r="O65" s="573" t="e">
        <v>#REF!</v>
      </c>
      <c r="P65" s="573" t="e">
        <v>#REF!</v>
      </c>
      <c r="Q65" s="573" t="e">
        <v>#REF!</v>
      </c>
      <c r="R65" s="573" t="e">
        <v>#REF!</v>
      </c>
      <c r="S65" s="573" t="e">
        <v>#REF!</v>
      </c>
      <c r="T65" s="573" t="e">
        <v>#REF!</v>
      </c>
      <c r="U65" s="573" t="e">
        <v>#REF!</v>
      </c>
      <c r="V65" s="573" t="e">
        <v>#REF!</v>
      </c>
      <c r="W65" s="573"/>
      <c r="X65" s="573"/>
      <c r="Y65" s="573">
        <f t="shared" ref="Y65:AP65" si="22">INDEX(model,$A65,Y$52)</f>
        <v>-26.925999999999998</v>
      </c>
      <c r="Z65" s="573">
        <f t="shared" si="22"/>
        <v>-29.024000000000001</v>
      </c>
      <c r="AA65" s="573">
        <f t="shared" si="22"/>
        <v>-36.435000000000002</v>
      </c>
      <c r="AB65" s="573">
        <f t="shared" si="22"/>
        <v>-42.116999999999997</v>
      </c>
      <c r="AC65" s="573">
        <f t="shared" si="22"/>
        <v>-40.783000000000001</v>
      </c>
      <c r="AD65" s="573">
        <f t="shared" si="22"/>
        <v>-47.18</v>
      </c>
      <c r="AE65" s="573">
        <f t="shared" si="22"/>
        <v>-54.043999999999997</v>
      </c>
      <c r="AF65" s="573">
        <f t="shared" si="22"/>
        <v>-54.011184896663991</v>
      </c>
      <c r="AG65" s="573">
        <f t="shared" si="22"/>
        <v>-63.836243238148086</v>
      </c>
      <c r="AH65" s="573">
        <f t="shared" si="22"/>
        <v>-73.947735638529636</v>
      </c>
      <c r="AI65" s="573">
        <f t="shared" si="22"/>
        <v>-85.408212935278215</v>
      </c>
      <c r="AJ65" s="573">
        <f t="shared" si="22"/>
        <v>-98.265360078100869</v>
      </c>
      <c r="AK65" s="573">
        <f t="shared" si="22"/>
        <v>-112.66258689914326</v>
      </c>
      <c r="AL65" s="573">
        <f t="shared" si="22"/>
        <v>-127.91872183137787</v>
      </c>
      <c r="AM65" s="573">
        <f t="shared" si="22"/>
        <v>-144.95668234245724</v>
      </c>
      <c r="AN65" s="573">
        <f t="shared" si="22"/>
        <v>-164.12177352656278</v>
      </c>
      <c r="AO65" s="573">
        <f t="shared" si="22"/>
        <v>-185.85187496322234</v>
      </c>
      <c r="AP65" s="573">
        <f t="shared" si="22"/>
        <v>-210.00645992000926</v>
      </c>
    </row>
    <row r="66" spans="1:42" ht="20.100000000000001" customHeight="1">
      <c r="B66" s="573"/>
      <c r="C66" s="573" t="s">
        <v>1759</v>
      </c>
      <c r="D66" s="573"/>
      <c r="E66" s="573"/>
      <c r="F66" s="573"/>
      <c r="G66" s="609">
        <f>G60*0.36</f>
        <v>-7.9559999999999992E-2</v>
      </c>
      <c r="H66" s="609">
        <f>H60*0.36</f>
        <v>0.15156</v>
      </c>
      <c r="I66" s="609">
        <f t="shared" ref="I66:V66" si="23">I60*0.3</f>
        <v>0.126</v>
      </c>
      <c r="J66" s="609">
        <f t="shared" si="23"/>
        <v>0.43259999999999998</v>
      </c>
      <c r="K66" s="609">
        <f t="shared" si="23"/>
        <v>0.58319999999999994</v>
      </c>
      <c r="L66" s="609">
        <f t="shared" si="23"/>
        <v>0.43769999999999992</v>
      </c>
      <c r="M66" s="609">
        <f t="shared" si="23"/>
        <v>0.86219999999999997</v>
      </c>
      <c r="N66" s="609">
        <f t="shared" si="23"/>
        <v>0.62579999999999991</v>
      </c>
      <c r="O66" s="609">
        <f t="shared" si="23"/>
        <v>0.46560000000000001</v>
      </c>
      <c r="P66" s="609">
        <f t="shared" si="23"/>
        <v>0.23910000000000001</v>
      </c>
      <c r="Q66" s="609">
        <f t="shared" si="23"/>
        <v>0.22019999999999998</v>
      </c>
      <c r="R66" s="609">
        <f t="shared" si="23"/>
        <v>0.1353</v>
      </c>
      <c r="S66" s="609">
        <f t="shared" si="23"/>
        <v>0.1215</v>
      </c>
      <c r="T66" s="609">
        <f t="shared" si="23"/>
        <v>0.73740000000000006</v>
      </c>
      <c r="U66" s="609">
        <f t="shared" si="23"/>
        <v>0.73529999999999995</v>
      </c>
      <c r="V66" s="609">
        <f t="shared" si="23"/>
        <v>0.98909999999999998</v>
      </c>
      <c r="W66" s="609"/>
      <c r="X66" s="609"/>
      <c r="Y66" s="609">
        <f t="shared" ref="Y66:AN66" si="24">-Y60*0.3</f>
        <v>-0.91020000000000001</v>
      </c>
      <c r="Z66" s="609">
        <f t="shared" si="24"/>
        <v>-1.9763999999999999</v>
      </c>
      <c r="AA66" s="609">
        <f t="shared" si="24"/>
        <v>-2.3438999999999997</v>
      </c>
      <c r="AB66" s="609">
        <f t="shared" si="24"/>
        <v>-2.3613</v>
      </c>
      <c r="AC66" s="609">
        <f t="shared" si="24"/>
        <v>-5.0670000000000002</v>
      </c>
      <c r="AD66" s="609">
        <f t="shared" si="24"/>
        <v>-4.6487999999999996</v>
      </c>
      <c r="AE66" s="609">
        <f t="shared" si="24"/>
        <v>-3.1445999999999996</v>
      </c>
      <c r="AF66" s="609">
        <f t="shared" si="24"/>
        <v>-3.9372224929071287</v>
      </c>
      <c r="AG66" s="609">
        <f t="shared" si="24"/>
        <v>-3.1410152933610727</v>
      </c>
      <c r="AH66" s="609">
        <f t="shared" si="24"/>
        <v>-1.9968389999999989</v>
      </c>
      <c r="AI66" s="609">
        <f t="shared" si="24"/>
        <v>-1.7929475142758522</v>
      </c>
      <c r="AJ66" s="609">
        <f t="shared" si="24"/>
        <v>-1.2874409545987471</v>
      </c>
      <c r="AK66" s="609">
        <f t="shared" si="24"/>
        <v>-0.97918350758625383</v>
      </c>
      <c r="AL66" s="609">
        <f t="shared" si="24"/>
        <v>-0.30479682408804176</v>
      </c>
      <c r="AM66" s="609">
        <f t="shared" si="24"/>
        <v>0.23245687025996042</v>
      </c>
      <c r="AN66" s="609">
        <f t="shared" si="24"/>
        <v>0.7280963341233736</v>
      </c>
      <c r="AO66" s="609">
        <f t="shared" ref="AO66:AP66" si="25">-AO60*0.3</f>
        <v>1.3386040643107544</v>
      </c>
      <c r="AP66" s="609">
        <f t="shared" si="25"/>
        <v>2.0579713868940308</v>
      </c>
    </row>
    <row r="67" spans="1:42" ht="20.100000000000001" customHeight="1">
      <c r="B67" s="573"/>
      <c r="C67" s="585" t="s">
        <v>1752</v>
      </c>
      <c r="D67" s="585"/>
      <c r="E67" s="585"/>
      <c r="F67" s="585"/>
      <c r="G67" s="585" t="e">
        <f t="shared" ref="G67:V67" si="26">SUM(G59:G81)</f>
        <v>#VALUE!</v>
      </c>
      <c r="H67" s="585" t="e">
        <f t="shared" si="26"/>
        <v>#VALUE!</v>
      </c>
      <c r="I67" s="585" t="e">
        <f t="shared" si="26"/>
        <v>#VALUE!</v>
      </c>
      <c r="J67" s="585" t="e">
        <f t="shared" si="26"/>
        <v>#VALUE!</v>
      </c>
      <c r="K67" s="585" t="e">
        <f t="shared" si="26"/>
        <v>#VALUE!</v>
      </c>
      <c r="L67" s="585" t="e">
        <f t="shared" si="26"/>
        <v>#VALUE!</v>
      </c>
      <c r="M67" s="585" t="e">
        <f t="shared" si="26"/>
        <v>#VALUE!</v>
      </c>
      <c r="N67" s="585" t="e">
        <f t="shared" si="26"/>
        <v>#VALUE!</v>
      </c>
      <c r="O67" s="585" t="e">
        <f t="shared" si="26"/>
        <v>#VALUE!</v>
      </c>
      <c r="P67" s="585" t="e">
        <f t="shared" si="26"/>
        <v>#VALUE!</v>
      </c>
      <c r="Q67" s="585" t="e">
        <f t="shared" si="26"/>
        <v>#VALUE!</v>
      </c>
      <c r="R67" s="585" t="e">
        <f t="shared" si="26"/>
        <v>#VALUE!</v>
      </c>
      <c r="S67" s="585" t="e">
        <f t="shared" si="26"/>
        <v>#VALUE!</v>
      </c>
      <c r="T67" s="585" t="e">
        <f t="shared" si="26"/>
        <v>#VALUE!</v>
      </c>
      <c r="U67" s="585" t="e">
        <f t="shared" si="26"/>
        <v>#VALUE!</v>
      </c>
      <c r="V67" s="585" t="e">
        <f t="shared" si="26"/>
        <v>#VALUE!</v>
      </c>
      <c r="W67" s="585"/>
      <c r="X67" s="585"/>
      <c r="Y67" s="585">
        <f>SUM(Y59:Y66)</f>
        <v>86.124799999999993</v>
      </c>
      <c r="Z67" s="585">
        <f t="shared" ref="Z67:AN67" si="27">SUM(Z59:Z66)</f>
        <v>92.324600000000004</v>
      </c>
      <c r="AA67" s="585">
        <f t="shared" si="27"/>
        <v>115.82609999999998</v>
      </c>
      <c r="AB67" s="585">
        <f t="shared" si="27"/>
        <v>134.05570000000003</v>
      </c>
      <c r="AC67" s="585">
        <f t="shared" si="27"/>
        <v>149.86999999999995</v>
      </c>
      <c r="AD67" s="585">
        <f t="shared" si="27"/>
        <v>168.59219999999999</v>
      </c>
      <c r="AE67" s="585">
        <f t="shared" si="27"/>
        <v>187.71739999999997</v>
      </c>
      <c r="AF67" s="585">
        <f t="shared" si="27"/>
        <v>199.41668616152452</v>
      </c>
      <c r="AG67" s="585">
        <f t="shared" si="27"/>
        <v>226.38312186409547</v>
      </c>
      <c r="AH67" s="585">
        <f t="shared" si="27"/>
        <v>254.47951810388665</v>
      </c>
      <c r="AI67" s="585">
        <f t="shared" si="27"/>
        <v>288.59910598219233</v>
      </c>
      <c r="AJ67" s="585">
        <f t="shared" si="27"/>
        <v>325.76068969774957</v>
      </c>
      <c r="AK67" s="585">
        <f t="shared" si="27"/>
        <v>367.63401489837111</v>
      </c>
      <c r="AL67" s="585">
        <f t="shared" si="27"/>
        <v>413.0807866562817</v>
      </c>
      <c r="AM67" s="585">
        <f t="shared" si="27"/>
        <v>464.320956202209</v>
      </c>
      <c r="AN67" s="585">
        <f t="shared" si="27"/>
        <v>522.11676405367439</v>
      </c>
      <c r="AO67" s="585">
        <f t="shared" ref="AO67:AP67" si="28">SUM(AO59:AO66)</f>
        <v>587.33624603020746</v>
      </c>
      <c r="AP67" s="585">
        <f t="shared" si="28"/>
        <v>659.78972241283964</v>
      </c>
    </row>
    <row r="68" spans="1:42" ht="20.100000000000001" customHeight="1">
      <c r="B68" s="573"/>
      <c r="C68" s="585"/>
      <c r="D68" s="585"/>
      <c r="E68" s="585"/>
      <c r="F68" s="585"/>
      <c r="G68" s="585"/>
      <c r="H68" s="585"/>
      <c r="I68" s="585"/>
      <c r="J68" s="585"/>
      <c r="K68" s="585"/>
      <c r="L68" s="585"/>
      <c r="M68" s="585"/>
      <c r="N68" s="585"/>
      <c r="O68" s="585"/>
      <c r="P68" s="585"/>
      <c r="Q68" s="585"/>
      <c r="R68" s="585"/>
      <c r="S68" s="585"/>
      <c r="T68" s="585"/>
      <c r="U68" s="585"/>
      <c r="V68" s="585"/>
      <c r="W68" s="585"/>
      <c r="X68" s="585"/>
      <c r="Y68" s="585"/>
      <c r="Z68" s="585"/>
      <c r="AA68" s="585"/>
      <c r="AB68" s="585"/>
      <c r="AC68" s="585"/>
      <c r="AD68" s="585"/>
      <c r="AE68" s="585"/>
      <c r="AF68" s="585"/>
      <c r="AG68" s="585"/>
      <c r="AH68" s="585"/>
      <c r="AI68" s="585"/>
      <c r="AJ68" s="585"/>
      <c r="AK68" s="585"/>
      <c r="AL68" s="585"/>
      <c r="AM68" s="585"/>
      <c r="AN68" s="585"/>
      <c r="AO68" s="585"/>
      <c r="AP68" s="585"/>
    </row>
    <row r="69" spans="1:42" ht="20.100000000000001" customHeight="1">
      <c r="A69" s="545">
        <f>ROW(MODEL!A93)</f>
        <v>93</v>
      </c>
      <c r="B69" s="573"/>
      <c r="C69" s="573" t="s">
        <v>1749</v>
      </c>
      <c r="D69" s="573"/>
      <c r="E69" s="573"/>
      <c r="F69" s="573"/>
      <c r="G69" s="573" t="e">
        <v>#VALUE!</v>
      </c>
      <c r="H69" s="573" t="e">
        <v>#VALUE!</v>
      </c>
      <c r="I69" s="573" t="e">
        <v>#VALUE!</v>
      </c>
      <c r="J69" s="573" t="e">
        <v>#VALUE!</v>
      </c>
      <c r="K69" s="573" t="e">
        <v>#VALUE!</v>
      </c>
      <c r="L69" s="573" t="e">
        <v>#VALUE!</v>
      </c>
      <c r="M69" s="573" t="e">
        <v>#VALUE!</v>
      </c>
      <c r="N69" s="573" t="e">
        <v>#VALUE!</v>
      </c>
      <c r="O69" s="573" t="e">
        <v>#VALUE!</v>
      </c>
      <c r="P69" s="573" t="e">
        <v>#VALUE!</v>
      </c>
      <c r="Q69" s="573" t="e">
        <v>#VALUE!</v>
      </c>
      <c r="R69" s="573" t="e">
        <v>#VALUE!</v>
      </c>
      <c r="S69" s="573" t="e">
        <v>#VALUE!</v>
      </c>
      <c r="T69" s="573" t="e">
        <v>#VALUE!</v>
      </c>
      <c r="U69" s="573" t="e">
        <v>#VALUE!</v>
      </c>
      <c r="V69" s="573" t="e">
        <v>#VALUE!</v>
      </c>
      <c r="W69" s="573"/>
      <c r="X69" s="573"/>
      <c r="Y69" s="573">
        <f t="shared" ref="Y69:AP69" si="29">INDEX(model,$A69,Y$52)</f>
        <v>-55.149999999999984</v>
      </c>
      <c r="Z69" s="573">
        <f t="shared" si="29"/>
        <v>37.162999999999982</v>
      </c>
      <c r="AA69" s="573">
        <f t="shared" si="29"/>
        <v>3.3959999999999866</v>
      </c>
      <c r="AB69" s="573">
        <f t="shared" si="29"/>
        <v>-184.61500000000004</v>
      </c>
      <c r="AC69" s="573">
        <f t="shared" si="29"/>
        <v>-64.240999999999971</v>
      </c>
      <c r="AD69" s="573">
        <f t="shared" si="29"/>
        <v>118.40900000000002</v>
      </c>
      <c r="AE69" s="573">
        <f t="shared" si="29"/>
        <v>-31.790999999999997</v>
      </c>
      <c r="AF69" s="573">
        <f t="shared" si="29"/>
        <v>-104.3119666536852</v>
      </c>
      <c r="AG69" s="573">
        <f t="shared" si="29"/>
        <v>79.223870907315472</v>
      </c>
      <c r="AH69" s="573">
        <f t="shared" si="29"/>
        <v>-43.324633316883876</v>
      </c>
      <c r="AI69" s="573">
        <f t="shared" si="29"/>
        <v>17.356848317392746</v>
      </c>
      <c r="AJ69" s="573">
        <f t="shared" si="29"/>
        <v>-21.544012980083892</v>
      </c>
      <c r="AK69" s="573">
        <f t="shared" si="29"/>
        <v>-47.463685822729417</v>
      </c>
      <c r="AL69" s="573">
        <f t="shared" si="29"/>
        <v>-46.963996771524648</v>
      </c>
      <c r="AM69" s="573">
        <f t="shared" si="29"/>
        <v>-51.723690849529248</v>
      </c>
      <c r="AN69" s="573">
        <f t="shared" si="29"/>
        <v>-64.05555145271137</v>
      </c>
      <c r="AO69" s="573">
        <f t="shared" si="29"/>
        <v>-71.34998588678468</v>
      </c>
      <c r="AP69" s="573">
        <f t="shared" si="29"/>
        <v>-79.599013489670369</v>
      </c>
    </row>
    <row r="70" spans="1:42" ht="20.100000000000001" hidden="1" customHeight="1">
      <c r="B70" s="573"/>
      <c r="C70" s="585" t="s">
        <v>1753</v>
      </c>
      <c r="D70" s="573"/>
      <c r="E70" s="573"/>
      <c r="F70" s="573"/>
      <c r="G70" s="573"/>
      <c r="H70" s="573"/>
      <c r="I70" s="573"/>
      <c r="J70" s="573"/>
      <c r="K70" s="573"/>
      <c r="L70" s="573"/>
      <c r="M70" s="573"/>
      <c r="N70" s="573"/>
      <c r="O70" s="573"/>
      <c r="P70" s="573"/>
      <c r="Q70" s="573"/>
      <c r="R70" s="573"/>
      <c r="S70" s="573"/>
      <c r="T70" s="573"/>
      <c r="U70" s="573"/>
      <c r="V70" s="573"/>
      <c r="W70" s="573"/>
      <c r="X70" s="573"/>
      <c r="Y70" s="573"/>
      <c r="Z70" s="573"/>
      <c r="AA70" s="573"/>
      <c r="AB70" s="573"/>
      <c r="AC70" s="573"/>
      <c r="AD70" s="573"/>
      <c r="AE70" s="573"/>
      <c r="AF70" s="573"/>
      <c r="AG70" s="573"/>
      <c r="AH70" s="573"/>
      <c r="AI70" s="573"/>
      <c r="AJ70" s="573"/>
      <c r="AK70" s="573"/>
      <c r="AL70" s="573"/>
      <c r="AM70" s="573"/>
      <c r="AN70" s="573"/>
      <c r="AO70" s="573"/>
      <c r="AP70" s="573"/>
    </row>
    <row r="71" spans="1:42" ht="20.100000000000001" hidden="1" customHeight="1">
      <c r="B71" s="573"/>
      <c r="C71" s="573" t="s">
        <v>1755</v>
      </c>
      <c r="D71" s="573"/>
      <c r="E71" s="573"/>
      <c r="F71" s="573"/>
      <c r="G71" s="573" t="e">
        <f>G61*0.34</f>
        <v>#VALUE!</v>
      </c>
      <c r="H71" s="573" t="e">
        <f t="shared" ref="H71:V71" si="30">H61*0.3</f>
        <v>#VALUE!</v>
      </c>
      <c r="I71" s="573" t="e">
        <f t="shared" si="30"/>
        <v>#VALUE!</v>
      </c>
      <c r="J71" s="573" t="e">
        <f t="shared" si="30"/>
        <v>#VALUE!</v>
      </c>
      <c r="K71" s="573" t="e">
        <f t="shared" si="30"/>
        <v>#VALUE!</v>
      </c>
      <c r="L71" s="573" t="e">
        <f t="shared" si="30"/>
        <v>#VALUE!</v>
      </c>
      <c r="M71" s="573" t="e">
        <f t="shared" si="30"/>
        <v>#VALUE!</v>
      </c>
      <c r="N71" s="573" t="e">
        <f t="shared" si="30"/>
        <v>#VALUE!</v>
      </c>
      <c r="O71" s="573" t="e">
        <f t="shared" si="30"/>
        <v>#VALUE!</v>
      </c>
      <c r="P71" s="573" t="e">
        <f t="shared" si="30"/>
        <v>#VALUE!</v>
      </c>
      <c r="Q71" s="573" t="e">
        <f t="shared" si="30"/>
        <v>#VALUE!</v>
      </c>
      <c r="R71" s="573" t="e">
        <f t="shared" si="30"/>
        <v>#VALUE!</v>
      </c>
      <c r="S71" s="573" t="e">
        <f t="shared" si="30"/>
        <v>#VALUE!</v>
      </c>
      <c r="T71" s="573" t="e">
        <f t="shared" si="30"/>
        <v>#VALUE!</v>
      </c>
      <c r="U71" s="573" t="e">
        <f t="shared" si="30"/>
        <v>#VALUE!</v>
      </c>
      <c r="V71" s="573" t="e">
        <f t="shared" si="30"/>
        <v>#VALUE!</v>
      </c>
      <c r="W71" s="573"/>
      <c r="X71" s="573"/>
      <c r="Y71" s="573">
        <f t="shared" ref="Y71:AN71" si="31">Y61*0.3</f>
        <v>0</v>
      </c>
      <c r="Z71" s="573">
        <f t="shared" si="31"/>
        <v>0</v>
      </c>
      <c r="AA71" s="573">
        <f t="shared" si="31"/>
        <v>0</v>
      </c>
      <c r="AB71" s="573">
        <f t="shared" si="31"/>
        <v>0</v>
      </c>
      <c r="AC71" s="573">
        <f t="shared" si="31"/>
        <v>0</v>
      </c>
      <c r="AD71" s="573">
        <f t="shared" si="31"/>
        <v>0</v>
      </c>
      <c r="AE71" s="573">
        <f t="shared" si="31"/>
        <v>0</v>
      </c>
      <c r="AF71" s="573">
        <f t="shared" si="31"/>
        <v>0</v>
      </c>
      <c r="AG71" s="573">
        <f t="shared" si="31"/>
        <v>0</v>
      </c>
      <c r="AH71" s="573">
        <f t="shared" si="31"/>
        <v>0</v>
      </c>
      <c r="AI71" s="573">
        <f t="shared" si="31"/>
        <v>0</v>
      </c>
      <c r="AJ71" s="573">
        <f t="shared" si="31"/>
        <v>0</v>
      </c>
      <c r="AK71" s="573">
        <f t="shared" si="31"/>
        <v>0</v>
      </c>
      <c r="AL71" s="573">
        <f t="shared" si="31"/>
        <v>0</v>
      </c>
      <c r="AM71" s="573">
        <f t="shared" si="31"/>
        <v>0</v>
      </c>
      <c r="AN71" s="573">
        <f t="shared" si="31"/>
        <v>0</v>
      </c>
      <c r="AO71" s="573">
        <f t="shared" ref="AO71:AP71" si="32">AO61*0.3</f>
        <v>0</v>
      </c>
      <c r="AP71" s="573">
        <f t="shared" si="32"/>
        <v>0</v>
      </c>
    </row>
    <row r="72" spans="1:42" ht="20.100000000000001" hidden="1" customHeight="1">
      <c r="B72" s="573"/>
      <c r="C72" s="573" t="s">
        <v>1756</v>
      </c>
      <c r="D72" s="573"/>
      <c r="E72" s="573"/>
      <c r="F72" s="573"/>
      <c r="G72" s="586">
        <v>0</v>
      </c>
      <c r="H72" s="586">
        <v>0</v>
      </c>
      <c r="I72" s="586">
        <v>0</v>
      </c>
      <c r="J72" s="586">
        <v>0</v>
      </c>
      <c r="K72" s="586">
        <v>0</v>
      </c>
      <c r="L72" s="586">
        <v>0</v>
      </c>
      <c r="M72" s="586">
        <v>0</v>
      </c>
      <c r="N72" s="586">
        <v>0</v>
      </c>
      <c r="O72" s="586">
        <v>0</v>
      </c>
      <c r="P72" s="586">
        <v>0</v>
      </c>
      <c r="Q72" s="586">
        <f>0</f>
        <v>0</v>
      </c>
      <c r="R72" s="586">
        <f>0</f>
        <v>0</v>
      </c>
      <c r="S72" s="586">
        <f>0</f>
        <v>0</v>
      </c>
      <c r="T72" s="586">
        <f>0</f>
        <v>0</v>
      </c>
      <c r="U72" s="586">
        <f>0</f>
        <v>0</v>
      </c>
      <c r="V72" s="586">
        <f>0</f>
        <v>0</v>
      </c>
      <c r="W72" s="586"/>
      <c r="X72" s="586"/>
      <c r="Y72" s="586">
        <f>0</f>
        <v>0</v>
      </c>
      <c r="Z72" s="586">
        <f>0</f>
        <v>0</v>
      </c>
      <c r="AA72" s="586">
        <f>0</f>
        <v>0</v>
      </c>
      <c r="AB72" s="586">
        <f>0</f>
        <v>0</v>
      </c>
      <c r="AC72" s="586">
        <f>0</f>
        <v>0</v>
      </c>
      <c r="AD72" s="586">
        <f>0</f>
        <v>0</v>
      </c>
      <c r="AE72" s="586">
        <f>0</f>
        <v>0</v>
      </c>
      <c r="AF72" s="586">
        <f>0</f>
        <v>0</v>
      </c>
      <c r="AG72" s="586">
        <f>0</f>
        <v>0</v>
      </c>
      <c r="AH72" s="586">
        <f>0</f>
        <v>0</v>
      </c>
      <c r="AI72" s="586">
        <f>0</f>
        <v>0</v>
      </c>
      <c r="AJ72" s="586">
        <f>0</f>
        <v>0</v>
      </c>
      <c r="AK72" s="586">
        <f>0</f>
        <v>0</v>
      </c>
      <c r="AL72" s="586">
        <f>0</f>
        <v>0</v>
      </c>
      <c r="AM72" s="586">
        <f>0</f>
        <v>0</v>
      </c>
      <c r="AN72" s="586">
        <f>0</f>
        <v>0</v>
      </c>
      <c r="AO72" s="586">
        <f>0</f>
        <v>0</v>
      </c>
      <c r="AP72" s="586">
        <f>0</f>
        <v>0</v>
      </c>
    </row>
    <row r="73" spans="1:42" ht="20.100000000000001" hidden="1" customHeight="1">
      <c r="B73" s="573"/>
      <c r="C73" s="573" t="s">
        <v>1757</v>
      </c>
      <c r="D73" s="573"/>
      <c r="E73" s="573"/>
      <c r="F73" s="573"/>
      <c r="G73" s="586">
        <v>0</v>
      </c>
      <c r="H73" s="586">
        <v>0</v>
      </c>
      <c r="I73" s="586">
        <v>0</v>
      </c>
      <c r="J73" s="586">
        <v>0</v>
      </c>
      <c r="K73" s="586">
        <v>0</v>
      </c>
      <c r="L73" s="586">
        <v>0</v>
      </c>
      <c r="M73" s="586">
        <v>0</v>
      </c>
      <c r="N73" s="586">
        <v>0</v>
      </c>
      <c r="O73" s="586">
        <v>0</v>
      </c>
      <c r="P73" s="586">
        <v>0</v>
      </c>
      <c r="Q73" s="586">
        <f>0</f>
        <v>0</v>
      </c>
      <c r="R73" s="586">
        <f>0</f>
        <v>0</v>
      </c>
      <c r="S73" s="586">
        <f>0</f>
        <v>0</v>
      </c>
      <c r="T73" s="586">
        <f>0</f>
        <v>0</v>
      </c>
      <c r="U73" s="586">
        <f>0</f>
        <v>0</v>
      </c>
      <c r="V73" s="586">
        <f>0</f>
        <v>0</v>
      </c>
      <c r="W73" s="586"/>
      <c r="X73" s="586"/>
      <c r="Y73" s="586">
        <f>0</f>
        <v>0</v>
      </c>
      <c r="Z73" s="586">
        <f>0</f>
        <v>0</v>
      </c>
      <c r="AA73" s="586">
        <f>0</f>
        <v>0</v>
      </c>
      <c r="AB73" s="586">
        <f>0</f>
        <v>0</v>
      </c>
      <c r="AC73" s="586">
        <f>0</f>
        <v>0</v>
      </c>
      <c r="AD73" s="586">
        <f>0</f>
        <v>0</v>
      </c>
      <c r="AE73" s="586">
        <f>0</f>
        <v>0</v>
      </c>
      <c r="AF73" s="586">
        <f>0</f>
        <v>0</v>
      </c>
      <c r="AG73" s="586">
        <f>0</f>
        <v>0</v>
      </c>
      <c r="AH73" s="586">
        <f>0</f>
        <v>0</v>
      </c>
      <c r="AI73" s="586">
        <f>0</f>
        <v>0</v>
      </c>
      <c r="AJ73" s="586">
        <f>0</f>
        <v>0</v>
      </c>
      <c r="AK73" s="586">
        <f>0</f>
        <v>0</v>
      </c>
      <c r="AL73" s="586">
        <f>0</f>
        <v>0</v>
      </c>
      <c r="AM73" s="586">
        <f>0</f>
        <v>0</v>
      </c>
      <c r="AN73" s="586">
        <f>0</f>
        <v>0</v>
      </c>
      <c r="AO73" s="586">
        <f>0</f>
        <v>0</v>
      </c>
      <c r="AP73" s="586">
        <f>0</f>
        <v>0</v>
      </c>
    </row>
    <row r="74" spans="1:42" ht="20.100000000000001" hidden="1" customHeight="1">
      <c r="B74" s="573"/>
      <c r="C74" s="585" t="s">
        <v>1760</v>
      </c>
      <c r="D74" s="585"/>
      <c r="E74" s="585"/>
      <c r="F74" s="585"/>
      <c r="G74" s="585" t="e">
        <f t="shared" ref="G74:V74" si="33">SUM(G65:G73)</f>
        <v>#REF!</v>
      </c>
      <c r="H74" s="585" t="e">
        <f t="shared" si="33"/>
        <v>#REF!</v>
      </c>
      <c r="I74" s="585" t="e">
        <f t="shared" si="33"/>
        <v>#REF!</v>
      </c>
      <c r="J74" s="585" t="e">
        <f t="shared" si="33"/>
        <v>#REF!</v>
      </c>
      <c r="K74" s="585" t="e">
        <f t="shared" si="33"/>
        <v>#REF!</v>
      </c>
      <c r="L74" s="585" t="e">
        <f t="shared" si="33"/>
        <v>#REF!</v>
      </c>
      <c r="M74" s="585" t="e">
        <f t="shared" si="33"/>
        <v>#REF!</v>
      </c>
      <c r="N74" s="585" t="e">
        <f t="shared" si="33"/>
        <v>#REF!</v>
      </c>
      <c r="O74" s="585" t="e">
        <f t="shared" si="33"/>
        <v>#REF!</v>
      </c>
      <c r="P74" s="585" t="e">
        <f t="shared" si="33"/>
        <v>#REF!</v>
      </c>
      <c r="Q74" s="585" t="e">
        <f t="shared" si="33"/>
        <v>#REF!</v>
      </c>
      <c r="R74" s="585" t="e">
        <f t="shared" si="33"/>
        <v>#REF!</v>
      </c>
      <c r="S74" s="585" t="e">
        <f t="shared" si="33"/>
        <v>#REF!</v>
      </c>
      <c r="T74" s="585" t="e">
        <f t="shared" si="33"/>
        <v>#REF!</v>
      </c>
      <c r="U74" s="585" t="e">
        <f t="shared" si="33"/>
        <v>#REF!</v>
      </c>
      <c r="V74" s="585" t="e">
        <f t="shared" si="33"/>
        <v>#REF!</v>
      </c>
      <c r="W74" s="585"/>
      <c r="X74" s="585"/>
      <c r="Y74" s="585">
        <f t="shared" ref="Y74:AN74" si="34">SUM(Y65:Y73)</f>
        <v>3.1386000000000109</v>
      </c>
      <c r="Z74" s="585">
        <f t="shared" si="34"/>
        <v>98.487199999999987</v>
      </c>
      <c r="AA74" s="585">
        <f t="shared" si="34"/>
        <v>80.443199999999962</v>
      </c>
      <c r="AB74" s="585">
        <f t="shared" si="34"/>
        <v>-95.037599999999998</v>
      </c>
      <c r="AC74" s="585">
        <f t="shared" si="34"/>
        <v>39.778999999999982</v>
      </c>
      <c r="AD74" s="585">
        <f t="shared" si="34"/>
        <v>235.17240000000001</v>
      </c>
      <c r="AE74" s="585">
        <f t="shared" si="34"/>
        <v>98.737799999999993</v>
      </c>
      <c r="AF74" s="585">
        <f t="shared" si="34"/>
        <v>37.156312118268204</v>
      </c>
      <c r="AG74" s="585">
        <f t="shared" si="34"/>
        <v>238.62973423990178</v>
      </c>
      <c r="AH74" s="585">
        <f t="shared" si="34"/>
        <v>135.21031014847313</v>
      </c>
      <c r="AI74" s="585">
        <f t="shared" si="34"/>
        <v>218.75479385003101</v>
      </c>
      <c r="AJ74" s="585">
        <f t="shared" si="34"/>
        <v>204.66387568496606</v>
      </c>
      <c r="AK74" s="585">
        <f t="shared" si="34"/>
        <v>206.52855866891218</v>
      </c>
      <c r="AL74" s="585">
        <f t="shared" si="34"/>
        <v>237.89327122929114</v>
      </c>
      <c r="AM74" s="585">
        <f t="shared" si="34"/>
        <v>267.87303988048245</v>
      </c>
      <c r="AN74" s="585">
        <f t="shared" si="34"/>
        <v>294.66753540852358</v>
      </c>
      <c r="AO74" s="585">
        <f t="shared" ref="AO74:AP74" si="35">SUM(AO65:AO73)</f>
        <v>331.47298924451115</v>
      </c>
      <c r="AP74" s="585">
        <f t="shared" si="35"/>
        <v>372.24222039005406</v>
      </c>
    </row>
    <row r="75" spans="1:42" ht="20.100000000000001" customHeight="1">
      <c r="B75" s="573"/>
      <c r="C75" s="573"/>
      <c r="D75" s="573"/>
      <c r="E75" s="573"/>
      <c r="F75" s="573"/>
      <c r="G75" s="573"/>
      <c r="H75" s="573"/>
      <c r="I75" s="573"/>
      <c r="J75" s="573"/>
      <c r="K75" s="573"/>
      <c r="L75" s="573"/>
      <c r="M75" s="573"/>
      <c r="N75" s="573"/>
      <c r="O75" s="573"/>
      <c r="P75" s="573"/>
      <c r="Q75" s="573"/>
      <c r="R75" s="573"/>
      <c r="S75" s="573"/>
      <c r="T75" s="573"/>
      <c r="U75" s="573"/>
      <c r="V75" s="573"/>
      <c r="W75" s="573"/>
      <c r="X75" s="573"/>
      <c r="Y75" s="573"/>
      <c r="Z75" s="573"/>
      <c r="AA75" s="573"/>
      <c r="AB75" s="573"/>
      <c r="AC75" s="573"/>
      <c r="AD75" s="573"/>
      <c r="AE75" s="573"/>
      <c r="AF75" s="573"/>
      <c r="AG75" s="573"/>
      <c r="AH75" s="573"/>
      <c r="AI75" s="573"/>
      <c r="AJ75" s="573"/>
      <c r="AK75" s="573"/>
      <c r="AL75" s="573"/>
      <c r="AM75" s="573"/>
      <c r="AN75" s="573"/>
      <c r="AO75" s="573"/>
      <c r="AP75" s="573"/>
    </row>
    <row r="76" spans="1:42" ht="20.100000000000001" hidden="1" customHeight="1">
      <c r="B76" s="573"/>
      <c r="C76" s="585" t="s">
        <v>1761</v>
      </c>
      <c r="D76" s="585"/>
      <c r="E76" s="585"/>
      <c r="F76" s="585"/>
      <c r="G76" s="585" t="e">
        <f t="shared" ref="G76:V76" si="36">G67-G74</f>
        <v>#VALUE!</v>
      </c>
      <c r="H76" s="585" t="e">
        <f t="shared" si="36"/>
        <v>#VALUE!</v>
      </c>
      <c r="I76" s="585" t="e">
        <f t="shared" si="36"/>
        <v>#VALUE!</v>
      </c>
      <c r="J76" s="585" t="e">
        <f t="shared" si="36"/>
        <v>#VALUE!</v>
      </c>
      <c r="K76" s="585" t="e">
        <f t="shared" si="36"/>
        <v>#VALUE!</v>
      </c>
      <c r="L76" s="585" t="e">
        <f t="shared" si="36"/>
        <v>#VALUE!</v>
      </c>
      <c r="M76" s="585" t="e">
        <f t="shared" si="36"/>
        <v>#VALUE!</v>
      </c>
      <c r="N76" s="585" t="e">
        <f t="shared" si="36"/>
        <v>#VALUE!</v>
      </c>
      <c r="O76" s="585" t="e">
        <f t="shared" si="36"/>
        <v>#VALUE!</v>
      </c>
      <c r="P76" s="585" t="e">
        <f t="shared" si="36"/>
        <v>#VALUE!</v>
      </c>
      <c r="Q76" s="585" t="e">
        <f t="shared" si="36"/>
        <v>#VALUE!</v>
      </c>
      <c r="R76" s="585" t="e">
        <f t="shared" si="36"/>
        <v>#VALUE!</v>
      </c>
      <c r="S76" s="585" t="e">
        <f t="shared" si="36"/>
        <v>#VALUE!</v>
      </c>
      <c r="T76" s="585" t="e">
        <f t="shared" si="36"/>
        <v>#VALUE!</v>
      </c>
      <c r="U76" s="585" t="e">
        <f t="shared" si="36"/>
        <v>#VALUE!</v>
      </c>
      <c r="V76" s="585" t="e">
        <f t="shared" si="36"/>
        <v>#VALUE!</v>
      </c>
      <c r="W76" s="585"/>
      <c r="X76" s="585"/>
      <c r="Y76" s="585">
        <f t="shared" ref="Y76:AN76" si="37">Y67+Y74</f>
        <v>89.263400000000004</v>
      </c>
      <c r="Z76" s="585">
        <f t="shared" si="37"/>
        <v>190.81180000000001</v>
      </c>
      <c r="AA76" s="585">
        <f t="shared" si="37"/>
        <v>196.26929999999993</v>
      </c>
      <c r="AB76" s="585">
        <f t="shared" si="37"/>
        <v>39.018100000000032</v>
      </c>
      <c r="AC76" s="585">
        <f t="shared" si="37"/>
        <v>189.64899999999994</v>
      </c>
      <c r="AD76" s="585">
        <f t="shared" si="37"/>
        <v>403.76459999999997</v>
      </c>
      <c r="AE76" s="585">
        <f t="shared" si="37"/>
        <v>286.45519999999999</v>
      </c>
      <c r="AF76" s="585">
        <f t="shared" si="37"/>
        <v>236.57299827979273</v>
      </c>
      <c r="AG76" s="585">
        <f t="shared" si="37"/>
        <v>465.01285610399725</v>
      </c>
      <c r="AH76" s="585">
        <f t="shared" si="37"/>
        <v>389.6898282523598</v>
      </c>
      <c r="AI76" s="585">
        <f t="shared" si="37"/>
        <v>507.35389983222331</v>
      </c>
      <c r="AJ76" s="585">
        <f t="shared" si="37"/>
        <v>530.42456538271563</v>
      </c>
      <c r="AK76" s="585">
        <f t="shared" si="37"/>
        <v>574.16257356728329</v>
      </c>
      <c r="AL76" s="585">
        <f t="shared" si="37"/>
        <v>650.97405788557285</v>
      </c>
      <c r="AM76" s="585">
        <f t="shared" si="37"/>
        <v>732.19399608269146</v>
      </c>
      <c r="AN76" s="585">
        <f t="shared" si="37"/>
        <v>816.78429946219796</v>
      </c>
      <c r="AO76" s="585">
        <f t="shared" ref="AO76:AP76" si="38">AO67+AO74</f>
        <v>918.80923527471862</v>
      </c>
      <c r="AP76" s="585">
        <f t="shared" si="38"/>
        <v>1032.0319428028938</v>
      </c>
    </row>
    <row r="77" spans="1:42" ht="20.100000000000001" hidden="1" customHeight="1">
      <c r="B77" s="573"/>
      <c r="C77" s="585" t="s">
        <v>1762</v>
      </c>
      <c r="D77" s="608"/>
      <c r="E77" s="608"/>
      <c r="F77" s="608"/>
      <c r="G77" s="608"/>
      <c r="H77" s="608" t="e">
        <f t="shared" ref="H77:AP77" si="39">IF(G76&lt;=0,"n/a",H76/G76-1)</f>
        <v>#VALUE!</v>
      </c>
      <c r="I77" s="608" t="e">
        <f t="shared" si="39"/>
        <v>#VALUE!</v>
      </c>
      <c r="J77" s="608" t="e">
        <f t="shared" si="39"/>
        <v>#VALUE!</v>
      </c>
      <c r="K77" s="608" t="e">
        <f t="shared" si="39"/>
        <v>#VALUE!</v>
      </c>
      <c r="L77" s="608" t="e">
        <f t="shared" si="39"/>
        <v>#VALUE!</v>
      </c>
      <c r="M77" s="608" t="e">
        <f t="shared" si="39"/>
        <v>#VALUE!</v>
      </c>
      <c r="N77" s="608" t="e">
        <f t="shared" si="39"/>
        <v>#VALUE!</v>
      </c>
      <c r="O77" s="608" t="e">
        <f t="shared" si="39"/>
        <v>#VALUE!</v>
      </c>
      <c r="P77" s="608" t="e">
        <f t="shared" si="39"/>
        <v>#VALUE!</v>
      </c>
      <c r="Q77" s="608" t="e">
        <f t="shared" si="39"/>
        <v>#VALUE!</v>
      </c>
      <c r="R77" s="608" t="e">
        <f t="shared" si="39"/>
        <v>#VALUE!</v>
      </c>
      <c r="S77" s="608" t="e">
        <f t="shared" si="39"/>
        <v>#VALUE!</v>
      </c>
      <c r="T77" s="608" t="e">
        <f t="shared" si="39"/>
        <v>#VALUE!</v>
      </c>
      <c r="U77" s="608" t="e">
        <f t="shared" si="39"/>
        <v>#VALUE!</v>
      </c>
      <c r="V77" s="608" t="e">
        <f t="shared" si="39"/>
        <v>#VALUE!</v>
      </c>
      <c r="W77" s="608"/>
      <c r="X77" s="608"/>
      <c r="Y77" s="608" t="str">
        <f t="shared" si="39"/>
        <v>n/a</v>
      </c>
      <c r="Z77" s="608">
        <f t="shared" si="39"/>
        <v>1.1376263955887853</v>
      </c>
      <c r="AA77" s="608">
        <f t="shared" si="39"/>
        <v>2.8601480621219144E-2</v>
      </c>
      <c r="AB77" s="608">
        <f t="shared" si="39"/>
        <v>-0.80120120670935269</v>
      </c>
      <c r="AC77" s="608">
        <f t="shared" si="39"/>
        <v>3.8605390831434585</v>
      </c>
      <c r="AD77" s="608">
        <f t="shared" si="39"/>
        <v>1.1290099077769988</v>
      </c>
      <c r="AE77" s="608">
        <f t="shared" si="39"/>
        <v>-0.29053909134183631</v>
      </c>
      <c r="AF77" s="608">
        <f t="shared" si="39"/>
        <v>-0.17413613619235147</v>
      </c>
      <c r="AG77" s="608">
        <f t="shared" si="39"/>
        <v>0.96562101121122357</v>
      </c>
      <c r="AH77" s="608">
        <f t="shared" si="39"/>
        <v>-0.16198052777016536</v>
      </c>
      <c r="AI77" s="608">
        <f t="shared" si="39"/>
        <v>0.30194288649398682</v>
      </c>
      <c r="AJ77" s="608">
        <f t="shared" si="39"/>
        <v>4.5472530236037478E-2</v>
      </c>
      <c r="AK77" s="608">
        <f t="shared" si="39"/>
        <v>8.2458488989870737E-2</v>
      </c>
      <c r="AL77" s="608">
        <f t="shared" si="39"/>
        <v>0.13378002651942</v>
      </c>
      <c r="AM77" s="608">
        <f t="shared" si="39"/>
        <v>0.12476678173770694</v>
      </c>
      <c r="AN77" s="608">
        <f t="shared" si="39"/>
        <v>0.115529905779169</v>
      </c>
      <c r="AO77" s="608">
        <f t="shared" si="39"/>
        <v>0.12491050070342657</v>
      </c>
      <c r="AP77" s="608">
        <f t="shared" si="39"/>
        <v>0.12322765507937272</v>
      </c>
    </row>
    <row r="78" spans="1:42" ht="20.100000000000001" hidden="1" customHeight="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573"/>
      <c r="Z78" s="573"/>
      <c r="AA78" s="573"/>
      <c r="AB78" s="573"/>
      <c r="AC78" s="573"/>
      <c r="AD78" s="573"/>
      <c r="AE78" s="573"/>
      <c r="AF78" s="573"/>
      <c r="AG78" s="573"/>
      <c r="AH78" s="573"/>
      <c r="AI78" s="573"/>
      <c r="AJ78" s="573"/>
      <c r="AK78" s="573"/>
      <c r="AL78" s="573"/>
      <c r="AM78" s="573"/>
      <c r="AN78" s="573"/>
      <c r="AO78" s="573"/>
      <c r="AP78" s="573"/>
    </row>
    <row r="79" spans="1:42" ht="20.100000000000001" hidden="1" customHeight="1">
      <c r="B79" s="573"/>
      <c r="C79" s="585" t="s">
        <v>1763</v>
      </c>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row>
    <row r="80" spans="1:42" ht="20.100000000000001" customHeight="1">
      <c r="A80" s="545">
        <f>ROW(MODEL!A99)</f>
        <v>99</v>
      </c>
      <c r="B80" s="573"/>
      <c r="C80" s="573" t="s">
        <v>1764</v>
      </c>
      <c r="D80" s="573"/>
      <c r="E80" s="573"/>
      <c r="F80" s="573"/>
      <c r="G80" s="573" t="e">
        <v>#VALUE!</v>
      </c>
      <c r="H80" s="573" t="e">
        <v>#VALUE!</v>
      </c>
      <c r="I80" s="573" t="e">
        <v>#VALUE!</v>
      </c>
      <c r="J80" s="573" t="e">
        <v>#VALUE!</v>
      </c>
      <c r="K80" s="573" t="e">
        <v>#VALUE!</v>
      </c>
      <c r="L80" s="573" t="e">
        <v>#VALUE!</v>
      </c>
      <c r="M80" s="573" t="e">
        <v>#VALUE!</v>
      </c>
      <c r="N80" s="573" t="e">
        <v>#VALUE!</v>
      </c>
      <c r="O80" s="573" t="e">
        <v>#VALUE!</v>
      </c>
      <c r="P80" s="573" t="e">
        <v>#VALUE!</v>
      </c>
      <c r="Q80" s="573" t="e">
        <v>#VALUE!</v>
      </c>
      <c r="R80" s="573" t="e">
        <v>#VALUE!</v>
      </c>
      <c r="S80" s="573" t="e">
        <v>#VALUE!</v>
      </c>
      <c r="T80" s="573" t="e">
        <v>#VALUE!</v>
      </c>
      <c r="U80" s="573" t="e">
        <v>#VALUE!</v>
      </c>
      <c r="V80" s="573" t="e">
        <v>#VALUE!</v>
      </c>
      <c r="W80" s="573"/>
      <c r="X80" s="573"/>
      <c r="Y80" s="573">
        <f>INDEX(model,$A80,Y$52)</f>
        <v>9.5000000000000001E-2</v>
      </c>
      <c r="Z80" s="573">
        <f t="shared" ref="Y80:AP83" si="40">INDEX(model,$A80,Z$52)</f>
        <v>0.126</v>
      </c>
      <c r="AA80" s="573">
        <f t="shared" si="40"/>
        <v>5.7000000000000002E-3</v>
      </c>
      <c r="AB80" s="573">
        <f t="shared" si="40"/>
        <v>0</v>
      </c>
      <c r="AC80" s="573">
        <f t="shared" si="40"/>
        <v>0</v>
      </c>
      <c r="AD80" s="573">
        <f t="shared" si="40"/>
        <v>0</v>
      </c>
      <c r="AE80" s="573">
        <f t="shared" si="40"/>
        <v>0</v>
      </c>
      <c r="AF80" s="573">
        <f t="shared" si="40"/>
        <v>0</v>
      </c>
      <c r="AG80" s="573">
        <f t="shared" si="40"/>
        <v>0</v>
      </c>
      <c r="AH80" s="573">
        <f t="shared" si="40"/>
        <v>0</v>
      </c>
      <c r="AI80" s="573">
        <f t="shared" si="40"/>
        <v>0</v>
      </c>
      <c r="AJ80" s="573">
        <f t="shared" si="40"/>
        <v>0</v>
      </c>
      <c r="AK80" s="573">
        <f t="shared" si="40"/>
        <v>0</v>
      </c>
      <c r="AL80" s="573">
        <f t="shared" si="40"/>
        <v>0</v>
      </c>
      <c r="AM80" s="573">
        <f t="shared" si="40"/>
        <v>0</v>
      </c>
      <c r="AN80" s="573">
        <f t="shared" si="40"/>
        <v>0</v>
      </c>
      <c r="AO80" s="573">
        <f t="shared" si="40"/>
        <v>0</v>
      </c>
      <c r="AP80" s="573">
        <f t="shared" si="40"/>
        <v>0</v>
      </c>
    </row>
    <row r="81" spans="1:50" ht="20.100000000000001" customHeight="1">
      <c r="B81" s="573"/>
      <c r="C81" s="573" t="s">
        <v>1751</v>
      </c>
      <c r="D81" s="586"/>
      <c r="E81" s="586"/>
      <c r="F81" s="586"/>
      <c r="G81" s="586"/>
      <c r="H81" s="586"/>
      <c r="I81" s="586"/>
      <c r="J81" s="586"/>
      <c r="K81" s="586"/>
      <c r="L81" s="586"/>
      <c r="M81" s="586"/>
      <c r="N81" s="586"/>
      <c r="O81" s="586"/>
      <c r="P81" s="586"/>
      <c r="Q81" s="586"/>
      <c r="R81" s="586"/>
      <c r="S81" s="586"/>
      <c r="T81" s="586"/>
      <c r="U81" s="586"/>
      <c r="V81" s="586"/>
      <c r="W81" s="586"/>
      <c r="X81" s="586"/>
      <c r="Y81" s="586"/>
      <c r="Z81" s="586"/>
      <c r="AA81" s="586"/>
      <c r="AB81" s="586"/>
      <c r="AC81" s="586"/>
      <c r="AD81" s="586"/>
      <c r="AE81" s="586"/>
      <c r="AF81" s="586"/>
      <c r="AG81" s="586"/>
      <c r="AH81" s="586"/>
      <c r="AI81" s="586"/>
      <c r="AJ81" s="586"/>
      <c r="AK81" s="586"/>
      <c r="AL81" s="586"/>
      <c r="AM81" s="586"/>
      <c r="AN81" s="586"/>
      <c r="AO81" s="586"/>
      <c r="AP81" s="586"/>
    </row>
    <row r="82" spans="1:50" ht="20.100000000000001" customHeight="1">
      <c r="A82" s="545">
        <f>ROW(MODEL!A96)</f>
        <v>96</v>
      </c>
      <c r="B82" s="573"/>
      <c r="C82" s="573" t="s">
        <v>1750</v>
      </c>
      <c r="D82" s="573"/>
      <c r="E82" s="573"/>
      <c r="F82" s="573"/>
      <c r="G82" s="573" t="e">
        <v>#VALUE!</v>
      </c>
      <c r="H82" s="573" t="e">
        <v>#VALUE!</v>
      </c>
      <c r="I82" s="573" t="e">
        <v>#VALUE!</v>
      </c>
      <c r="J82" s="573" t="e">
        <v>#VALUE!</v>
      </c>
      <c r="K82" s="573" t="e">
        <v>#VALUE!</v>
      </c>
      <c r="L82" s="573" t="e">
        <v>#VALUE!</v>
      </c>
      <c r="M82" s="573" t="e">
        <v>#VALUE!</v>
      </c>
      <c r="N82" s="573" t="e">
        <v>#VALUE!</v>
      </c>
      <c r="O82" s="573" t="e">
        <v>#VALUE!</v>
      </c>
      <c r="P82" s="573" t="e">
        <v>#VALUE!</v>
      </c>
      <c r="Q82" s="573" t="e">
        <v>#VALUE!</v>
      </c>
      <c r="R82" s="573" t="e">
        <v>#VALUE!</v>
      </c>
      <c r="S82" s="573" t="e">
        <v>#VALUE!</v>
      </c>
      <c r="T82" s="573" t="e">
        <v>#VALUE!</v>
      </c>
      <c r="U82" s="573" t="e">
        <v>#VALUE!</v>
      </c>
      <c r="V82" s="573" t="e">
        <v>#VALUE!</v>
      </c>
      <c r="W82" s="573"/>
      <c r="X82" s="573"/>
      <c r="Y82" s="573">
        <f t="shared" ref="Y82:AP82" si="41">INDEX(model,$A82,Y$52)</f>
        <v>-5.4729999999999999</v>
      </c>
      <c r="Z82" s="573">
        <f t="shared" si="41"/>
        <v>-7.0039999999999996</v>
      </c>
      <c r="AA82" s="573">
        <f t="shared" si="41"/>
        <v>-6.827</v>
      </c>
      <c r="AB82" s="573">
        <f t="shared" si="41"/>
        <v>-16.55</v>
      </c>
      <c r="AC82" s="573">
        <f t="shared" si="41"/>
        <v>-20.478999999999999</v>
      </c>
      <c r="AD82" s="573">
        <f t="shared" si="41"/>
        <v>-24.925000000000001</v>
      </c>
      <c r="AE82" s="573">
        <f t="shared" si="41"/>
        <v>-44.676000000000002</v>
      </c>
      <c r="AF82" s="573">
        <f t="shared" si="41"/>
        <v>-34.249051524332799</v>
      </c>
      <c r="AG82" s="573">
        <f t="shared" si="41"/>
        <v>-33.179430721750798</v>
      </c>
      <c r="AH82" s="573">
        <f t="shared" si="41"/>
        <v>-36.247955207714</v>
      </c>
      <c r="AI82" s="573">
        <f t="shared" si="41"/>
        <v>-40.123235564438566</v>
      </c>
      <c r="AJ82" s="573">
        <f t="shared" si="41"/>
        <v>-44.332989289119304</v>
      </c>
      <c r="AK82" s="573">
        <f t="shared" si="41"/>
        <v>-48.949710722019262</v>
      </c>
      <c r="AL82" s="573">
        <f t="shared" si="41"/>
        <v>-54.086925617530532</v>
      </c>
      <c r="AM82" s="573">
        <f t="shared" si="41"/>
        <v>-59.806445758124127</v>
      </c>
      <c r="AN82" s="573">
        <f t="shared" si="41"/>
        <v>-66.177756647099002</v>
      </c>
      <c r="AO82" s="573">
        <f t="shared" si="41"/>
        <v>-73.279009607366461</v>
      </c>
      <c r="AP82" s="573">
        <f t="shared" si="41"/>
        <v>-81.198146824477618</v>
      </c>
    </row>
    <row r="83" spans="1:50" ht="20.100000000000001" customHeight="1">
      <c r="A83" s="545">
        <f>ROW(MODEL!A98)</f>
        <v>98</v>
      </c>
      <c r="B83" s="573"/>
      <c r="C83" s="573" t="s">
        <v>1765</v>
      </c>
      <c r="D83" s="573"/>
      <c r="E83" s="573"/>
      <c r="F83" s="573"/>
      <c r="G83" s="573" t="e">
        <v>#VALUE!</v>
      </c>
      <c r="H83" s="573" t="e">
        <v>#VALUE!</v>
      </c>
      <c r="I83" s="573" t="e">
        <v>#VALUE!</v>
      </c>
      <c r="J83" s="573" t="e">
        <v>#VALUE!</v>
      </c>
      <c r="K83" s="573" t="e">
        <v>#VALUE!</v>
      </c>
      <c r="L83" s="573" t="e">
        <v>#VALUE!</v>
      </c>
      <c r="M83" s="573" t="e">
        <v>#VALUE!</v>
      </c>
      <c r="N83" s="573" t="e">
        <v>#VALUE!</v>
      </c>
      <c r="O83" s="573" t="e">
        <v>#VALUE!</v>
      </c>
      <c r="P83" s="573" t="e">
        <v>#VALUE!</v>
      </c>
      <c r="Q83" s="573" t="e">
        <v>#VALUE!</v>
      </c>
      <c r="R83" s="573" t="e">
        <v>#VALUE!</v>
      </c>
      <c r="S83" s="573" t="e">
        <v>#VALUE!</v>
      </c>
      <c r="T83" s="573" t="e">
        <v>#VALUE!</v>
      </c>
      <c r="U83" s="573" t="e">
        <v>#VALUE!</v>
      </c>
      <c r="V83" s="573" t="e">
        <v>#VALUE!</v>
      </c>
      <c r="W83" s="573"/>
      <c r="X83" s="573"/>
      <c r="Y83" s="573">
        <f t="shared" si="40"/>
        <v>0</v>
      </c>
      <c r="Z83" s="573">
        <f t="shared" si="40"/>
        <v>-14.289</v>
      </c>
      <c r="AA83" s="573">
        <f t="shared" si="40"/>
        <v>-60.636000000000003</v>
      </c>
      <c r="AB83" s="573">
        <f t="shared" si="40"/>
        <v>0</v>
      </c>
      <c r="AC83" s="573">
        <f t="shared" si="40"/>
        <v>-79.647000000000006</v>
      </c>
      <c r="AD83" s="573">
        <f t="shared" si="40"/>
        <v>0</v>
      </c>
      <c r="AE83" s="573">
        <f t="shared" si="40"/>
        <v>0</v>
      </c>
      <c r="AF83" s="573">
        <f t="shared" si="40"/>
        <v>0</v>
      </c>
      <c r="AG83" s="573">
        <f t="shared" si="40"/>
        <v>0</v>
      </c>
      <c r="AH83" s="573">
        <f t="shared" si="40"/>
        <v>0</v>
      </c>
      <c r="AI83" s="573">
        <f t="shared" si="40"/>
        <v>0</v>
      </c>
      <c r="AJ83" s="573">
        <f t="shared" si="40"/>
        <v>0</v>
      </c>
      <c r="AK83" s="573">
        <f t="shared" si="40"/>
        <v>0</v>
      </c>
      <c r="AL83" s="573">
        <f t="shared" si="40"/>
        <v>0</v>
      </c>
      <c r="AM83" s="573">
        <f t="shared" si="40"/>
        <v>0</v>
      </c>
      <c r="AN83" s="573">
        <f t="shared" si="40"/>
        <v>0</v>
      </c>
      <c r="AO83" s="573">
        <f t="shared" si="40"/>
        <v>0</v>
      </c>
      <c r="AP83" s="573">
        <f t="shared" si="40"/>
        <v>0</v>
      </c>
    </row>
    <row r="84" spans="1:50" ht="20.100000000000001" customHeight="1">
      <c r="A84" s="545">
        <f>ROW(MODEL!A97)</f>
        <v>97</v>
      </c>
      <c r="B84" s="573"/>
      <c r="C84" s="573" t="s">
        <v>1766</v>
      </c>
      <c r="D84" s="573"/>
      <c r="E84" s="573"/>
      <c r="F84" s="573"/>
      <c r="G84" s="573" t="e">
        <v>#VALUE!</v>
      </c>
      <c r="H84" s="573" t="e">
        <v>#VALUE!</v>
      </c>
      <c r="I84" s="573" t="e">
        <v>#VALUE!</v>
      </c>
      <c r="J84" s="573" t="e">
        <v>#VALUE!</v>
      </c>
      <c r="K84" s="573" t="e">
        <v>#VALUE!</v>
      </c>
      <c r="L84" s="573" t="e">
        <v>#VALUE!</v>
      </c>
      <c r="M84" s="573" t="e">
        <v>#VALUE!</v>
      </c>
      <c r="N84" s="573" t="e">
        <v>#VALUE!</v>
      </c>
      <c r="O84" s="573" t="e">
        <v>#VALUE!</v>
      </c>
      <c r="P84" s="573" t="e">
        <v>#VALUE!</v>
      </c>
      <c r="Q84" s="573" t="e">
        <v>#VALUE!</v>
      </c>
      <c r="R84" s="573" t="e">
        <v>#VALUE!</v>
      </c>
      <c r="S84" s="573" t="e">
        <v>#VALUE!</v>
      </c>
      <c r="T84" s="573" t="e">
        <v>#VALUE!</v>
      </c>
      <c r="U84" s="573" t="e">
        <v>#VALUE!</v>
      </c>
      <c r="V84" s="573" t="e">
        <v>#VALUE!</v>
      </c>
      <c r="W84" s="573"/>
      <c r="X84" s="573"/>
      <c r="Y84" s="573">
        <f t="shared" ref="Y84:AP84" si="42">INDEX(model,$A84,Y$52)</f>
        <v>-23.003</v>
      </c>
      <c r="Z84" s="573">
        <f t="shared" si="42"/>
        <v>-31.372</v>
      </c>
      <c r="AA84" s="573">
        <f t="shared" si="42"/>
        <v>-24.288</v>
      </c>
      <c r="AB84" s="573">
        <f t="shared" si="42"/>
        <v>-26.141999999999999</v>
      </c>
      <c r="AC84" s="573">
        <f t="shared" si="42"/>
        <v>-32.764000000000003</v>
      </c>
      <c r="AD84" s="573">
        <f t="shared" si="42"/>
        <v>-37.194000000000003</v>
      </c>
      <c r="AE84" s="573">
        <f t="shared" si="42"/>
        <v>-42.88</v>
      </c>
      <c r="AF84" s="573">
        <f t="shared" si="42"/>
        <v>-46.791253273940043</v>
      </c>
      <c r="AG84" s="573">
        <f t="shared" si="42"/>
        <v>-51.273075239224838</v>
      </c>
      <c r="AH84" s="573">
        <f t="shared" si="42"/>
        <v>-56.485910238784101</v>
      </c>
      <c r="AI84" s="573">
        <f t="shared" si="42"/>
        <v>-61.776777147930005</v>
      </c>
      <c r="AJ84" s="573">
        <f t="shared" si="42"/>
        <v>-67.431886844952331</v>
      </c>
      <c r="AK84" s="573">
        <f t="shared" si="42"/>
        <v>-73.541446124283084</v>
      </c>
      <c r="AL84" s="573">
        <f t="shared" si="42"/>
        <v>-80.251135530368273</v>
      </c>
      <c r="AM84" s="573">
        <f t="shared" si="42"/>
        <v>-87.622403165638246</v>
      </c>
      <c r="AN84" s="573">
        <f t="shared" si="42"/>
        <v>-95.723187141117464</v>
      </c>
      <c r="AO84" s="573">
        <f t="shared" si="42"/>
        <v>-104.62861676034919</v>
      </c>
      <c r="AP84" s="573">
        <f t="shared" si="42"/>
        <v>-114.42179006358981</v>
      </c>
    </row>
    <row r="85" spans="1:50" ht="20.100000000000001" customHeight="1">
      <c r="B85" s="573"/>
      <c r="C85" s="573" t="s">
        <v>1767</v>
      </c>
      <c r="D85" s="573"/>
      <c r="E85" s="573"/>
      <c r="F85" s="573"/>
      <c r="G85" s="573">
        <v>0</v>
      </c>
      <c r="H85" s="573">
        <v>0</v>
      </c>
      <c r="I85" s="573">
        <v>0</v>
      </c>
      <c r="J85" s="573">
        <v>0</v>
      </c>
      <c r="K85" s="573">
        <v>0</v>
      </c>
      <c r="L85" s="573">
        <v>0</v>
      </c>
      <c r="M85" s="573">
        <v>0</v>
      </c>
      <c r="N85" s="573">
        <v>0</v>
      </c>
      <c r="O85" s="573">
        <v>0</v>
      </c>
      <c r="P85" s="573">
        <v>0</v>
      </c>
      <c r="Q85" s="573">
        <f>0</f>
        <v>0</v>
      </c>
      <c r="R85" s="573">
        <f>0</f>
        <v>0</v>
      </c>
      <c r="S85" s="573">
        <f>0</f>
        <v>0</v>
      </c>
      <c r="T85" s="573">
        <f>0</f>
        <v>0</v>
      </c>
      <c r="U85" s="573">
        <f>0</f>
        <v>0</v>
      </c>
      <c r="V85" s="573">
        <f>0</f>
        <v>0</v>
      </c>
      <c r="W85" s="573"/>
      <c r="X85" s="573"/>
      <c r="Y85" s="573">
        <f>0</f>
        <v>0</v>
      </c>
      <c r="Z85" s="573">
        <f>0</f>
        <v>0</v>
      </c>
      <c r="AA85" s="573">
        <f>0</f>
        <v>0</v>
      </c>
      <c r="AB85" s="573">
        <f>0</f>
        <v>0</v>
      </c>
      <c r="AC85" s="573">
        <f>0</f>
        <v>0</v>
      </c>
      <c r="AD85" s="573">
        <f>0</f>
        <v>0</v>
      </c>
      <c r="AE85" s="573">
        <f>0</f>
        <v>0</v>
      </c>
      <c r="AF85" s="573">
        <f>0</f>
        <v>0</v>
      </c>
      <c r="AG85" s="573">
        <f>0</f>
        <v>0</v>
      </c>
      <c r="AH85" s="573">
        <f>0</f>
        <v>0</v>
      </c>
      <c r="AI85" s="573">
        <f>0</f>
        <v>0</v>
      </c>
      <c r="AJ85" s="573">
        <f>0</f>
        <v>0</v>
      </c>
      <c r="AK85" s="573">
        <f>0</f>
        <v>0</v>
      </c>
      <c r="AL85" s="573">
        <f>0</f>
        <v>0</v>
      </c>
      <c r="AM85" s="573">
        <f>0</f>
        <v>0</v>
      </c>
      <c r="AN85" s="573">
        <f>0</f>
        <v>0</v>
      </c>
      <c r="AO85" s="573">
        <f>0</f>
        <v>0</v>
      </c>
      <c r="AP85" s="573">
        <f>0</f>
        <v>0</v>
      </c>
    </row>
    <row r="86" spans="1:50" ht="20.100000000000001" customHeight="1">
      <c r="B86" s="573"/>
      <c r="C86" s="585" t="s">
        <v>1763</v>
      </c>
      <c r="D86" s="585"/>
      <c r="E86" s="585"/>
      <c r="F86" s="585"/>
      <c r="G86" s="585" t="e">
        <f t="shared" ref="G86:V86" si="43">SUM(G80:G85)</f>
        <v>#VALUE!</v>
      </c>
      <c r="H86" s="585" t="e">
        <f t="shared" si="43"/>
        <v>#VALUE!</v>
      </c>
      <c r="I86" s="585" t="e">
        <f t="shared" si="43"/>
        <v>#VALUE!</v>
      </c>
      <c r="J86" s="585" t="e">
        <f t="shared" si="43"/>
        <v>#VALUE!</v>
      </c>
      <c r="K86" s="585" t="e">
        <f t="shared" si="43"/>
        <v>#VALUE!</v>
      </c>
      <c r="L86" s="585" t="e">
        <f t="shared" si="43"/>
        <v>#VALUE!</v>
      </c>
      <c r="M86" s="585" t="e">
        <f t="shared" si="43"/>
        <v>#VALUE!</v>
      </c>
      <c r="N86" s="585" t="e">
        <f t="shared" si="43"/>
        <v>#VALUE!</v>
      </c>
      <c r="O86" s="585" t="e">
        <f t="shared" si="43"/>
        <v>#VALUE!</v>
      </c>
      <c r="P86" s="585" t="e">
        <f t="shared" si="43"/>
        <v>#VALUE!</v>
      </c>
      <c r="Q86" s="585" t="e">
        <f t="shared" si="43"/>
        <v>#VALUE!</v>
      </c>
      <c r="R86" s="585" t="e">
        <f t="shared" si="43"/>
        <v>#VALUE!</v>
      </c>
      <c r="S86" s="585" t="e">
        <f t="shared" si="43"/>
        <v>#VALUE!</v>
      </c>
      <c r="T86" s="585" t="e">
        <f t="shared" si="43"/>
        <v>#VALUE!</v>
      </c>
      <c r="U86" s="585" t="e">
        <f t="shared" si="43"/>
        <v>#VALUE!</v>
      </c>
      <c r="V86" s="585" t="e">
        <f t="shared" si="43"/>
        <v>#VALUE!</v>
      </c>
      <c r="W86" s="585"/>
      <c r="X86" s="585"/>
      <c r="Y86" s="585">
        <f t="shared" ref="Y86:AN86" si="44">SUM(Y80:Y85)</f>
        <v>-28.381</v>
      </c>
      <c r="Z86" s="585">
        <f t="shared" si="44"/>
        <v>-52.539000000000001</v>
      </c>
      <c r="AA86" s="585">
        <f t="shared" si="44"/>
        <v>-91.7453</v>
      </c>
      <c r="AB86" s="585">
        <f t="shared" si="44"/>
        <v>-42.692</v>
      </c>
      <c r="AC86" s="585">
        <f t="shared" si="44"/>
        <v>-132.89000000000001</v>
      </c>
      <c r="AD86" s="585">
        <f t="shared" si="44"/>
        <v>-62.119</v>
      </c>
      <c r="AE86" s="585">
        <f t="shared" si="44"/>
        <v>-87.556000000000012</v>
      </c>
      <c r="AF86" s="585">
        <f t="shared" si="44"/>
        <v>-81.040304798272842</v>
      </c>
      <c r="AG86" s="585">
        <f t="shared" si="44"/>
        <v>-84.452505960975628</v>
      </c>
      <c r="AH86" s="585">
        <f t="shared" si="44"/>
        <v>-92.7338654464981</v>
      </c>
      <c r="AI86" s="585">
        <f t="shared" si="44"/>
        <v>-101.90001271236858</v>
      </c>
      <c r="AJ86" s="585">
        <f t="shared" si="44"/>
        <v>-111.76487613407164</v>
      </c>
      <c r="AK86" s="585">
        <f t="shared" si="44"/>
        <v>-122.49115684630235</v>
      </c>
      <c r="AL86" s="585">
        <f t="shared" si="44"/>
        <v>-134.3380611478988</v>
      </c>
      <c r="AM86" s="585">
        <f t="shared" si="44"/>
        <v>-147.42884892376236</v>
      </c>
      <c r="AN86" s="585">
        <f t="shared" si="44"/>
        <v>-161.90094378821647</v>
      </c>
      <c r="AO86" s="585">
        <f t="shared" ref="AO86:AP86" si="45">SUM(AO80:AO85)</f>
        <v>-177.90762636771564</v>
      </c>
      <c r="AP86" s="585">
        <f t="shared" si="45"/>
        <v>-195.61993688806743</v>
      </c>
    </row>
    <row r="87" spans="1:50" ht="20.100000000000001" customHeight="1">
      <c r="B87" s="573"/>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row>
    <row r="88" spans="1:50" ht="20.100000000000001" customHeight="1">
      <c r="B88" s="573"/>
      <c r="C88" s="573"/>
      <c r="D88" s="573"/>
      <c r="E88" s="573"/>
      <c r="F88" s="573"/>
      <c r="G88" s="573"/>
      <c r="H88" s="573"/>
      <c r="I88" s="573"/>
      <c r="J88" s="573"/>
      <c r="K88" s="573"/>
      <c r="L88" s="573"/>
      <c r="M88" s="573"/>
      <c r="N88" s="573"/>
      <c r="O88" s="573"/>
      <c r="P88" s="573"/>
      <c r="Q88" s="573">
        <v>0.33400000000000002</v>
      </c>
      <c r="R88" s="573">
        <v>0.33</v>
      </c>
      <c r="S88" s="573">
        <v>0.33</v>
      </c>
      <c r="T88" s="573"/>
      <c r="U88" s="573"/>
      <c r="V88" s="573"/>
      <c r="W88" s="573"/>
      <c r="X88" s="573"/>
      <c r="Y88" s="573"/>
      <c r="Z88" s="573"/>
      <c r="AA88" s="573"/>
      <c r="AB88" s="573"/>
      <c r="AC88" s="573"/>
      <c r="AD88" s="573"/>
      <c r="AE88" s="573"/>
      <c r="AF88" s="573"/>
      <c r="AG88" s="573"/>
      <c r="AH88" s="573"/>
      <c r="AI88" s="573"/>
      <c r="AJ88" s="573"/>
      <c r="AK88" s="573"/>
      <c r="AL88" s="573"/>
      <c r="AM88" s="573"/>
      <c r="AN88" s="573"/>
      <c r="AO88" s="573"/>
      <c r="AP88" s="573"/>
    </row>
    <row r="89" spans="1:50" ht="20.100000000000001" customHeight="1">
      <c r="B89" s="573"/>
      <c r="C89" s="585" t="s">
        <v>1768</v>
      </c>
      <c r="D89" s="585"/>
      <c r="E89" s="585"/>
      <c r="F89" s="585"/>
      <c r="G89" s="585" t="e">
        <f t="shared" ref="G89:V89" si="46">G76+G86</f>
        <v>#VALUE!</v>
      </c>
      <c r="H89" s="585" t="e">
        <f t="shared" si="46"/>
        <v>#VALUE!</v>
      </c>
      <c r="I89" s="585" t="e">
        <f t="shared" si="46"/>
        <v>#VALUE!</v>
      </c>
      <c r="J89" s="585" t="e">
        <f t="shared" si="46"/>
        <v>#VALUE!</v>
      </c>
      <c r="K89" s="585" t="e">
        <f t="shared" si="46"/>
        <v>#VALUE!</v>
      </c>
      <c r="L89" s="585" t="e">
        <f t="shared" si="46"/>
        <v>#VALUE!</v>
      </c>
      <c r="M89" s="585" t="e">
        <f t="shared" si="46"/>
        <v>#VALUE!</v>
      </c>
      <c r="N89" s="585" t="e">
        <f t="shared" si="46"/>
        <v>#VALUE!</v>
      </c>
      <c r="O89" s="585" t="e">
        <f t="shared" si="46"/>
        <v>#VALUE!</v>
      </c>
      <c r="P89" s="585" t="e">
        <f t="shared" si="46"/>
        <v>#VALUE!</v>
      </c>
      <c r="Q89" s="585" t="e">
        <f t="shared" si="46"/>
        <v>#VALUE!</v>
      </c>
      <c r="R89" s="585" t="e">
        <f t="shared" si="46"/>
        <v>#VALUE!</v>
      </c>
      <c r="S89" s="585" t="e">
        <f t="shared" si="46"/>
        <v>#VALUE!</v>
      </c>
      <c r="T89" s="585" t="e">
        <f t="shared" si="46"/>
        <v>#VALUE!</v>
      </c>
      <c r="U89" s="585" t="e">
        <f t="shared" si="46"/>
        <v>#VALUE!</v>
      </c>
      <c r="V89" s="585" t="e">
        <f t="shared" si="46"/>
        <v>#VALUE!</v>
      </c>
      <c r="W89" s="585"/>
      <c r="X89" s="585"/>
      <c r="Y89" s="585">
        <f>Y67+Y86+Y69</f>
        <v>2.5938000000000088</v>
      </c>
      <c r="Z89" s="585">
        <f>Z67+Z86+Z69</f>
        <v>76.948599999999985</v>
      </c>
      <c r="AA89" s="585">
        <f t="shared" ref="AA89:AN89" si="47">AA67+AA86+AA69</f>
        <v>27.476799999999969</v>
      </c>
      <c r="AB89" s="585">
        <f t="shared" si="47"/>
        <v>-93.251300000000015</v>
      </c>
      <c r="AC89" s="585">
        <f t="shared" si="47"/>
        <v>-47.261000000000038</v>
      </c>
      <c r="AD89" s="585">
        <f t="shared" si="47"/>
        <v>224.88220000000001</v>
      </c>
      <c r="AE89" s="585">
        <f t="shared" si="47"/>
        <v>68.370399999999961</v>
      </c>
      <c r="AF89" s="585">
        <f t="shared" si="47"/>
        <v>14.064414709566478</v>
      </c>
      <c r="AG89" s="585">
        <f t="shared" si="47"/>
        <v>221.15448681043532</v>
      </c>
      <c r="AH89" s="585">
        <f t="shared" si="47"/>
        <v>118.42101934050467</v>
      </c>
      <c r="AI89" s="585">
        <f t="shared" si="47"/>
        <v>204.05594158721649</v>
      </c>
      <c r="AJ89" s="585">
        <f t="shared" si="47"/>
        <v>192.45180058359404</v>
      </c>
      <c r="AK89" s="585">
        <f t="shared" si="47"/>
        <v>197.67917222933934</v>
      </c>
      <c r="AL89" s="585">
        <f t="shared" si="47"/>
        <v>231.77872873685828</v>
      </c>
      <c r="AM89" s="585">
        <f t="shared" si="47"/>
        <v>265.1684164289174</v>
      </c>
      <c r="AN89" s="585">
        <f t="shared" si="47"/>
        <v>296.16026881274655</v>
      </c>
      <c r="AO89" s="585">
        <f t="shared" ref="AO89:AP89" si="48">AO67+AO86+AO69</f>
        <v>338.07863377570715</v>
      </c>
      <c r="AP89" s="585">
        <f t="shared" si="48"/>
        <v>384.57077203510187</v>
      </c>
    </row>
    <row r="90" spans="1:50" s="610" customFormat="1" ht="20.100000000000001" customHeight="1">
      <c r="B90" s="611"/>
      <c r="C90" s="612" t="s">
        <v>1762</v>
      </c>
      <c r="D90" s="608"/>
      <c r="E90" s="608"/>
      <c r="F90" s="608"/>
      <c r="G90" s="608"/>
      <c r="H90" s="608" t="e">
        <f t="shared" ref="H90:AP90" si="49">IF(G89&lt;=0,"n/a",H89/G89-1)</f>
        <v>#VALUE!</v>
      </c>
      <c r="I90" s="608" t="e">
        <f t="shared" si="49"/>
        <v>#VALUE!</v>
      </c>
      <c r="J90" s="608" t="e">
        <f t="shared" si="49"/>
        <v>#VALUE!</v>
      </c>
      <c r="K90" s="608" t="e">
        <f t="shared" si="49"/>
        <v>#VALUE!</v>
      </c>
      <c r="L90" s="608" t="e">
        <f t="shared" si="49"/>
        <v>#VALUE!</v>
      </c>
      <c r="M90" s="608" t="e">
        <f t="shared" si="49"/>
        <v>#VALUE!</v>
      </c>
      <c r="N90" s="608" t="e">
        <f t="shared" si="49"/>
        <v>#VALUE!</v>
      </c>
      <c r="O90" s="608" t="e">
        <f t="shared" si="49"/>
        <v>#VALUE!</v>
      </c>
      <c r="P90" s="608" t="e">
        <f t="shared" si="49"/>
        <v>#VALUE!</v>
      </c>
      <c r="Q90" s="608" t="e">
        <f t="shared" si="49"/>
        <v>#VALUE!</v>
      </c>
      <c r="R90" s="608" t="e">
        <f t="shared" si="49"/>
        <v>#VALUE!</v>
      </c>
      <c r="S90" s="608" t="e">
        <f t="shared" si="49"/>
        <v>#VALUE!</v>
      </c>
      <c r="T90" s="608" t="e">
        <f>IF(S89&lt;=0,"n/a",T89/S89-1)</f>
        <v>#VALUE!</v>
      </c>
      <c r="U90" s="608" t="e">
        <f t="shared" si="49"/>
        <v>#VALUE!</v>
      </c>
      <c r="V90" s="608" t="e">
        <f t="shared" si="49"/>
        <v>#VALUE!</v>
      </c>
      <c r="W90" s="608"/>
      <c r="X90" s="608"/>
      <c r="Y90" s="608" t="str">
        <f t="shared" si="49"/>
        <v>n/a</v>
      </c>
      <c r="Z90" s="608">
        <f t="shared" si="49"/>
        <v>28.666358238877216</v>
      </c>
      <c r="AA90" s="608">
        <f t="shared" si="49"/>
        <v>-0.64292007911774907</v>
      </c>
      <c r="AB90" s="608">
        <f t="shared" si="49"/>
        <v>-4.3938195131893139</v>
      </c>
      <c r="AC90" s="608" t="str">
        <f t="shared" si="49"/>
        <v>n/a</v>
      </c>
      <c r="AD90" s="608" t="str">
        <f t="shared" si="49"/>
        <v>n/a</v>
      </c>
      <c r="AE90" s="608">
        <f t="shared" si="49"/>
        <v>-0.69597238020617036</v>
      </c>
      <c r="AF90" s="608">
        <f t="shared" si="49"/>
        <v>-0.79429088158667371</v>
      </c>
      <c r="AG90" s="608">
        <f t="shared" si="49"/>
        <v>14.724400295165372</v>
      </c>
      <c r="AH90" s="608">
        <f t="shared" si="49"/>
        <v>-0.46453259416793846</v>
      </c>
      <c r="AI90" s="608">
        <f t="shared" si="49"/>
        <v>0.72313954670901315</v>
      </c>
      <c r="AJ90" s="608">
        <f t="shared" si="49"/>
        <v>-5.6867449746189735E-2</v>
      </c>
      <c r="AK90" s="608">
        <f t="shared" si="49"/>
        <v>2.7161978375332074E-2</v>
      </c>
      <c r="AL90" s="608">
        <f t="shared" si="49"/>
        <v>0.17249949057839054</v>
      </c>
      <c r="AM90" s="608">
        <f t="shared" si="49"/>
        <v>0.14405846418273738</v>
      </c>
      <c r="AN90" s="608">
        <f t="shared" si="49"/>
        <v>0.11687610764963408</v>
      </c>
      <c r="AO90" s="608">
        <f t="shared" si="49"/>
        <v>0.14153946149158969</v>
      </c>
      <c r="AP90" s="608">
        <f t="shared" si="49"/>
        <v>0.13751871196403131</v>
      </c>
    </row>
    <row r="91" spans="1:50" ht="20.100000000000001" customHeight="1">
      <c r="B91" s="573"/>
      <c r="C91" s="585"/>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2"/>
      <c r="AL91" s="572"/>
      <c r="AM91" s="572"/>
      <c r="AN91" s="572"/>
      <c r="AO91" s="572"/>
      <c r="AP91" s="572"/>
    </row>
    <row r="94" spans="1:50" ht="20.100000000000001" customHeight="1">
      <c r="C94" s="594"/>
    </row>
    <row r="95" spans="1:50" ht="20.100000000000001" customHeight="1">
      <c r="C95" s="547"/>
    </row>
    <row r="96" spans="1:50" ht="20.100000000000001" customHeight="1">
      <c r="B96" s="573"/>
      <c r="C96" s="613" t="str">
        <f>$A$2</f>
        <v>DISCOUNTED CASH FLOW (DCF) MODEL FOR Breville Group Ltd.</v>
      </c>
      <c r="D96" s="613"/>
      <c r="E96" s="613"/>
      <c r="F96" s="613"/>
      <c r="G96" s="613"/>
      <c r="H96" s="613"/>
      <c r="I96" s="613"/>
      <c r="J96" s="613"/>
      <c r="K96" s="613"/>
      <c r="L96" s="613"/>
      <c r="M96" s="613"/>
      <c r="N96" s="613"/>
      <c r="O96" s="613"/>
      <c r="P96" s="613"/>
      <c r="Q96" s="601"/>
      <c r="R96" s="601"/>
      <c r="S96" s="601"/>
      <c r="T96" s="601"/>
      <c r="U96" s="601"/>
      <c r="V96" s="601"/>
      <c r="W96" s="601"/>
      <c r="X96" s="601"/>
      <c r="Y96" s="601"/>
      <c r="Z96" s="601"/>
      <c r="AA96" s="601"/>
      <c r="AB96" s="601"/>
      <c r="AC96" s="601"/>
      <c r="AD96" s="601"/>
      <c r="AE96" s="601"/>
      <c r="AF96" s="601"/>
      <c r="AG96" s="601"/>
      <c r="AH96" s="601"/>
      <c r="AI96" s="601"/>
      <c r="AJ96" s="601"/>
      <c r="AK96" s="601"/>
      <c r="AL96" s="601"/>
      <c r="AM96" s="601"/>
      <c r="AN96" s="601"/>
      <c r="AO96" s="601"/>
      <c r="AP96" s="601"/>
      <c r="AQ96" s="594"/>
      <c r="AR96" s="594"/>
      <c r="AS96" s="594"/>
      <c r="AT96" s="594"/>
      <c r="AU96" s="594"/>
      <c r="AV96" s="594"/>
      <c r="AW96" s="594"/>
      <c r="AX96" s="594"/>
    </row>
    <row r="97" spans="1:50" ht="20.100000000000001" customHeight="1">
      <c r="B97" s="573"/>
      <c r="C97" s="614"/>
      <c r="D97" s="614"/>
      <c r="E97" s="615"/>
      <c r="F97" s="566"/>
      <c r="G97" s="566"/>
      <c r="H97" s="566"/>
      <c r="I97" s="566"/>
      <c r="J97" s="573"/>
      <c r="K97" s="616"/>
      <c r="L97" s="616"/>
      <c r="M97" s="616"/>
      <c r="N97" s="616"/>
      <c r="O97" s="616"/>
      <c r="P97" s="616"/>
      <c r="Q97" s="616"/>
      <c r="R97" s="616"/>
      <c r="S97" s="616"/>
      <c r="T97" s="604"/>
      <c r="U97" s="604"/>
      <c r="V97" s="604"/>
      <c r="W97" s="604"/>
      <c r="X97" s="604"/>
      <c r="Y97" s="604"/>
      <c r="Z97" s="604"/>
      <c r="AA97" s="604"/>
      <c r="AB97" s="604"/>
      <c r="AC97" s="604"/>
      <c r="AD97" s="604"/>
      <c r="AE97" s="604"/>
      <c r="AF97" s="604" t="str">
        <f>$AK$3</f>
        <v>Goldman Sachs</v>
      </c>
      <c r="AG97" s="604"/>
      <c r="AH97" s="604"/>
      <c r="AI97" s="604"/>
      <c r="AJ97" s="604"/>
      <c r="AK97" s="616"/>
      <c r="AL97" s="616"/>
      <c r="AM97" s="616"/>
      <c r="AN97" s="616"/>
      <c r="AO97" s="616"/>
      <c r="AP97" s="616"/>
      <c r="AQ97" s="594"/>
      <c r="AR97" s="594"/>
      <c r="AS97" s="594"/>
      <c r="AT97" s="594"/>
      <c r="AU97" s="594"/>
      <c r="AV97" s="594"/>
      <c r="AW97" s="594"/>
      <c r="AX97" s="594"/>
    </row>
    <row r="98" spans="1:50" ht="20.100000000000001" customHeight="1">
      <c r="B98" s="573"/>
      <c r="C98" s="614"/>
      <c r="D98" s="614"/>
      <c r="E98" s="615"/>
      <c r="F98" s="566"/>
      <c r="G98" s="566"/>
      <c r="H98" s="566"/>
      <c r="I98" s="566"/>
      <c r="J98" s="604"/>
      <c r="K98" s="616"/>
      <c r="L98" s="616"/>
      <c r="M98" s="616"/>
      <c r="N98" s="616"/>
      <c r="O98" s="616"/>
      <c r="P98" s="616"/>
      <c r="Q98" s="616"/>
      <c r="R98" s="616"/>
      <c r="S98" s="616"/>
      <c r="T98" s="616"/>
      <c r="U98" s="616"/>
      <c r="V98" s="616"/>
      <c r="W98" s="616"/>
      <c r="X98" s="616"/>
      <c r="Y98" s="616"/>
      <c r="Z98" s="616"/>
      <c r="AA98" s="616"/>
      <c r="AB98" s="616"/>
      <c r="AC98" s="616"/>
      <c r="AD98" s="616"/>
      <c r="AE98" s="616"/>
      <c r="AF98" s="616"/>
      <c r="AG98" s="616"/>
      <c r="AH98" s="616"/>
      <c r="AI98" s="616"/>
      <c r="AJ98" s="616"/>
      <c r="AK98" s="616"/>
      <c r="AL98" s="616"/>
      <c r="AM98" s="616"/>
      <c r="AN98" s="616"/>
      <c r="AO98" s="616"/>
      <c r="AP98" s="616"/>
      <c r="AQ98" s="594"/>
      <c r="AR98" s="594"/>
      <c r="AS98" s="594"/>
      <c r="AT98" s="594"/>
      <c r="AU98" s="594"/>
      <c r="AV98" s="594"/>
      <c r="AW98" s="594"/>
      <c r="AX98" s="594"/>
    </row>
    <row r="99" spans="1:50" ht="20.100000000000001" customHeight="1">
      <c r="B99" s="573"/>
      <c r="C99" s="585" t="s">
        <v>1769</v>
      </c>
      <c r="D99" s="585"/>
      <c r="E99" s="585"/>
      <c r="F99" s="585"/>
      <c r="G99" s="585"/>
      <c r="H99" s="585"/>
      <c r="I99" s="585"/>
      <c r="J99" s="585"/>
      <c r="K99" s="585"/>
      <c r="L99" s="585"/>
      <c r="M99" s="585"/>
      <c r="N99" s="585"/>
      <c r="O99" s="585"/>
      <c r="P99" s="585"/>
      <c r="Q99" s="606"/>
      <c r="R99" s="606"/>
      <c r="S99" s="606"/>
      <c r="T99" s="606"/>
      <c r="U99" s="606"/>
      <c r="V99" s="606"/>
      <c r="W99" s="606"/>
      <c r="X99" s="606"/>
      <c r="Y99" s="606"/>
      <c r="Z99" s="606"/>
      <c r="AA99" s="606"/>
      <c r="AB99" s="606"/>
      <c r="AC99" s="606"/>
      <c r="AD99" s="606"/>
      <c r="AE99" s="606"/>
      <c r="AF99" s="606"/>
      <c r="AG99" s="606"/>
      <c r="AH99" s="606"/>
      <c r="AI99" s="606"/>
      <c r="AJ99" s="606"/>
      <c r="AK99" s="606"/>
      <c r="AL99" s="606"/>
      <c r="AM99" s="606"/>
      <c r="AN99" s="606"/>
      <c r="AO99" s="606"/>
      <c r="AP99" s="606"/>
      <c r="AQ99" s="594"/>
      <c r="AR99" s="594"/>
      <c r="AS99" s="594"/>
      <c r="AT99" s="594"/>
      <c r="AU99" s="594"/>
      <c r="AV99" s="594"/>
      <c r="AW99" s="594"/>
      <c r="AX99" s="594"/>
    </row>
    <row r="100" spans="1:50" ht="20.100000000000001" customHeight="1">
      <c r="B100" s="573"/>
      <c r="C100" s="617" t="s">
        <v>1770</v>
      </c>
      <c r="D100" s="617"/>
      <c r="E100" s="617"/>
      <c r="F100" s="617"/>
      <c r="G100" s="617"/>
      <c r="H100" s="617"/>
      <c r="I100" s="617"/>
      <c r="J100" s="617"/>
      <c r="K100" s="617"/>
      <c r="L100" s="617"/>
      <c r="M100" s="617"/>
      <c r="N100" s="617"/>
      <c r="O100" s="617"/>
      <c r="P100" s="617"/>
      <c r="Q100" s="618"/>
      <c r="R100" s="618"/>
      <c r="S100" s="618"/>
      <c r="T100" s="618"/>
      <c r="U100" s="618"/>
      <c r="V100" s="618"/>
      <c r="W100" s="618"/>
      <c r="X100" s="618"/>
      <c r="Y100" s="618"/>
      <c r="Z100" s="618"/>
      <c r="AA100" s="618"/>
      <c r="AB100" s="618"/>
      <c r="AC100" s="618"/>
      <c r="AD100" s="618"/>
      <c r="AE100" s="618"/>
      <c r="AF100" s="618"/>
      <c r="AG100" s="618"/>
      <c r="AH100" s="618"/>
      <c r="AI100" s="618"/>
      <c r="AJ100" s="618"/>
      <c r="AK100" s="618"/>
      <c r="AL100" s="618"/>
      <c r="AM100" s="618"/>
      <c r="AN100" s="618"/>
      <c r="AO100" s="618"/>
      <c r="AP100" s="618"/>
      <c r="AQ100" s="594"/>
      <c r="AR100" s="594"/>
      <c r="AS100" s="594"/>
      <c r="AT100" s="594"/>
      <c r="AU100" s="594"/>
      <c r="AV100" s="594"/>
      <c r="AW100" s="594"/>
      <c r="AX100" s="594"/>
    </row>
    <row r="101" spans="1:50" ht="20.100000000000001" customHeight="1">
      <c r="B101" s="573"/>
      <c r="C101" s="617" t="s">
        <v>1771</v>
      </c>
      <c r="D101" s="617"/>
      <c r="E101" s="617"/>
      <c r="F101" s="617"/>
      <c r="G101" s="617"/>
      <c r="H101" s="617"/>
      <c r="I101" s="617"/>
      <c r="J101" s="617"/>
      <c r="K101" s="617"/>
      <c r="L101" s="617"/>
      <c r="M101" s="617"/>
      <c r="N101" s="617"/>
      <c r="O101" s="617"/>
      <c r="P101" s="617"/>
      <c r="Q101" s="618"/>
      <c r="R101" s="618"/>
      <c r="S101" s="618"/>
      <c r="T101" s="618"/>
      <c r="U101" s="618"/>
      <c r="V101" s="618"/>
      <c r="W101" s="618"/>
      <c r="X101" s="618"/>
      <c r="Y101" s="618"/>
      <c r="Z101" s="618"/>
      <c r="AA101" s="618"/>
      <c r="AB101" s="618"/>
      <c r="AC101" s="618"/>
      <c r="AD101" s="618"/>
      <c r="AE101" s="618"/>
      <c r="AF101" s="618"/>
      <c r="AG101" s="618"/>
      <c r="AH101" s="618"/>
      <c r="AI101" s="618"/>
      <c r="AJ101" s="618"/>
      <c r="AK101" s="618"/>
      <c r="AL101" s="618"/>
      <c r="AM101" s="618"/>
      <c r="AN101" s="618"/>
      <c r="AO101" s="618"/>
      <c r="AP101" s="618"/>
      <c r="AQ101" s="594"/>
      <c r="AR101" s="594"/>
      <c r="AS101" s="594"/>
      <c r="AT101" s="594"/>
      <c r="AU101" s="594"/>
      <c r="AV101" s="594"/>
      <c r="AW101" s="594"/>
      <c r="AX101" s="594"/>
    </row>
    <row r="102" spans="1:50" ht="20.100000000000001" customHeight="1">
      <c r="B102" s="573"/>
      <c r="C102" s="573"/>
      <c r="D102" s="573"/>
      <c r="E102" s="573"/>
      <c r="F102" s="573"/>
      <c r="G102" s="573"/>
      <c r="H102" s="573"/>
      <c r="I102" s="573"/>
      <c r="J102" s="573"/>
      <c r="K102" s="616"/>
      <c r="L102" s="616"/>
      <c r="M102" s="616"/>
      <c r="N102" s="616"/>
      <c r="O102" s="616"/>
      <c r="P102" s="616"/>
      <c r="Q102" s="616"/>
      <c r="R102" s="616"/>
      <c r="S102" s="616"/>
      <c r="T102" s="616"/>
      <c r="U102" s="616"/>
      <c r="V102" s="616"/>
      <c r="W102" s="616"/>
      <c r="X102" s="616"/>
      <c r="Y102" s="616"/>
      <c r="Z102" s="616"/>
      <c r="AA102" s="616"/>
      <c r="AB102" s="616"/>
      <c r="AC102" s="616"/>
      <c r="AD102" s="616"/>
      <c r="AE102" s="616"/>
      <c r="AF102" s="616"/>
      <c r="AG102" s="616"/>
      <c r="AH102" s="616"/>
      <c r="AI102" s="616"/>
      <c r="AJ102" s="616"/>
      <c r="AK102" s="616"/>
      <c r="AL102" s="616"/>
      <c r="AM102" s="616"/>
      <c r="AN102" s="616"/>
      <c r="AO102" s="616"/>
      <c r="AP102" s="616"/>
      <c r="AQ102" s="594"/>
      <c r="AR102" s="594"/>
      <c r="AS102" s="594"/>
      <c r="AT102" s="594"/>
      <c r="AU102" s="594"/>
      <c r="AV102" s="594"/>
      <c r="AW102" s="594"/>
      <c r="AX102" s="594"/>
    </row>
    <row r="103" spans="1:50" ht="20.100000000000001" customHeight="1">
      <c r="B103" s="573"/>
      <c r="C103" s="569" t="s">
        <v>1736</v>
      </c>
      <c r="D103" s="570"/>
      <c r="E103" s="570"/>
      <c r="F103" s="570"/>
      <c r="G103" s="570">
        <v>37072</v>
      </c>
      <c r="H103" s="570">
        <v>37437</v>
      </c>
      <c r="I103" s="570">
        <v>37802</v>
      </c>
      <c r="J103" s="570">
        <v>38168</v>
      </c>
      <c r="K103" s="570">
        <v>38533</v>
      </c>
      <c r="L103" s="570">
        <v>38898</v>
      </c>
      <c r="M103" s="570">
        <v>39263</v>
      </c>
      <c r="N103" s="570">
        <v>39629</v>
      </c>
      <c r="O103" s="570">
        <v>39994</v>
      </c>
      <c r="P103" s="570">
        <v>40359</v>
      </c>
      <c r="Q103" s="570">
        <v>40724</v>
      </c>
      <c r="R103" s="570">
        <v>41090</v>
      </c>
      <c r="S103" s="570">
        <v>41455</v>
      </c>
      <c r="T103" s="570">
        <v>41820</v>
      </c>
      <c r="U103" s="570">
        <v>42185</v>
      </c>
      <c r="V103" s="570">
        <v>42551</v>
      </c>
      <c r="W103" s="570">
        <f t="shared" ref="W103:AN103" si="50">W30</f>
        <v>42916</v>
      </c>
      <c r="X103" s="570">
        <f t="shared" si="50"/>
        <v>43281</v>
      </c>
      <c r="Y103" s="570">
        <f t="shared" si="50"/>
        <v>43646</v>
      </c>
      <c r="Z103" s="570">
        <f t="shared" si="50"/>
        <v>44012</v>
      </c>
      <c r="AA103" s="570">
        <f t="shared" si="50"/>
        <v>44377</v>
      </c>
      <c r="AB103" s="570">
        <f t="shared" si="50"/>
        <v>44742</v>
      </c>
      <c r="AC103" s="570">
        <f t="shared" si="50"/>
        <v>45107</v>
      </c>
      <c r="AD103" s="570">
        <f t="shared" si="50"/>
        <v>45473</v>
      </c>
      <c r="AE103" s="570">
        <f t="shared" si="50"/>
        <v>45838</v>
      </c>
      <c r="AF103" s="570">
        <f t="shared" si="50"/>
        <v>46203</v>
      </c>
      <c r="AG103" s="570">
        <f t="shared" si="50"/>
        <v>46568</v>
      </c>
      <c r="AH103" s="570">
        <f t="shared" si="50"/>
        <v>46934</v>
      </c>
      <c r="AI103" s="570">
        <f t="shared" si="50"/>
        <v>47299</v>
      </c>
      <c r="AJ103" s="570">
        <f t="shared" si="50"/>
        <v>47664</v>
      </c>
      <c r="AK103" s="570">
        <f t="shared" si="50"/>
        <v>48029</v>
      </c>
      <c r="AL103" s="570">
        <f t="shared" si="50"/>
        <v>48395</v>
      </c>
      <c r="AM103" s="570">
        <f t="shared" si="50"/>
        <v>48760</v>
      </c>
      <c r="AN103" s="570">
        <f t="shared" si="50"/>
        <v>49125</v>
      </c>
      <c r="AO103" s="570">
        <f t="shared" ref="AO103:AP103" si="51">AO30</f>
        <v>49490</v>
      </c>
      <c r="AP103" s="570">
        <f t="shared" si="51"/>
        <v>49856</v>
      </c>
      <c r="AQ103" s="572" t="s">
        <v>1737</v>
      </c>
      <c r="AR103" s="594"/>
      <c r="AS103" s="594"/>
      <c r="AT103" s="594"/>
      <c r="AU103" s="594"/>
      <c r="AV103" s="594"/>
    </row>
    <row r="104" spans="1:50" ht="20.100000000000001" customHeight="1">
      <c r="B104" s="573"/>
      <c r="C104" s="573"/>
      <c r="D104" s="573"/>
      <c r="E104" s="573"/>
      <c r="F104" s="573"/>
      <c r="G104" s="573"/>
      <c r="H104" s="573"/>
      <c r="I104" s="573"/>
      <c r="J104" s="573"/>
      <c r="K104" s="573"/>
      <c r="L104" s="573"/>
      <c r="M104" s="573"/>
      <c r="N104" s="573"/>
      <c r="O104" s="573"/>
      <c r="P104" s="573"/>
      <c r="Q104" s="573"/>
      <c r="R104" s="573"/>
      <c r="S104" s="573"/>
      <c r="T104" s="573"/>
      <c r="U104" s="573"/>
      <c r="V104" s="573"/>
      <c r="W104" s="573"/>
      <c r="X104" s="573"/>
      <c r="Y104" s="573"/>
      <c r="Z104" s="573"/>
      <c r="AA104" s="573"/>
      <c r="AB104" s="573"/>
      <c r="AC104" s="573"/>
      <c r="AD104" s="573"/>
      <c r="AE104" s="573"/>
      <c r="AF104" s="573"/>
      <c r="AG104" s="573"/>
      <c r="AH104" s="573"/>
      <c r="AI104" s="573"/>
      <c r="AJ104" s="573"/>
      <c r="AK104" s="573"/>
      <c r="AL104" s="573"/>
      <c r="AM104" s="573"/>
      <c r="AN104" s="573"/>
      <c r="AO104" s="573"/>
      <c r="AP104" s="573"/>
      <c r="AQ104" s="573"/>
      <c r="AR104" s="594"/>
      <c r="AS104" s="594"/>
      <c r="AT104" s="594"/>
      <c r="AU104" s="594"/>
      <c r="AV104" s="594"/>
    </row>
    <row r="105" spans="1:50" ht="20.100000000000001" customHeight="1">
      <c r="A105" s="545">
        <f>ROW(MODEL!A72)</f>
        <v>72</v>
      </c>
      <c r="B105" s="573"/>
      <c r="C105" s="573" t="s">
        <v>1772</v>
      </c>
      <c r="D105" s="619"/>
      <c r="E105" s="620"/>
      <c r="F105" s="620"/>
      <c r="G105" s="620"/>
      <c r="H105" s="620"/>
      <c r="I105" s="620"/>
      <c r="J105" s="620"/>
      <c r="K105" s="620" t="e">
        <v>#VALUE!</v>
      </c>
      <c r="L105" s="620" t="e">
        <v>#VALUE!</v>
      </c>
      <c r="M105" s="620" t="e">
        <v>#VALUE!</v>
      </c>
      <c r="N105" s="620" t="e">
        <v>#VALUE!</v>
      </c>
      <c r="O105" s="620" t="e">
        <v>#VALUE!</v>
      </c>
      <c r="P105" s="620" t="e">
        <v>#VALUE!</v>
      </c>
      <c r="Q105" s="620" t="e">
        <v>#VALUE!</v>
      </c>
      <c r="R105" s="620" t="e">
        <v>#VALUE!</v>
      </c>
      <c r="S105" s="620" t="e">
        <v>#VALUE!</v>
      </c>
      <c r="T105" s="620" t="e">
        <v>#VALUE!</v>
      </c>
      <c r="U105" s="620" t="e">
        <v>#VALUE!</v>
      </c>
      <c r="V105" s="620" t="e">
        <v>#VALUE!</v>
      </c>
      <c r="W105" s="620">
        <f>DPS _2017/100</f>
        <v>0.30499999999999999</v>
      </c>
      <c r="X105" s="620">
        <f>DPS _2018/100</f>
        <v>0.33</v>
      </c>
      <c r="Y105" s="620">
        <f t="shared" ref="Y105:AP105" si="52">INDEX(model,$A105,Y$52)/100</f>
        <v>0.37</v>
      </c>
      <c r="Z105" s="620">
        <f t="shared" si="52"/>
        <v>0.41</v>
      </c>
      <c r="AA105" s="620">
        <f t="shared" si="52"/>
        <v>0.26500000000000001</v>
      </c>
      <c r="AB105" s="620">
        <f t="shared" si="52"/>
        <v>0.3</v>
      </c>
      <c r="AC105" s="620">
        <f t="shared" si="52"/>
        <v>0.30499999999999999</v>
      </c>
      <c r="AD105" s="620">
        <f t="shared" si="52"/>
        <v>0.33</v>
      </c>
      <c r="AE105" s="620">
        <f t="shared" si="52"/>
        <v>0.37</v>
      </c>
      <c r="AF105" s="620">
        <f t="shared" si="52"/>
        <v>0.37</v>
      </c>
      <c r="AG105" s="620">
        <f t="shared" si="52"/>
        <v>0.43</v>
      </c>
      <c r="AH105" s="620">
        <f t="shared" si="52"/>
        <v>0.5</v>
      </c>
      <c r="AI105" s="620">
        <f t="shared" si="52"/>
        <v>0.57999999999999996</v>
      </c>
      <c r="AJ105" s="620">
        <f t="shared" si="52"/>
        <v>0.67</v>
      </c>
      <c r="AK105" s="620">
        <f t="shared" si="52"/>
        <v>0.76</v>
      </c>
      <c r="AL105" s="620">
        <f t="shared" si="52"/>
        <v>0.87</v>
      </c>
      <c r="AM105" s="620">
        <f t="shared" si="52"/>
        <v>0.98</v>
      </c>
      <c r="AN105" s="620">
        <f t="shared" si="52"/>
        <v>1.1100000000000001</v>
      </c>
      <c r="AO105" s="620">
        <f t="shared" si="52"/>
        <v>1.26</v>
      </c>
      <c r="AP105" s="620">
        <f t="shared" si="52"/>
        <v>1.42</v>
      </c>
      <c r="AQ105" s="620">
        <f>AP105*(1+D13)</f>
        <v>1.4838999999999998</v>
      </c>
      <c r="AR105" s="620"/>
      <c r="AS105" s="594"/>
      <c r="AT105" s="594"/>
      <c r="AU105" s="594"/>
      <c r="AV105" s="594"/>
    </row>
    <row r="106" spans="1:50" ht="20.100000000000001" customHeight="1">
      <c r="A106" s="545">
        <f>ROW(MODEL!A214)</f>
        <v>214</v>
      </c>
      <c r="B106" s="573"/>
      <c r="C106" s="573" t="s">
        <v>1773</v>
      </c>
      <c r="D106" s="621"/>
      <c r="E106" s="622"/>
      <c r="F106" s="622"/>
      <c r="G106" s="622"/>
      <c r="H106" s="622"/>
      <c r="I106" s="622"/>
      <c r="J106" s="622"/>
      <c r="K106" s="622" t="e">
        <v>#VALUE!</v>
      </c>
      <c r="L106" s="622" t="e">
        <v>#VALUE!</v>
      </c>
      <c r="M106" s="622" t="e">
        <v>#VALUE!</v>
      </c>
      <c r="N106" s="622" t="e">
        <v>#VALUE!</v>
      </c>
      <c r="O106" s="622" t="e">
        <v>#VALUE!</v>
      </c>
      <c r="P106" s="622" t="e">
        <v>#VALUE!</v>
      </c>
      <c r="Q106" s="622" t="e">
        <v>#VALUE!</v>
      </c>
      <c r="R106" s="622" t="e">
        <v>#VALUE!</v>
      </c>
      <c r="S106" s="622" t="e">
        <v>#VALUE!</v>
      </c>
      <c r="T106" s="622" t="e">
        <v>#VALUE!</v>
      </c>
      <c r="U106" s="622" t="e">
        <v>#VALUE!</v>
      </c>
      <c r="V106" s="622" t="e">
        <v>#VALUE!</v>
      </c>
      <c r="W106" s="622">
        <f>Franking _2017/100</f>
        <v>6.0000000000000001E-3</v>
      </c>
      <c r="X106" s="622">
        <f>Franking _2018/100</f>
        <v>6.0000000000000001E-3</v>
      </c>
      <c r="Y106" s="628">
        <f t="shared" ref="Y106:AP106" si="53">INDEX(model,$A106,Y$52)</f>
        <v>0.6</v>
      </c>
      <c r="Z106" s="628">
        <f t="shared" si="53"/>
        <v>0.6</v>
      </c>
      <c r="AA106" s="628">
        <f t="shared" si="53"/>
        <v>1</v>
      </c>
      <c r="AB106" s="628">
        <f t="shared" si="53"/>
        <v>1</v>
      </c>
      <c r="AC106" s="628">
        <f t="shared" si="53"/>
        <v>1</v>
      </c>
      <c r="AD106" s="628">
        <f t="shared" si="53"/>
        <v>1</v>
      </c>
      <c r="AE106" s="628">
        <f t="shared" si="53"/>
        <v>1</v>
      </c>
      <c r="AF106" s="628">
        <f t="shared" si="53"/>
        <v>1</v>
      </c>
      <c r="AG106" s="628">
        <f t="shared" si="53"/>
        <v>1</v>
      </c>
      <c r="AH106" s="628">
        <f t="shared" si="53"/>
        <v>1</v>
      </c>
      <c r="AI106" s="628">
        <f t="shared" si="53"/>
        <v>1</v>
      </c>
      <c r="AJ106" s="628">
        <f t="shared" si="53"/>
        <v>1</v>
      </c>
      <c r="AK106" s="628">
        <f t="shared" si="53"/>
        <v>1</v>
      </c>
      <c r="AL106" s="628">
        <f t="shared" si="53"/>
        <v>1</v>
      </c>
      <c r="AM106" s="628">
        <f t="shared" si="53"/>
        <v>1</v>
      </c>
      <c r="AN106" s="628">
        <f t="shared" si="53"/>
        <v>1</v>
      </c>
      <c r="AO106" s="628">
        <f t="shared" si="53"/>
        <v>1</v>
      </c>
      <c r="AP106" s="628">
        <f t="shared" si="53"/>
        <v>1</v>
      </c>
      <c r="AQ106" s="622">
        <f t="shared" ref="AQ106" si="54">AK106</f>
        <v>1</v>
      </c>
      <c r="AR106" s="594"/>
      <c r="AS106" s="594"/>
      <c r="AT106" s="594"/>
      <c r="AU106" s="594"/>
      <c r="AV106" s="594"/>
    </row>
    <row r="107" spans="1:50" ht="20.100000000000001" customHeight="1">
      <c r="B107" s="573"/>
      <c r="C107" s="573" t="s">
        <v>1774</v>
      </c>
      <c r="D107" s="620"/>
      <c r="E107" s="620"/>
      <c r="F107" s="620"/>
      <c r="G107" s="620"/>
      <c r="H107" s="620"/>
      <c r="I107" s="620"/>
      <c r="J107" s="620"/>
      <c r="K107" s="620" t="e">
        <f t="shared" ref="K107:AK107" si="55">K105/0.7*0.3*K106</f>
        <v>#VALUE!</v>
      </c>
      <c r="L107" s="620" t="e">
        <f t="shared" si="55"/>
        <v>#VALUE!</v>
      </c>
      <c r="M107" s="620" t="e">
        <f t="shared" si="55"/>
        <v>#VALUE!</v>
      </c>
      <c r="N107" s="620" t="e">
        <f t="shared" si="55"/>
        <v>#VALUE!</v>
      </c>
      <c r="O107" s="620" t="e">
        <f t="shared" si="55"/>
        <v>#VALUE!</v>
      </c>
      <c r="P107" s="620" t="e">
        <f t="shared" si="55"/>
        <v>#VALUE!</v>
      </c>
      <c r="Q107" s="620" t="e">
        <f t="shared" si="55"/>
        <v>#VALUE!</v>
      </c>
      <c r="R107" s="620" t="e">
        <f t="shared" si="55"/>
        <v>#VALUE!</v>
      </c>
      <c r="S107" s="620" t="e">
        <f t="shared" si="55"/>
        <v>#VALUE!</v>
      </c>
      <c r="T107" s="620" t="e">
        <f t="shared" si="55"/>
        <v>#VALUE!</v>
      </c>
      <c r="U107" s="620" t="e">
        <f t="shared" si="55"/>
        <v>#VALUE!</v>
      </c>
      <c r="V107" s="620" t="e">
        <f t="shared" si="55"/>
        <v>#VALUE!</v>
      </c>
      <c r="W107" s="620">
        <f t="shared" si="55"/>
        <v>7.8428571428571425E-4</v>
      </c>
      <c r="X107" s="620">
        <f t="shared" si="55"/>
        <v>8.4857142857142857E-4</v>
      </c>
      <c r="Y107" s="620">
        <f>Y105/0.7*0.3*Y106</f>
        <v>9.5142857142857126E-2</v>
      </c>
      <c r="Z107" s="620">
        <f t="shared" si="55"/>
        <v>0.10542857142857143</v>
      </c>
      <c r="AA107" s="620">
        <f t="shared" si="55"/>
        <v>0.11357142857142857</v>
      </c>
      <c r="AB107" s="620">
        <f t="shared" si="55"/>
        <v>0.12857142857142859</v>
      </c>
      <c r="AC107" s="620">
        <f t="shared" si="55"/>
        <v>0.1307142857142857</v>
      </c>
      <c r="AD107" s="620">
        <f t="shared" si="55"/>
        <v>0.14142857142857143</v>
      </c>
      <c r="AE107" s="620">
        <f t="shared" si="55"/>
        <v>0.15857142857142856</v>
      </c>
      <c r="AF107" s="620">
        <f t="shared" si="55"/>
        <v>0.15857142857142856</v>
      </c>
      <c r="AG107" s="620">
        <f t="shared" si="55"/>
        <v>0.1842857142857143</v>
      </c>
      <c r="AH107" s="620">
        <f t="shared" si="55"/>
        <v>0.21428571428571427</v>
      </c>
      <c r="AI107" s="620">
        <f t="shared" si="55"/>
        <v>0.24857142857142855</v>
      </c>
      <c r="AJ107" s="620">
        <f t="shared" si="55"/>
        <v>0.2871428571428572</v>
      </c>
      <c r="AK107" s="620">
        <f t="shared" si="55"/>
        <v>0.32571428571428573</v>
      </c>
      <c r="AL107" s="620">
        <f t="shared" ref="AL107:AM107" si="56">AL105/0.7*0.3*AL106</f>
        <v>0.37285714285714283</v>
      </c>
      <c r="AM107" s="620">
        <f t="shared" si="56"/>
        <v>0.42000000000000004</v>
      </c>
      <c r="AN107" s="620">
        <f t="shared" ref="AN107:AO107" si="57">AN105/0.7*0.3*AN106</f>
        <v>0.47571428571428576</v>
      </c>
      <c r="AO107" s="620">
        <f t="shared" si="57"/>
        <v>0.54</v>
      </c>
      <c r="AP107" s="620">
        <f t="shared" ref="AP107" si="58">AP105/0.7*0.3*AP106</f>
        <v>0.60857142857142854</v>
      </c>
      <c r="AQ107" s="620">
        <f>AQ105/0.7*0.3*AQ106</f>
        <v>0.63595714285714278</v>
      </c>
      <c r="AR107" s="594"/>
      <c r="AS107" s="594"/>
      <c r="AT107" s="594"/>
      <c r="AU107" s="594"/>
      <c r="AV107" s="594"/>
    </row>
    <row r="108" spans="1:50" ht="20.100000000000001" customHeight="1">
      <c r="B108" s="573"/>
      <c r="C108" s="573" t="s">
        <v>1775</v>
      </c>
      <c r="D108" s="621"/>
      <c r="E108" s="621"/>
      <c r="F108" s="621"/>
      <c r="G108" s="621"/>
      <c r="H108" s="621"/>
      <c r="I108" s="621"/>
      <c r="J108" s="621"/>
      <c r="K108" s="621" t="e">
        <f t="shared" ref="K108:X108" si="59">MktImpute</f>
        <v>#REF!</v>
      </c>
      <c r="L108" s="621" t="e">
        <f t="shared" si="59"/>
        <v>#REF!</v>
      </c>
      <c r="M108" s="621" t="e">
        <f t="shared" si="59"/>
        <v>#REF!</v>
      </c>
      <c r="N108" s="621" t="e">
        <f t="shared" si="59"/>
        <v>#REF!</v>
      </c>
      <c r="O108" s="621" t="e">
        <f t="shared" si="59"/>
        <v>#REF!</v>
      </c>
      <c r="P108" s="621" t="e">
        <f t="shared" si="59"/>
        <v>#REF!</v>
      </c>
      <c r="Q108" s="621" t="e">
        <f t="shared" si="59"/>
        <v>#REF!</v>
      </c>
      <c r="R108" s="621" t="e">
        <f t="shared" si="59"/>
        <v>#REF!</v>
      </c>
      <c r="S108" s="621" t="e">
        <f t="shared" si="59"/>
        <v>#REF!</v>
      </c>
      <c r="T108" s="621" t="e">
        <f t="shared" si="59"/>
        <v>#REF!</v>
      </c>
      <c r="U108" s="621" t="e">
        <f t="shared" si="59"/>
        <v>#REF!</v>
      </c>
      <c r="V108" s="621" t="e">
        <f t="shared" si="59"/>
        <v>#REF!</v>
      </c>
      <c r="W108" s="621" t="e">
        <f t="shared" si="59"/>
        <v>#REF!</v>
      </c>
      <c r="X108" s="621" t="e">
        <f t="shared" si="59"/>
        <v>#REF!</v>
      </c>
      <c r="Y108" s="621">
        <v>0.25</v>
      </c>
      <c r="Z108" s="621">
        <f>Y108</f>
        <v>0.25</v>
      </c>
      <c r="AA108" s="621">
        <f t="shared" ref="AA108:AP108" si="60">Z108</f>
        <v>0.25</v>
      </c>
      <c r="AB108" s="621">
        <f t="shared" si="60"/>
        <v>0.25</v>
      </c>
      <c r="AC108" s="621">
        <f t="shared" si="60"/>
        <v>0.25</v>
      </c>
      <c r="AD108" s="621">
        <f t="shared" si="60"/>
        <v>0.25</v>
      </c>
      <c r="AE108" s="621">
        <f t="shared" si="60"/>
        <v>0.25</v>
      </c>
      <c r="AF108" s="621">
        <f t="shared" si="60"/>
        <v>0.25</v>
      </c>
      <c r="AG108" s="621">
        <f t="shared" si="60"/>
        <v>0.25</v>
      </c>
      <c r="AH108" s="621">
        <f t="shared" si="60"/>
        <v>0.25</v>
      </c>
      <c r="AI108" s="621">
        <f t="shared" si="60"/>
        <v>0.25</v>
      </c>
      <c r="AJ108" s="621">
        <f t="shared" si="60"/>
        <v>0.25</v>
      </c>
      <c r="AK108" s="621">
        <f t="shared" si="60"/>
        <v>0.25</v>
      </c>
      <c r="AL108" s="621">
        <f t="shared" si="60"/>
        <v>0.25</v>
      </c>
      <c r="AM108" s="621">
        <f t="shared" si="60"/>
        <v>0.25</v>
      </c>
      <c r="AN108" s="621">
        <f t="shared" si="60"/>
        <v>0.25</v>
      </c>
      <c r="AO108" s="621">
        <f t="shared" si="60"/>
        <v>0.25</v>
      </c>
      <c r="AP108" s="621">
        <f t="shared" si="60"/>
        <v>0.25</v>
      </c>
      <c r="AQ108" s="621">
        <f>AK108</f>
        <v>0.25</v>
      </c>
      <c r="AR108" s="594"/>
      <c r="AS108" s="594"/>
      <c r="AT108" s="594"/>
      <c r="AU108" s="594"/>
      <c r="AV108" s="594"/>
    </row>
    <row r="109" spans="1:50" ht="20.100000000000001" customHeight="1">
      <c r="B109" s="573"/>
      <c r="C109" s="581" t="s">
        <v>1776</v>
      </c>
      <c r="D109" s="581"/>
      <c r="E109" s="581"/>
      <c r="F109" s="581"/>
      <c r="G109" s="581"/>
      <c r="H109" s="581"/>
      <c r="I109" s="581"/>
      <c r="J109" s="581"/>
      <c r="K109" s="581"/>
      <c r="L109" s="581"/>
      <c r="M109" s="623"/>
      <c r="N109" s="623"/>
      <c r="O109" s="623"/>
      <c r="P109" s="623"/>
      <c r="Q109" s="623"/>
      <c r="R109" s="623"/>
      <c r="S109" s="623"/>
      <c r="T109" s="623">
        <v>1</v>
      </c>
      <c r="U109" s="623">
        <v>1</v>
      </c>
      <c r="V109" s="623">
        <v>1</v>
      </c>
      <c r="W109" s="623">
        <v>1</v>
      </c>
      <c r="X109" s="623">
        <v>1</v>
      </c>
      <c r="Y109" s="623"/>
      <c r="Z109" s="623"/>
      <c r="AA109" s="623"/>
      <c r="AB109" s="623"/>
      <c r="AC109" s="623"/>
      <c r="AD109" s="623"/>
      <c r="AE109" s="623"/>
      <c r="AF109" s="623"/>
      <c r="AG109" s="623">
        <f t="shared" ref="AG109:AP109" si="61">IF(((1+$D$22)^(($D$7-(AF30))/365))&gt;1,1,(1+$D$22)^(($D$7-(AF30))/365))</f>
        <v>0.90334236675700097</v>
      </c>
      <c r="AH109" s="623">
        <f t="shared" si="61"/>
        <v>0.81602743157813995</v>
      </c>
      <c r="AI109" s="623">
        <f t="shared" si="61"/>
        <v>0.73694688076179882</v>
      </c>
      <c r="AJ109" s="623">
        <f t="shared" si="61"/>
        <v>0.66571533944155259</v>
      </c>
      <c r="AK109" s="623">
        <f t="shared" si="61"/>
        <v>0.60136887031757247</v>
      </c>
      <c r="AL109" s="623">
        <f t="shared" si="61"/>
        <v>0.54324197860665979</v>
      </c>
      <c r="AM109" s="623">
        <f t="shared" si="61"/>
        <v>0.49059684287673433</v>
      </c>
      <c r="AN109" s="623">
        <f t="shared" si="61"/>
        <v>0.44317691316778174</v>
      </c>
      <c r="AO109" s="623">
        <f t="shared" si="61"/>
        <v>0.40034048163304581</v>
      </c>
      <c r="AP109" s="623">
        <f t="shared" si="61"/>
        <v>0.36164451818703325</v>
      </c>
      <c r="AQ109" s="623">
        <f>AP109/(D22-D13)</f>
        <v>5.8329760997908586</v>
      </c>
      <c r="AR109" s="594"/>
      <c r="AS109" s="594"/>
      <c r="AT109" s="594"/>
      <c r="AU109" s="594"/>
      <c r="AV109" s="594"/>
    </row>
    <row r="110" spans="1:50" ht="20.100000000000001" customHeight="1" thickBot="1">
      <c r="B110" s="573"/>
      <c r="C110" s="573" t="s">
        <v>1777</v>
      </c>
      <c r="D110" s="620"/>
      <c r="E110" s="620"/>
      <c r="F110" s="620"/>
      <c r="G110" s="620"/>
      <c r="H110" s="620"/>
      <c r="I110" s="620"/>
      <c r="J110" s="620"/>
      <c r="K110" s="620"/>
      <c r="L110" s="620"/>
      <c r="M110" s="620"/>
      <c r="N110" s="620"/>
      <c r="O110" s="620"/>
      <c r="P110" s="620"/>
      <c r="Q110" s="556"/>
      <c r="R110" s="556"/>
      <c r="S110" s="556"/>
      <c r="T110" s="556"/>
      <c r="U110" s="556" t="e">
        <f t="shared" ref="U110:AK110" si="62">U107*U108*U109</f>
        <v>#VALUE!</v>
      </c>
      <c r="V110" s="556" t="e">
        <f t="shared" si="62"/>
        <v>#VALUE!</v>
      </c>
      <c r="W110" s="556" t="e">
        <f t="shared" si="62"/>
        <v>#REF!</v>
      </c>
      <c r="X110" s="556" t="e">
        <f t="shared" si="62"/>
        <v>#REF!</v>
      </c>
      <c r="Y110" s="556"/>
      <c r="Z110" s="556"/>
      <c r="AA110" s="556"/>
      <c r="AB110" s="556"/>
      <c r="AC110" s="556"/>
      <c r="AD110" s="556"/>
      <c r="AE110" s="556"/>
      <c r="AF110" s="556"/>
      <c r="AG110" s="556">
        <f t="shared" si="62"/>
        <v>4.1618273325590406E-2</v>
      </c>
      <c r="AH110" s="556">
        <f t="shared" si="62"/>
        <v>4.3715755263114636E-2</v>
      </c>
      <c r="AI110" s="556">
        <f t="shared" si="62"/>
        <v>4.5795984733054636E-2</v>
      </c>
      <c r="AJ110" s="556">
        <f t="shared" si="62"/>
        <v>4.7788851152768604E-2</v>
      </c>
      <c r="AK110" s="556">
        <f t="shared" si="62"/>
        <v>4.896860801157376E-2</v>
      </c>
      <c r="AL110" s="556">
        <f t="shared" ref="AL110:AM110" si="63">AL107*AL108*AL109</f>
        <v>5.0637913005835068E-2</v>
      </c>
      <c r="AM110" s="556">
        <f t="shared" si="63"/>
        <v>5.1512668502057109E-2</v>
      </c>
      <c r="AN110" s="556">
        <f t="shared" ref="AN110:AO110" si="64">AN107*AN108*AN109</f>
        <v>5.2706397173168336E-2</v>
      </c>
      <c r="AO110" s="556">
        <f t="shared" si="64"/>
        <v>5.404596502046119E-2</v>
      </c>
      <c r="AP110" s="556">
        <f t="shared" ref="AP110" si="65">AP107*AP108*AP109</f>
        <v>5.5021630267027201E-2</v>
      </c>
      <c r="AQ110" s="620">
        <f>AQ107*AQ108*AQ109</f>
        <v>0.92738070369424863</v>
      </c>
      <c r="AR110" s="594"/>
      <c r="AS110" s="594"/>
      <c r="AT110" s="594"/>
      <c r="AU110" s="594"/>
      <c r="AV110" s="594"/>
    </row>
    <row r="111" spans="1:50" ht="20.100000000000001" customHeight="1" thickTop="1" thickBot="1">
      <c r="B111" s="573"/>
      <c r="C111" s="624" t="s">
        <v>498</v>
      </c>
      <c r="D111" s="625"/>
      <c r="E111" s="625"/>
      <c r="F111" s="625"/>
      <c r="G111" s="625"/>
      <c r="H111" s="625"/>
      <c r="I111" s="625"/>
      <c r="J111" s="625"/>
      <c r="K111" s="625"/>
      <c r="L111" s="625"/>
      <c r="M111" s="625"/>
      <c r="N111" s="625"/>
      <c r="O111" s="625"/>
      <c r="P111" s="625"/>
      <c r="Q111" s="625"/>
      <c r="R111" s="625"/>
      <c r="S111" s="625"/>
      <c r="T111" s="625"/>
      <c r="U111" s="625"/>
      <c r="V111" s="625"/>
      <c r="W111" s="625"/>
      <c r="X111" s="625"/>
      <c r="Y111" s="625"/>
      <c r="Z111" s="625"/>
      <c r="AA111" s="625"/>
      <c r="AB111" s="625"/>
      <c r="AC111" s="625"/>
      <c r="AD111" s="625"/>
      <c r="AE111" s="625"/>
      <c r="AF111" s="625"/>
      <c r="AG111" s="625"/>
      <c r="AH111" s="625"/>
      <c r="AI111" s="625"/>
      <c r="AJ111" s="625"/>
      <c r="AK111" s="625"/>
      <c r="AL111" s="625"/>
      <c r="AM111" s="625"/>
      <c r="AN111" s="625"/>
      <c r="AO111" s="625"/>
      <c r="AP111" s="625"/>
      <c r="AQ111" s="626">
        <f>SUM(AD110:AQ110)</f>
        <v>1.4191927501488997</v>
      </c>
      <c r="AR111" s="594"/>
      <c r="AS111" s="594"/>
      <c r="AT111" s="594"/>
      <c r="AU111" s="594"/>
      <c r="AV111" s="594"/>
    </row>
    <row r="112" spans="1:50" ht="20.100000000000001" customHeight="1" thickTop="1">
      <c r="B112" s="573"/>
      <c r="C112" s="573"/>
      <c r="D112" s="573"/>
      <c r="E112" s="573"/>
      <c r="F112" s="573"/>
      <c r="G112" s="573"/>
      <c r="H112" s="573"/>
      <c r="I112" s="573"/>
      <c r="J112" s="573"/>
      <c r="K112" s="616"/>
      <c r="L112" s="594"/>
      <c r="M112" s="594"/>
      <c r="N112" s="594"/>
      <c r="O112" s="594"/>
      <c r="P112" s="594"/>
      <c r="Q112" s="594"/>
      <c r="R112" s="594"/>
      <c r="S112" s="594"/>
      <c r="T112" s="594"/>
      <c r="U112" s="594"/>
      <c r="V112" s="594"/>
      <c r="W112" s="594"/>
      <c r="X112" s="594"/>
      <c r="Y112" s="594"/>
      <c r="Z112" s="594"/>
      <c r="AA112" s="594"/>
      <c r="AB112" s="594"/>
      <c r="AC112" s="594"/>
      <c r="AD112" s="594"/>
      <c r="AE112" s="594"/>
      <c r="AF112" s="594"/>
      <c r="AG112" s="594"/>
      <c r="AH112" s="594"/>
      <c r="AI112" s="594"/>
      <c r="AJ112" s="594"/>
      <c r="AK112" s="594"/>
      <c r="AL112" s="594"/>
      <c r="AM112" s="594"/>
      <c r="AN112" s="594"/>
      <c r="AO112" s="594"/>
      <c r="AP112" s="594"/>
      <c r="AQ112" s="594"/>
      <c r="AR112" s="594"/>
      <c r="AS112" s="594"/>
      <c r="AT112" s="594"/>
      <c r="AU112" s="594"/>
      <c r="AV112" s="594"/>
      <c r="AW112" s="594"/>
      <c r="AX112" s="594"/>
    </row>
    <row r="113" spans="11:50" ht="20.100000000000001" customHeight="1">
      <c r="K113" s="594"/>
      <c r="L113" s="594"/>
      <c r="M113" s="594"/>
      <c r="N113" s="594"/>
      <c r="O113" s="594"/>
      <c r="P113" s="594"/>
      <c r="Q113" s="594"/>
      <c r="R113" s="594"/>
      <c r="S113" s="594"/>
      <c r="T113" s="594"/>
      <c r="U113" s="594"/>
      <c r="V113" s="594"/>
      <c r="W113" s="594"/>
      <c r="X113" s="594"/>
      <c r="Y113" s="594"/>
      <c r="Z113" s="594"/>
      <c r="AA113" s="594"/>
      <c r="AB113" s="594"/>
      <c r="AC113" s="594"/>
      <c r="AD113" s="594"/>
      <c r="AE113" s="594"/>
      <c r="AF113" s="594"/>
      <c r="AG113" s="594"/>
      <c r="AH113" s="594"/>
      <c r="AI113" s="594"/>
      <c r="AJ113" s="594"/>
      <c r="AK113" s="594"/>
      <c r="AL113" s="594"/>
      <c r="AM113" s="594"/>
      <c r="AN113" s="594"/>
      <c r="AO113" s="594"/>
      <c r="AP113" s="594"/>
      <c r="AQ113" s="594"/>
      <c r="AR113" s="594"/>
      <c r="AS113" s="594"/>
      <c r="AT113" s="594"/>
      <c r="AU113" s="594"/>
      <c r="AV113" s="594"/>
      <c r="AW113" s="594"/>
      <c r="AX113" s="594"/>
    </row>
  </sheetData>
  <mergeCells count="3">
    <mergeCell ref="C37:D37"/>
    <mergeCell ref="H37:J37"/>
    <mergeCell ref="C38:D38"/>
  </mergeCells>
  <pageMargins left="0.7" right="0.7" top="0.75" bottom="0.75" header="0.3" footer="0.3"/>
  <pageSetup paperSize="9" orientation="portrait" horizontalDpi="300" verticalDpi="300" r:id="rId1"/>
  <customProperties>
    <customPr name="Qube.Worksheet.Visibility"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ACD7C-5FA5-41D3-A84A-3EF85B81544A}">
  <sheetPr>
    <tabColor theme="5"/>
    <pageSetUpPr fitToPage="1"/>
  </sheetPr>
  <dimension ref="A1:W71"/>
  <sheetViews>
    <sheetView topLeftCell="C1" workbookViewId="0">
      <selection activeCell="D5" sqref="D5"/>
    </sheetView>
  </sheetViews>
  <sheetFormatPr defaultRowHeight="12.75" outlineLevelCol="1"/>
  <cols>
    <col min="1" max="2" width="0" style="1123" hidden="1" customWidth="1" outlineLevel="1"/>
    <col min="3" max="3" width="3.7109375" customWidth="1" collapsed="1"/>
    <col min="4" max="4" width="18.7109375" customWidth="1"/>
    <col min="11" max="11" width="4" customWidth="1"/>
    <col min="12" max="12" width="22" customWidth="1"/>
    <col min="21" max="21" width="12.5703125" customWidth="1"/>
  </cols>
  <sheetData>
    <row r="1" spans="1:23" s="773" customFormat="1" ht="12">
      <c r="A1" s="1123"/>
      <c r="B1" s="1123"/>
      <c r="F1" s="773">
        <v>25</v>
      </c>
      <c r="G1" s="773">
        <v>28</v>
      </c>
      <c r="H1" s="773">
        <v>31</v>
      </c>
      <c r="I1" s="773">
        <v>34</v>
      </c>
      <c r="J1" s="773">
        <v>37</v>
      </c>
      <c r="N1" s="773">
        <v>25</v>
      </c>
      <c r="O1" s="773">
        <v>28</v>
      </c>
      <c r="P1" s="773">
        <v>31</v>
      </c>
      <c r="Q1" s="773">
        <v>34</v>
      </c>
      <c r="R1" s="773">
        <v>37</v>
      </c>
    </row>
    <row r="3" spans="1:23">
      <c r="D3" s="1084" t="s">
        <v>1913</v>
      </c>
      <c r="E3" s="1084"/>
      <c r="F3" s="1084"/>
      <c r="G3" s="1084"/>
      <c r="H3" s="1084"/>
      <c r="I3" s="1084"/>
      <c r="J3" s="1084"/>
      <c r="K3" s="1084"/>
      <c r="L3" s="1084"/>
      <c r="M3" s="1084"/>
      <c r="N3" s="1084"/>
      <c r="O3" s="1084"/>
      <c r="P3" s="1084"/>
      <c r="Q3" s="1084"/>
      <c r="R3" s="1085"/>
    </row>
    <row r="5" spans="1:23">
      <c r="D5" s="1086" t="s">
        <v>1914</v>
      </c>
      <c r="E5" s="1087"/>
      <c r="F5" s="1087" t="s">
        <v>1838</v>
      </c>
      <c r="G5" s="1087" t="s">
        <v>1830</v>
      </c>
      <c r="H5" s="1087" t="s">
        <v>1856</v>
      </c>
      <c r="I5" s="1087" t="s">
        <v>1879</v>
      </c>
      <c r="J5" s="1087" t="s">
        <v>1880</v>
      </c>
      <c r="K5" s="1088"/>
      <c r="L5" s="1086" t="s">
        <v>1915</v>
      </c>
      <c r="M5" s="1087"/>
      <c r="N5" s="1087"/>
      <c r="O5" s="1087"/>
      <c r="P5" s="1087"/>
      <c r="Q5" s="1087"/>
      <c r="R5" s="1087"/>
    </row>
    <row r="6" spans="1:23">
      <c r="A6" s="1123" cm="1">
        <f t="array" ref="A6">ROW(MODEL!5:5)</f>
        <v>5</v>
      </c>
      <c r="D6" s="1089" t="s">
        <v>1645</v>
      </c>
      <c r="F6" s="1089" cm="1">
        <f t="array" ref="F6">INDEX(MODEL!$1:$1048576,$A6,F$1)</f>
        <v>1529.9929999999999</v>
      </c>
      <c r="G6" s="1089" cm="1">
        <f t="array" ref="G6">INDEX(MODEL!$1:$1048576,$A6,G$1)</f>
        <v>1696.5509999999999</v>
      </c>
      <c r="H6" s="1089" cm="1">
        <f t="array" ref="H6">INDEX(MODEL!$1:$1048576,$A6,H$1)</f>
        <v>1851.3000823963678</v>
      </c>
      <c r="I6" s="1089" cm="1">
        <f t="array" ref="I6">INDEX(MODEL!$1:$1048576,$A6,I$1)</f>
        <v>2036.6819156775794</v>
      </c>
      <c r="J6" s="1089" cm="1">
        <f t="array" ref="J6">INDEX(MODEL!$1:$1048576,$A6,J$1)</f>
        <v>2252.6956650693378</v>
      </c>
      <c r="L6" s="1092" t="s">
        <v>1942</v>
      </c>
      <c r="M6" s="1101" t="s">
        <v>1949</v>
      </c>
      <c r="N6" s="1101" t="s">
        <v>1950</v>
      </c>
      <c r="O6" s="1102" t="s">
        <v>1951</v>
      </c>
      <c r="P6" s="1088"/>
      <c r="Q6" s="1088"/>
      <c r="R6" s="1103" t="s">
        <v>1603</v>
      </c>
    </row>
    <row r="7" spans="1:23">
      <c r="A7" s="1123" cm="1">
        <f t="array" ref="A7">ROW(MODEL!8:8)</f>
        <v>8</v>
      </c>
      <c r="D7" s="1088" t="s">
        <v>681</v>
      </c>
      <c r="F7" s="1091" cm="1">
        <f t="array" ref="F7">INDEX(MODEL!$1:$1048576,$A7,F$1)</f>
        <v>-973.05499999999995</v>
      </c>
      <c r="G7" s="1091" cm="1">
        <f t="array" ref="G7">INDEX(MODEL!$1:$1048576,$A7,G$1)</f>
        <v>-1076.0740000000001</v>
      </c>
      <c r="H7" s="1091" cm="1">
        <f t="array" ref="H7">INDEX(MODEL!$1:$1048576,$A7,H$1)</f>
        <v>-1193.8868027748736</v>
      </c>
      <c r="I7" s="1091" cm="1">
        <f t="array" ref="I7">INDEX(MODEL!$1:$1048576,$A7,I$1)</f>
        <v>-1307.5706781179733</v>
      </c>
      <c r="J7" s="1091" cm="1">
        <f t="array" ref="J7">INDEX(MODEL!$1:$1048576,$A7,J$1)</f>
        <v>-1442.865858779307</v>
      </c>
      <c r="L7" s="1088" t="s">
        <v>1469</v>
      </c>
      <c r="M7" s="1112">
        <f>85%/2</f>
        <v>0.42499999999999999</v>
      </c>
      <c r="N7" s="1110">
        <f>DCF_VAL</f>
        <v>35.807392516547019</v>
      </c>
      <c r="O7" s="1099" t="s">
        <v>1953</v>
      </c>
      <c r="R7" s="1110">
        <f>Valuation!I31</f>
        <v>34.01</v>
      </c>
      <c r="V7" s="1092" t="s">
        <v>1967</v>
      </c>
      <c r="W7" s="1092" t="s">
        <v>1968</v>
      </c>
    </row>
    <row r="8" spans="1:23">
      <c r="A8" s="1123" cm="1">
        <f t="array" ref="A8">ROW(MODEL!11:11)</f>
        <v>11</v>
      </c>
      <c r="D8" s="1090" t="s">
        <v>1713</v>
      </c>
      <c r="F8" s="1091" cm="1">
        <f t="array" ref="F8">INDEX(MODEL!$1:$1048576,$A8,F$1)</f>
        <v>556.93799999999999</v>
      </c>
      <c r="G8" s="1091" cm="1">
        <f t="array" ref="G8">INDEX(MODEL!$1:$1048576,$A8,G$1)</f>
        <v>620.47699999999986</v>
      </c>
      <c r="H8" s="1091" cm="1">
        <f t="array" ref="H8">INDEX(MODEL!$1:$1048576,$A8,H$1)</f>
        <v>657.41327962149421</v>
      </c>
      <c r="I8" s="1091" cm="1">
        <f t="array" ref="I8">INDEX(MODEL!$1:$1048576,$A8,I$1)</f>
        <v>729.11123755960614</v>
      </c>
      <c r="J8" s="1091" cm="1">
        <f t="array" ref="J8">INDEX(MODEL!$1:$1048576,$A8,J$1)</f>
        <v>809.82980629003089</v>
      </c>
      <c r="L8" s="1088" t="s">
        <v>1943</v>
      </c>
      <c r="M8" s="1112">
        <f>85%/2</f>
        <v>0.42499999999999999</v>
      </c>
      <c r="N8" s="1110">
        <f>SOTP__VAL</f>
        <v>35.651097929679523</v>
      </c>
      <c r="O8" s="1088"/>
      <c r="U8" s="1116" t="s">
        <v>1964</v>
      </c>
      <c r="V8" s="1142">
        <f>Valuation!I17</f>
        <v>145.32260799999997</v>
      </c>
      <c r="W8" s="1142">
        <f>V8</f>
        <v>145.32260799999997</v>
      </c>
    </row>
    <row r="9" spans="1:23">
      <c r="A9" s="1123" cm="1">
        <f t="array" ref="A9">ROW(MODEL!33:33)</f>
        <v>33</v>
      </c>
      <c r="D9" s="1091" t="s">
        <v>1067</v>
      </c>
      <c r="F9" s="1091" cm="1">
        <f t="array" ref="F9">INDEX(MODEL!$1:$1048576,$A9,F$1)</f>
        <v>245.49799999999999</v>
      </c>
      <c r="G9" s="1091" cm="1">
        <f t="array" ref="G9">INDEX(MODEL!$1:$1048576,$A9,G$1)</f>
        <v>271.89400000000001</v>
      </c>
      <c r="H9" s="1091" cm="1">
        <f t="array" ref="H9">INDEX(MODEL!$1:$1048576,$A9,H$1)</f>
        <v>280.35620746562842</v>
      </c>
      <c r="I9" s="1091" cm="1">
        <f t="array" ref="I9">INDEX(MODEL!$1:$1048576,$A9,I$1)</f>
        <v>318.77786881767946</v>
      </c>
      <c r="J9" s="1091" cm="1">
        <f t="array" ref="J9">INDEX(MODEL!$1:$1048576,$A9,J$1)</f>
        <v>358.22851823633471</v>
      </c>
      <c r="L9" s="1088" t="s">
        <v>1704</v>
      </c>
      <c r="M9" s="1113">
        <v>0.15</v>
      </c>
      <c r="N9" s="1110">
        <f>Valuation!I28</f>
        <v>47.903039434215223</v>
      </c>
      <c r="O9" s="1104" t="s">
        <v>116</v>
      </c>
      <c r="R9" s="1110">
        <f>TP</f>
        <v>37.6</v>
      </c>
      <c r="U9" s="1088" t="s">
        <v>1965</v>
      </c>
      <c r="V9" s="1143">
        <f>V8*R7</f>
        <v>4942.4218980799988</v>
      </c>
      <c r="W9" s="1143">
        <f>W8*R9</f>
        <v>5464.1300607999992</v>
      </c>
    </row>
    <row r="10" spans="1:23">
      <c r="A10" s="1123" cm="1">
        <f t="array" ref="A10">ROW(MODEL!36:36)</f>
        <v>36</v>
      </c>
      <c r="D10" s="1092" t="s">
        <v>1639</v>
      </c>
      <c r="F10" s="1089" cm="1">
        <f t="array" ref="F10">INDEX(MODEL!$1:$1048576,$A10,F$1)</f>
        <v>-59.784999999999997</v>
      </c>
      <c r="G10" s="1089" cm="1">
        <f t="array" ref="G10">INDEX(MODEL!$1:$1048576,$A10,G$1)</f>
        <v>-67.328000000000003</v>
      </c>
      <c r="H10" s="1089" cm="1">
        <f t="array" ref="H10">INDEX(MODEL!$1:$1048576,$A10,H$1)</f>
        <v>-73.883378007412034</v>
      </c>
      <c r="I10" s="1089" cm="1">
        <f t="array" ref="I10">INDEX(MODEL!$1:$1048576,$A10,I$1)</f>
        <v>-80.059756722977397</v>
      </c>
      <c r="J10" s="1089" cm="1">
        <f t="array" ref="J10">INDEX(MODEL!$1:$1048576,$A10,J$1)</f>
        <v>-87.424675048402833</v>
      </c>
      <c r="L10" s="1092" t="s">
        <v>1944</v>
      </c>
      <c r="N10" s="1111">
        <f>TP</f>
        <v>37.6</v>
      </c>
      <c r="O10" s="1099" t="s">
        <v>1954</v>
      </c>
      <c r="R10" s="1112">
        <f>R9/R7-1</f>
        <v>0.10555718906204059</v>
      </c>
      <c r="U10" s="1088" t="s">
        <v>1966</v>
      </c>
      <c r="V10" s="1144">
        <f>V9+Valuation!I14</f>
        <v>4941.987095346115</v>
      </c>
      <c r="W10" s="1144">
        <f>W9+Valuation!I14</f>
        <v>5463.6952580661155</v>
      </c>
    </row>
    <row r="11" spans="1:23">
      <c r="A11" s="1123" cm="1">
        <f t="array" ref="A11">ROW(MODEL!44:44)</f>
        <v>44</v>
      </c>
      <c r="D11" s="1088" t="s">
        <v>1916</v>
      </c>
      <c r="F11" s="1091" cm="1">
        <f t="array" ref="F11">INDEX(MODEL!$1:$1048576,$A11,F$1)</f>
        <v>185.71299999999999</v>
      </c>
      <c r="G11" s="1091" cm="1">
        <f t="array" ref="G11">INDEX(MODEL!$1:$1048576,$A11,G$1)</f>
        <v>204.566</v>
      </c>
      <c r="H11" s="1091" cm="1">
        <f t="array" ref="H11">INDEX(MODEL!$1:$1048576,$A11,H$1)</f>
        <v>206.47282945821638</v>
      </c>
      <c r="I11" s="1091" cm="1">
        <f t="array" ref="I11">INDEX(MODEL!$1:$1048576,$A11,I$1)</f>
        <v>238.71811209470206</v>
      </c>
      <c r="J11" s="1091" cm="1">
        <f t="array" ref="J11">INDEX(MODEL!$1:$1048576,$A11,J$1)</f>
        <v>270.80384318793188</v>
      </c>
      <c r="O11" s="1088"/>
    </row>
    <row r="12" spans="1:23">
      <c r="D12" s="1088"/>
      <c r="L12" s="1100" t="s">
        <v>1945</v>
      </c>
      <c r="O12" s="1104" t="s">
        <v>1955</v>
      </c>
    </row>
    <row r="13" spans="1:23">
      <c r="A13" s="1123" cm="1">
        <f t="array" ref="A13">ROW(Net_interest_expense)</f>
        <v>48</v>
      </c>
      <c r="D13" s="1090" t="s">
        <v>398</v>
      </c>
      <c r="F13" s="1091" cm="1">
        <f t="array" ref="F13">INDEX(MODEL!$1:$1048576,$A13,F$1)</f>
        <v>-20.026</v>
      </c>
      <c r="G13" s="1091" cm="1">
        <f t="array" ref="G13">INDEX(MODEL!$1:$1048576,$A13,G$1)</f>
        <v>-14.667999999999999</v>
      </c>
      <c r="H13" s="1091" cm="1">
        <f t="array" ref="H13">INDEX(MODEL!$1:$1048576,$A13,H$1)</f>
        <v>-16.690134071000426</v>
      </c>
      <c r="I13" s="1091" cm="1">
        <f t="array" ref="I13">INDEX(MODEL!$1:$1048576,$A13,I$1)</f>
        <v>-14.412455251429058</v>
      </c>
      <c r="J13" s="1091" cm="1">
        <f t="array" ref="J13">INDEX(MODEL!$1:$1048576,$A13,J$1)</f>
        <v>-10.968762470636673</v>
      </c>
      <c r="L13" s="1094" t="s">
        <v>1946</v>
      </c>
      <c r="N13" s="1112">
        <f>DCF!D13</f>
        <v>4.4999999999999998E-2</v>
      </c>
      <c r="O13" s="1099" t="s">
        <v>1956</v>
      </c>
      <c r="R13" s="1117">
        <f>Valuation!I17</f>
        <v>145.32260799999997</v>
      </c>
    </row>
    <row r="14" spans="1:23">
      <c r="A14" s="1123" cm="1">
        <f t="array" ref="A14">ROW(Pre_tax_profit)</f>
        <v>50</v>
      </c>
      <c r="D14" s="1093" t="s">
        <v>1917</v>
      </c>
      <c r="F14" s="1089" cm="1">
        <f t="array" ref="F14">INDEX(MODEL!$1:$1048576,$A14,F$1)</f>
        <v>165.68699999999998</v>
      </c>
      <c r="G14" s="1089" cm="1">
        <f t="array" ref="G14">INDEX(MODEL!$1:$1048576,$A14,G$1)</f>
        <v>189.898</v>
      </c>
      <c r="H14" s="1089" cm="1">
        <f t="array" ref="H14">INDEX(MODEL!$1:$1048576,$A14,H$1)</f>
        <v>189.78269538721597</v>
      </c>
      <c r="I14" s="1089" cm="1">
        <f t="array" ref="I14">INDEX(MODEL!$1:$1048576,$A14,I$1)</f>
        <v>224.305656843273</v>
      </c>
      <c r="J14" s="1089" cm="1">
        <f t="array" ref="J14">INDEX(MODEL!$1:$1048576,$A14,J$1)</f>
        <v>259.83508071729523</v>
      </c>
      <c r="L14" s="1094" t="s">
        <v>1947</v>
      </c>
      <c r="N14" s="1114" t="s">
        <v>1963</v>
      </c>
      <c r="O14" s="1099" t="s">
        <v>1957</v>
      </c>
      <c r="R14" s="1091">
        <f>V9</f>
        <v>4942.4218980799988</v>
      </c>
    </row>
    <row r="15" spans="1:23">
      <c r="D15" s="1090"/>
      <c r="L15" s="1094" t="s">
        <v>1948</v>
      </c>
      <c r="N15" s="1115">
        <f>Valuation!E24</f>
        <v>1.2</v>
      </c>
      <c r="O15" s="1099" t="s">
        <v>1958</v>
      </c>
      <c r="R15" s="1091">
        <f>V10</f>
        <v>4941.987095346115</v>
      </c>
    </row>
    <row r="16" spans="1:23">
      <c r="A16" s="1123" cm="1">
        <f t="array" ref="A16">ROW(Tax_expense)</f>
        <v>52</v>
      </c>
      <c r="D16" s="1090" t="s">
        <v>1918</v>
      </c>
      <c r="F16" s="1091" cm="1">
        <f t="array" ref="F16">INDEX(MODEL!$1:$1048576,$A16,F$1)</f>
        <v>-47.18</v>
      </c>
      <c r="G16" s="1091" cm="1">
        <f t="array" ref="G16">INDEX(MODEL!$1:$1048576,$A16,G$1)</f>
        <v>-54.043999999999997</v>
      </c>
      <c r="H16" s="1091" cm="1">
        <f t="array" ref="H16">INDEX(MODEL!$1:$1048576,$A16,H$1)</f>
        <v>-54.011184896663991</v>
      </c>
      <c r="I16" s="1091" cm="1">
        <f t="array" ref="I16">INDEX(MODEL!$1:$1048576,$A16,I$1)</f>
        <v>-63.836243238148086</v>
      </c>
      <c r="J16" s="1091" cm="1">
        <f t="array" ref="J16">INDEX(MODEL!$1:$1048576,$A16,J$1)</f>
        <v>-73.947735638529636</v>
      </c>
      <c r="L16" s="1094" t="s">
        <v>478</v>
      </c>
      <c r="N16" s="1112">
        <f>Valuation!H24</f>
        <v>9.3833333333333338E-2</v>
      </c>
    </row>
    <row r="17" spans="1:18">
      <c r="A17" s="1123" cm="1">
        <f t="array" ref="A17">ROW(NPAT)</f>
        <v>57</v>
      </c>
      <c r="D17" s="1089" t="s">
        <v>1919</v>
      </c>
      <c r="F17" s="1089" cm="1">
        <f t="array" ref="F17">INDEX(MODEL!$1:$1048576,$A17,F$1)</f>
        <v>118.50699999999998</v>
      </c>
      <c r="G17" s="1089" cm="1">
        <f t="array" ref="G17">INDEX(MODEL!$1:$1048576,$A17,G$1)</f>
        <v>135.85399999999998</v>
      </c>
      <c r="H17" s="1089" cm="1">
        <f t="array" ref="H17">INDEX(MODEL!$1:$1048576,$A17,H$1)</f>
        <v>135.77151049055198</v>
      </c>
      <c r="I17" s="1089" cm="1">
        <f t="array" ref="I17">INDEX(MODEL!$1:$1048576,$A17,I$1)</f>
        <v>160.46941360512491</v>
      </c>
      <c r="J17" s="1089" cm="1">
        <f t="array" ref="J17">INDEX(MODEL!$1:$1048576,$A17,J$1)</f>
        <v>185.88734507876558</v>
      </c>
    </row>
    <row r="18" spans="1:18">
      <c r="D18" s="1088"/>
      <c r="L18" s="1086" t="s">
        <v>1952</v>
      </c>
      <c r="M18" s="1087"/>
      <c r="N18" s="1087" t="s">
        <v>1838</v>
      </c>
      <c r="O18" s="1087" t="s">
        <v>1830</v>
      </c>
      <c r="P18" s="1087" t="s">
        <v>1856</v>
      </c>
      <c r="Q18" s="1087" t="s">
        <v>1879</v>
      </c>
      <c r="R18" s="1087" t="s">
        <v>1880</v>
      </c>
    </row>
    <row r="19" spans="1:18">
      <c r="A19" s="1123" cm="1">
        <f t="array" ref="A19">ROW(MODEL!66:66)</f>
        <v>66</v>
      </c>
      <c r="D19" s="1092" t="s">
        <v>1920</v>
      </c>
      <c r="F19" s="1089" cm="1">
        <f t="array" ref="F19">INDEX(MODEL!$1:$1048576,$A19,F$1)</f>
        <v>82.693340962535487</v>
      </c>
      <c r="G19" s="1089" cm="1">
        <f t="array" ref="G19">INDEX(MODEL!$1:$1048576,$A19,G$1)</f>
        <v>94.447997775305879</v>
      </c>
      <c r="H19" s="1089" cm="1">
        <f t="array" ref="H19">INDEX(MODEL!$1:$1048576,$A19,H$1)</f>
        <v>93.427658888802767</v>
      </c>
      <c r="I19" s="1089" cm="1">
        <f t="array" ref="I19">INDEX(MODEL!$1:$1048576,$A19,I$1)</f>
        <v>110.42288313813151</v>
      </c>
      <c r="J19" s="1089" cm="1">
        <f t="array" ref="J19">INDEX(MODEL!$1:$1048576,$A19,J$1)</f>
        <v>127.91357630931425</v>
      </c>
      <c r="L19" s="1105">
        <f>R7</f>
        <v>34.01</v>
      </c>
    </row>
    <row r="20" spans="1:18">
      <c r="A20" s="1123" cm="1">
        <f t="array" ref="A20">ROW(MODEL!72:72)</f>
        <v>72</v>
      </c>
      <c r="D20" s="1094" t="s">
        <v>1921</v>
      </c>
      <c r="F20" s="1091" cm="1">
        <f t="array" ref="F20">INDEX(MODEL!$1:$1048576,$A20,F$1)</f>
        <v>33</v>
      </c>
      <c r="G20" s="1091" cm="1">
        <f t="array" ref="G20">INDEX(MODEL!$1:$1048576,$A20,G$1)</f>
        <v>37</v>
      </c>
      <c r="H20" s="1091" cm="1">
        <f t="array" ref="H20">INDEX(MODEL!$1:$1048576,$A20,H$1)</f>
        <v>37</v>
      </c>
      <c r="I20" s="1091" cm="1">
        <f t="array" ref="I20">INDEX(MODEL!$1:$1048576,$A20,I$1)</f>
        <v>43</v>
      </c>
      <c r="J20" s="1091" cm="1">
        <f t="array" ref="J20">INDEX(MODEL!$1:$1048576,$A20,J$1)</f>
        <v>50</v>
      </c>
      <c r="L20" s="1094" t="s">
        <v>1959</v>
      </c>
      <c r="N20" s="1118">
        <f>$R$7/F19*100</f>
        <v>41.127858185592416</v>
      </c>
      <c r="O20" s="1118">
        <f>$R$7/G19*100</f>
        <v>36.009233441783095</v>
      </c>
      <c r="P20" s="1118">
        <f>$R$7/H19*100</f>
        <v>36.402496224890498</v>
      </c>
      <c r="Q20" s="1118">
        <f>$R$7/I19*100</f>
        <v>30.799775402944157</v>
      </c>
      <c r="R20" s="1118">
        <f>$R$7/J19*100</f>
        <v>26.588264499585808</v>
      </c>
    </row>
    <row r="21" spans="1:18">
      <c r="D21" s="1088"/>
      <c r="L21" s="1094" t="s">
        <v>1960</v>
      </c>
      <c r="N21" s="1118">
        <f>$R$15/F11</f>
        <v>26.610883973368129</v>
      </c>
      <c r="O21" s="1118">
        <f>$R$15/G11</f>
        <v>24.158399222481325</v>
      </c>
      <c r="P21" s="1118">
        <f>$R$15/H11</f>
        <v>23.935290218639725</v>
      </c>
      <c r="Q21" s="1118">
        <f>$R$15/I11</f>
        <v>20.702187412514284</v>
      </c>
      <c r="R21" s="1118">
        <f>$R$15/J11</f>
        <v>18.249324075938187</v>
      </c>
    </row>
    <row r="22" spans="1:18">
      <c r="D22" s="1086" t="s">
        <v>1922</v>
      </c>
      <c r="E22" s="1087"/>
      <c r="F22" s="1087" t="s">
        <v>1838</v>
      </c>
      <c r="G22" s="1087" t="s">
        <v>1830</v>
      </c>
      <c r="H22" s="1087" t="s">
        <v>1856</v>
      </c>
      <c r="I22" s="1087" t="s">
        <v>1879</v>
      </c>
      <c r="J22" s="1087" t="s">
        <v>1880</v>
      </c>
      <c r="L22" s="1094" t="s">
        <v>469</v>
      </c>
      <c r="N22" s="1118">
        <f>$R$15/F9</f>
        <v>20.130457662979392</v>
      </c>
      <c r="O22" s="1118">
        <f>$R$15/G9</f>
        <v>18.176153557438248</v>
      </c>
      <c r="P22" s="1118">
        <f>$R$15/H9</f>
        <v>17.627528707214378</v>
      </c>
      <c r="Q22" s="1118">
        <f>$R$15/I9</f>
        <v>15.502917795628452</v>
      </c>
      <c r="R22" s="1118">
        <f>$R$15/J9</f>
        <v>13.795627214932479</v>
      </c>
    </row>
    <row r="23" spans="1:18">
      <c r="A23" s="1123" cm="1">
        <f t="array" ref="A23">ROW(MODEL!87:87)</f>
        <v>87</v>
      </c>
      <c r="D23" s="1095" t="s">
        <v>1923</v>
      </c>
      <c r="F23" s="1091" cm="1">
        <f t="array" ref="F23">INDEX(MODEL!$1:$1048576,$A23,F$1)</f>
        <v>165.68699999999998</v>
      </c>
      <c r="G23" s="1091" cm="1">
        <f t="array" ref="G23">INDEX(MODEL!$1:$1048576,$A23,G$1)</f>
        <v>189.898</v>
      </c>
      <c r="H23" s="1091" cm="1">
        <f t="array" ref="H23">INDEX(MODEL!$1:$1048576,$A23,H$1)</f>
        <v>189.78269538721597</v>
      </c>
      <c r="I23" s="1091" cm="1">
        <f t="array" ref="I23">INDEX(MODEL!$1:$1048576,$A23,I$1)</f>
        <v>224.305656843273</v>
      </c>
      <c r="J23" s="1091" cm="1">
        <f t="array" ref="J23">INDEX(MODEL!$1:$1048576,$A23,J$1)</f>
        <v>259.83508071729523</v>
      </c>
      <c r="L23" s="1094" t="s">
        <v>1961</v>
      </c>
      <c r="N23" s="1119">
        <f>F39/$R$15</f>
        <v>4.4506186632321781E-2</v>
      </c>
      <c r="O23" s="1119">
        <f>G39/$R$14</f>
        <v>1.2365597526941587E-2</v>
      </c>
      <c r="P23" s="1119">
        <f>H39/$R$14</f>
        <v>9.8687694549333274E-4</v>
      </c>
      <c r="Q23" s="1119">
        <f>I39/$R$14</f>
        <v>4.3263293894232641E-2</v>
      </c>
      <c r="R23" s="1119">
        <f>J39/$R$14</f>
        <v>2.3017405370573101E-2</v>
      </c>
    </row>
    <row r="24" spans="1:18">
      <c r="A24" s="1123" cm="1">
        <f t="array" ref="A24">ROW(MODEL!36:36)</f>
        <v>36</v>
      </c>
      <c r="D24" s="1095" t="s">
        <v>1639</v>
      </c>
      <c r="F24" s="1091" cm="1">
        <f t="array" ref="F24">INDEX(MODEL!$1:$1048576,$A24,F$1)</f>
        <v>-59.784999999999997</v>
      </c>
      <c r="G24" s="1091" cm="1">
        <f t="array" ref="G24">INDEX(MODEL!$1:$1048576,$A24,G$1)</f>
        <v>-67.328000000000003</v>
      </c>
      <c r="H24" s="1091" cm="1">
        <f t="array" ref="H24">INDEX(MODEL!$1:$1048576,$A24,H$1)</f>
        <v>-73.883378007412034</v>
      </c>
      <c r="I24" s="1091" cm="1">
        <f t="array" ref="I24">INDEX(MODEL!$1:$1048576,$A24,I$1)</f>
        <v>-80.059756722977397</v>
      </c>
      <c r="J24" s="1091" cm="1">
        <f t="array" ref="J24">INDEX(MODEL!$1:$1048576,$A24,J$1)</f>
        <v>-87.424675048402833</v>
      </c>
      <c r="L24" s="1088"/>
    </row>
    <row r="25" spans="1:18">
      <c r="A25" s="1123" cm="1">
        <f t="array" ref="A25">ROW(working_capital_adjustment)</f>
        <v>93</v>
      </c>
      <c r="D25" s="1095" t="s">
        <v>1924</v>
      </c>
      <c r="F25" s="1091" cm="1">
        <f t="array" ref="F25">INDEX(MODEL!$1:$1048576,$A25,F$1)</f>
        <v>118.40900000000002</v>
      </c>
      <c r="G25" s="1091" cm="1">
        <f t="array" ref="G25">INDEX(MODEL!$1:$1048576,$A25,G$1)</f>
        <v>-31.790999999999997</v>
      </c>
      <c r="H25" s="1091" cm="1">
        <f t="array" ref="H25">INDEX(MODEL!$1:$1048576,$A25,H$1)</f>
        <v>-104.3119666536852</v>
      </c>
      <c r="I25" s="1091" cm="1">
        <f t="array" ref="I25">INDEX(MODEL!$1:$1048576,$A25,I$1)</f>
        <v>79.223870907315472</v>
      </c>
      <c r="J25" s="1091" cm="1">
        <f t="array" ref="J25">INDEX(MODEL!$1:$1048576,$A25,J$1)</f>
        <v>-43.324633316883876</v>
      </c>
      <c r="L25" s="1106">
        <f>R9</f>
        <v>37.6</v>
      </c>
    </row>
    <row r="26" spans="1:18">
      <c r="A26" s="1123" cm="1">
        <f t="array" ref="A26">ROW(Tax_paid)</f>
        <v>91</v>
      </c>
      <c r="D26" s="1095" t="s">
        <v>1925</v>
      </c>
      <c r="F26" s="1091" cm="1">
        <f t="array" ref="F26">INDEX(MODEL!$1:$1048576,$A26,F$1)</f>
        <v>-41.265999999999998</v>
      </c>
      <c r="G26" s="1091" cm="1">
        <f t="array" ref="G26">INDEX(MODEL!$1:$1048576,$A26,G$1)</f>
        <v>-53.960999999999999</v>
      </c>
      <c r="H26" s="1091" cm="1">
        <f t="array" ref="H26">INDEX(MODEL!$1:$1048576,$A26,H$1)</f>
        <v>-54.011184896663991</v>
      </c>
      <c r="I26" s="1091" cm="1">
        <f t="array" ref="I26">INDEX(MODEL!$1:$1048576,$A26,I$1)</f>
        <v>-63.836243238148086</v>
      </c>
      <c r="J26" s="1091" cm="1">
        <f t="array" ref="J26">INDEX(MODEL!$1:$1048576,$A26,J$1)</f>
        <v>-73.947735638529636</v>
      </c>
      <c r="L26" s="1094" t="s">
        <v>1959</v>
      </c>
      <c r="N26" s="1118">
        <f>$R$9/F19*100</f>
        <v>45.469199287805793</v>
      </c>
      <c r="O26" s="1118">
        <f>$R$9/G19*100</f>
        <v>39.810266904176551</v>
      </c>
      <c r="P26" s="1118">
        <f>$R$9/H19*100</f>
        <v>40.245041401231482</v>
      </c>
      <c r="Q26" s="1118">
        <f>$R$9/I19*100</f>
        <v>34.050913118221118</v>
      </c>
      <c r="R26" s="1118">
        <f>$R$9/J19*100</f>
        <v>29.394846962200127</v>
      </c>
    </row>
    <row r="27" spans="1:18">
      <c r="A27" s="1123" cm="1">
        <f t="array" ref="A27">ROW(Net_Op_CF)</f>
        <v>94</v>
      </c>
      <c r="D27" s="1093" t="s">
        <v>1787</v>
      </c>
      <c r="F27" s="1091" cm="1">
        <f t="array" ref="F27">INDEX(MODEL!$1:$1048576,$A27,F$1)</f>
        <v>302.61500000000001</v>
      </c>
      <c r="G27" s="1091" cm="1">
        <f t="array" ref="G27">INDEX(MODEL!$1:$1048576,$A27,G$1)</f>
        <v>171.47399999999999</v>
      </c>
      <c r="H27" s="1091" cm="1">
        <f t="array" ref="H27">INDEX(MODEL!$1:$1048576,$A27,H$1)</f>
        <v>105.34292184427883</v>
      </c>
      <c r="I27" s="1091" cm="1">
        <f t="array" ref="I27">INDEX(MODEL!$1:$1048576,$A27,I$1)</f>
        <v>319.75304123541775</v>
      </c>
      <c r="J27" s="1091" cm="1">
        <f t="array" ref="J27">INDEX(MODEL!$1:$1048576,$A27,J$1)</f>
        <v>229.98738681028453</v>
      </c>
      <c r="L27" s="1094" t="s">
        <v>1960</v>
      </c>
      <c r="N27" s="1118">
        <f>$W$10/F11</f>
        <v>29.420101221056768</v>
      </c>
      <c r="O27" s="1118">
        <f>$W$10/G11</f>
        <v>26.70871629726404</v>
      </c>
      <c r="P27" s="1118">
        <f>$W$10/H11</f>
        <v>26.462054462094713</v>
      </c>
      <c r="Q27" s="1118">
        <f>$W$10/I11</f>
        <v>22.887644385770813</v>
      </c>
      <c r="R27" s="1118">
        <f>$W$10/J11</f>
        <v>20.175840910331658</v>
      </c>
    </row>
    <row r="28" spans="1:18">
      <c r="A28" s="1123" cm="1">
        <f t="array" ref="A28">ROW(maintenance)</f>
        <v>96</v>
      </c>
      <c r="D28" s="1095" t="s">
        <v>413</v>
      </c>
      <c r="F28" s="1091" cm="1">
        <f t="array" ref="F28">INDEX(MODEL!$1:$1048576,$A28,F$1)</f>
        <v>-24.925000000000001</v>
      </c>
      <c r="G28" s="1091" cm="1">
        <f t="array" ref="G28">INDEX(MODEL!$1:$1048576,$A28,G$1)</f>
        <v>-44.676000000000002</v>
      </c>
      <c r="H28" s="1091" cm="1">
        <f t="array" ref="H28">INDEX(MODEL!$1:$1048576,$A28,H$1)</f>
        <v>-34.249051524332799</v>
      </c>
      <c r="I28" s="1091" cm="1">
        <f t="array" ref="I28">INDEX(MODEL!$1:$1048576,$A28,I$1)</f>
        <v>-33.179430721750798</v>
      </c>
      <c r="J28" s="1091" cm="1">
        <f t="array" ref="J28">INDEX(MODEL!$1:$1048576,$A28,J$1)</f>
        <v>-36.247955207714</v>
      </c>
      <c r="L28" s="1094" t="s">
        <v>469</v>
      </c>
      <c r="N28" s="1118">
        <f>$W$10/F9</f>
        <v>22.255559141280646</v>
      </c>
      <c r="O28" s="1118">
        <f>$W$10/G9</f>
        <v>20.094946038037307</v>
      </c>
      <c r="P28" s="1118">
        <f>$W$10/H9</f>
        <v>19.48840479565969</v>
      </c>
      <c r="Q28" s="1118">
        <f>$W$10/I9</f>
        <v>17.139506196997004</v>
      </c>
      <c r="R28" s="1118">
        <f>$W$10/J9</f>
        <v>15.251982965972415</v>
      </c>
    </row>
    <row r="29" spans="1:18">
      <c r="A29" s="1123" cm="1">
        <f t="array" ref="A29">ROW(Capex)</f>
        <v>97</v>
      </c>
      <c r="D29" s="1095" t="s">
        <v>414</v>
      </c>
      <c r="F29" s="1091" cm="1">
        <f t="array" ref="F29">INDEX(MODEL!$1:$1048576,$A29,F$1)</f>
        <v>-37.194000000000003</v>
      </c>
      <c r="G29" s="1091" cm="1">
        <f t="array" ref="G29">INDEX(MODEL!$1:$1048576,$A29,G$1)</f>
        <v>-42.88</v>
      </c>
      <c r="H29" s="1091" cm="1">
        <f t="array" ref="H29">INDEX(MODEL!$1:$1048576,$A29,H$1)</f>
        <v>-46.791253273940043</v>
      </c>
      <c r="I29" s="1091" cm="1">
        <f t="array" ref="I29">INDEX(MODEL!$1:$1048576,$A29,I$1)</f>
        <v>-51.273075239224838</v>
      </c>
      <c r="J29" s="1091" cm="1">
        <f t="array" ref="J29">INDEX(MODEL!$1:$1048576,$A29,J$1)</f>
        <v>-56.485910238784101</v>
      </c>
      <c r="L29" s="1094" t="s">
        <v>1961</v>
      </c>
      <c r="N29" s="1119">
        <f>F39/$W$10</f>
        <v>4.0256454580860232E-2</v>
      </c>
      <c r="O29" s="1119">
        <f>G39/$W$10</f>
        <v>1.1185836162764336E-2</v>
      </c>
      <c r="P29" s="1119">
        <f>H39/$W$10</f>
        <v>8.927222320673446E-4</v>
      </c>
      <c r="Q29" s="1119">
        <f>I39/$W$10</f>
        <v>3.9135684006214137E-2</v>
      </c>
      <c r="R29" s="1119">
        <f>J39/$W$10</f>
        <v>2.0821389731163525E-2</v>
      </c>
    </row>
    <row r="30" spans="1:18">
      <c r="D30" s="1095" t="s">
        <v>1926</v>
      </c>
      <c r="F30" s="1091">
        <f>F31-SUM(F28:F29)</f>
        <v>0.2569999999999979</v>
      </c>
      <c r="G30" s="1091">
        <f t="shared" ref="G30:J30" si="0">G31-SUM(G28:G29)</f>
        <v>-12.650999999999996</v>
      </c>
      <c r="H30" s="1091">
        <f t="shared" si="0"/>
        <v>0</v>
      </c>
      <c r="I30" s="1091">
        <f t="shared" si="0"/>
        <v>0</v>
      </c>
      <c r="J30" s="1091">
        <f t="shared" si="0"/>
        <v>0</v>
      </c>
    </row>
    <row r="31" spans="1:18">
      <c r="A31" s="1123" cm="1">
        <f t="array" ref="A31">ROW(Net_Inv_CF)</f>
        <v>101</v>
      </c>
      <c r="D31" s="1093" t="s">
        <v>1927</v>
      </c>
      <c r="F31" s="1091" cm="1">
        <f t="array" ref="F31">INDEX(MODEL!$1:$1048576,$A31,F$1)</f>
        <v>-61.862000000000002</v>
      </c>
      <c r="G31" s="1091" cm="1">
        <f t="array" ref="G31">INDEX(MODEL!$1:$1048576,$A31,G$1)</f>
        <v>-100.20700000000001</v>
      </c>
      <c r="H31" s="1091" cm="1">
        <f t="array" ref="H31">INDEX(MODEL!$1:$1048576,$A31,H$1)</f>
        <v>-81.040304798272842</v>
      </c>
      <c r="I31" s="1091" cm="1">
        <f t="array" ref="I31">INDEX(MODEL!$1:$1048576,$A31,I$1)</f>
        <v>-84.452505960975628</v>
      </c>
      <c r="J31" s="1091" cm="1">
        <f t="array" ref="J31">INDEX(MODEL!$1:$1048576,$A31,J$1)</f>
        <v>-92.7338654464981</v>
      </c>
      <c r="L31" s="1086" t="s">
        <v>1973</v>
      </c>
      <c r="M31" s="1087"/>
      <c r="N31" s="1087" t="s">
        <v>1838</v>
      </c>
      <c r="O31" s="1087" t="s">
        <v>1830</v>
      </c>
      <c r="P31" s="1087" t="s">
        <v>1856</v>
      </c>
      <c r="Q31" s="1087" t="s">
        <v>1879</v>
      </c>
      <c r="R31" s="1087" t="s">
        <v>1880</v>
      </c>
    </row>
    <row r="32" spans="1:18">
      <c r="A32" s="1123" cm="1">
        <f t="array" ref="A32">ROW(Borrowings_incurred_repaid)</f>
        <v>103</v>
      </c>
      <c r="B32" s="1123" cm="1">
        <f t="array" ref="B32">ROW(Segments!58:58)</f>
        <v>58</v>
      </c>
      <c r="D32" s="1095" t="s">
        <v>1928</v>
      </c>
      <c r="F32" s="1091" cm="1">
        <f t="array" ref="F32">INDEX(MODEL!$1:$1048576,$A32,F$1)</f>
        <v>-120.68599999999998</v>
      </c>
      <c r="G32" s="1091" cm="1">
        <f t="array" ref="G32">INDEX(MODEL!$1:$1048576,$A32,G$1)</f>
        <v>-33.127999999999986</v>
      </c>
      <c r="H32" s="1091" cm="1">
        <f t="array" ref="H32">INDEX(MODEL!$1:$1048576,$A32,H$1)</f>
        <v>80</v>
      </c>
      <c r="I32" s="1091" cm="1">
        <f t="array" ref="I32">INDEX(MODEL!$1:$1048576,$A32,I$1)</f>
        <v>-60</v>
      </c>
      <c r="J32" s="1091" cm="1">
        <f t="array" ref="J32">INDEX(MODEL!$1:$1048576,$A32,J$1)</f>
        <v>0</v>
      </c>
      <c r="L32" s="1125" t="s">
        <v>1972</v>
      </c>
      <c r="M32" s="630"/>
      <c r="N32" s="1089" cm="1">
        <f t="array" ref="N32">INDEX(Segments!$1:$1048576,$B32,N$1)</f>
        <v>1336.1</v>
      </c>
      <c r="O32" s="1089" cm="1">
        <f t="array" ref="O32">INDEX(Segments!$1:$1048576,$B32,O$1)</f>
        <v>1500.6389999999999</v>
      </c>
      <c r="P32" s="1089" cm="1">
        <f t="array" ref="P32">INDEX(Segments!$1:$1048576,$B32,P$1)</f>
        <v>1645.5000823963678</v>
      </c>
      <c r="Q32" s="1089" cm="1">
        <f t="array" ref="Q32">INDEX(Segments!$1:$1048576,$B32,Q$1)</f>
        <v>1784.7079156775794</v>
      </c>
      <c r="R32" s="1089" cm="1">
        <f t="array" ref="R32">INDEX(Segments!$1:$1048576,$B32,R$1)</f>
        <v>1974.3624450693376</v>
      </c>
    </row>
    <row r="33" spans="1:18">
      <c r="A33" s="1123" cm="1">
        <f t="array" ref="A33">ROW(Dividends_paid)</f>
        <v>105</v>
      </c>
      <c r="B33" s="1123" cm="1">
        <f t="array" ref="B33">ROW(Segments!42:42)</f>
        <v>42</v>
      </c>
      <c r="D33" s="1095" t="s">
        <v>1221</v>
      </c>
      <c r="F33" s="1091" cm="1">
        <f t="array" ref="F33">INDEX(MODEL!$1:$1048576,$A33,F$1)</f>
        <v>-45.18</v>
      </c>
      <c r="G33" s="1091" cm="1">
        <f t="array" ref="G33">INDEX(MODEL!$1:$1048576,$A33,G$1)</f>
        <v>-50.378999999999998</v>
      </c>
      <c r="H33" s="1091" cm="1">
        <f t="array" ref="H33">INDEX(MODEL!$1:$1048576,$A33,H$1)</f>
        <v>-53.76936495999999</v>
      </c>
      <c r="I33" s="1091" cm="1">
        <f t="array" ref="I33">INDEX(MODEL!$1:$1048576,$A33,I$1)</f>
        <v>-62.488721439999985</v>
      </c>
      <c r="J33" s="1091" cm="1">
        <f t="array" ref="J33">INDEX(MODEL!$1:$1048576,$A33,J$1)</f>
        <v>-72.661303999999987</v>
      </c>
      <c r="L33" s="1141" t="s">
        <v>1875</v>
      </c>
      <c r="M33" s="756"/>
      <c r="N33" s="1124" cm="1">
        <f t="array" ref="N33">INDEX(Segments!$1:$1048576,$B33,N$1)</f>
        <v>735.5</v>
      </c>
      <c r="O33" s="1124" cm="1">
        <f t="array" ref="O33">INDEX(Segments!$1:$1048576,$B33,O$1)</f>
        <v>822.23199999999997</v>
      </c>
      <c r="P33" s="1124" cm="1">
        <f t="array" ref="P33">INDEX(Segments!$1:$1048576,$B33,P$1)</f>
        <v>892.26780316818054</v>
      </c>
      <c r="Q33" s="1124" cm="1">
        <f t="array" ref="Q33">INDEX(Segments!$1:$1048576,$B33,Q$1)</f>
        <v>956.95721889787376</v>
      </c>
      <c r="R33" s="1124" cm="1">
        <f t="array" ref="R33">INDEX(Segments!$1:$1048576,$B33,R$1)</f>
        <v>1052.6529407876612</v>
      </c>
    </row>
    <row r="34" spans="1:18">
      <c r="A34" s="1123" cm="1">
        <f t="array" ref="A34">ROW(MODEL!106:106)</f>
        <v>106</v>
      </c>
      <c r="B34" s="1123" cm="1">
        <f t="array" ref="B34">ROW(Segments!49:49)</f>
        <v>49</v>
      </c>
      <c r="D34" s="1095" t="s">
        <v>1929</v>
      </c>
      <c r="F34" s="1091" cm="1">
        <f t="array" ref="F34">INDEX(MODEL!$1:$1048576,$A34,F$1)</f>
        <v>-20.547000000000001</v>
      </c>
      <c r="G34" s="1091" cm="1">
        <f t="array" ref="G34">INDEX(MODEL!$1:$1048576,$A34,G$1)</f>
        <v>-22.802</v>
      </c>
      <c r="H34" s="1091" cm="1">
        <f t="array" ref="H34">INDEX(MODEL!$1:$1048576,$A34,H$1)</f>
        <v>-19.425054819889443</v>
      </c>
      <c r="I34" s="1091" cm="1">
        <f t="array" ref="I34">INDEX(MODEL!$1:$1048576,$A34,I$1)</f>
        <v>-21.475084148516036</v>
      </c>
      <c r="J34" s="1091" cm="1">
        <f t="array" ref="J34">INDEX(MODEL!$1:$1048576,$A34,J$1)</f>
        <v>-23.491793023281769</v>
      </c>
      <c r="L34" s="1141" t="s">
        <v>1799</v>
      </c>
      <c r="M34" s="756"/>
      <c r="N34" s="1124" cm="1">
        <f t="array" ref="N34">INDEX(Segments!$1:$1048576,$B34,N$1)</f>
        <v>275.39999999999998</v>
      </c>
      <c r="O34" s="1124" cm="1">
        <f t="array" ref="O34">INDEX(Segments!$1:$1048576,$B34,O$1)</f>
        <v>303.97199999999998</v>
      </c>
      <c r="P34" s="1124" cm="1">
        <f t="array" ref="P34">INDEX(Segments!$1:$1048576,$B34,P$1)</f>
        <v>332.84933999999998</v>
      </c>
      <c r="Q34" s="1124" cm="1">
        <f t="array" ref="Q34">INDEX(Segments!$1:$1048576,$B34,Q$1)</f>
        <v>372.79126080000003</v>
      </c>
      <c r="R34" s="1124" cm="1">
        <f t="array" ref="R34">INDEX(Segments!$1:$1048576,$B34,R$1)</f>
        <v>421.25412470399999</v>
      </c>
    </row>
    <row r="35" spans="1:18">
      <c r="B35" s="1123" cm="1">
        <f t="array" ref="B35">ROW(Segments!56:56)</f>
        <v>56</v>
      </c>
      <c r="D35" s="1096" t="s">
        <v>1930</v>
      </c>
      <c r="F35" s="1091">
        <f>F36-SUM(F32:F34)</f>
        <v>0</v>
      </c>
      <c r="G35" s="1091">
        <f t="shared" ref="G35:J35" si="1">G36-SUM(G32:G34)</f>
        <v>0</v>
      </c>
      <c r="H35" s="1091">
        <f t="shared" si="1"/>
        <v>0</v>
      </c>
      <c r="I35" s="1091">
        <f t="shared" si="1"/>
        <v>0</v>
      </c>
      <c r="J35" s="1091">
        <f t="shared" si="1"/>
        <v>0</v>
      </c>
      <c r="L35" s="1141" t="s">
        <v>1874</v>
      </c>
      <c r="M35" s="756"/>
      <c r="N35" s="1124" cm="1">
        <f t="array" ref="N35">INDEX(Segments!$1:$1048576,$B35,N$1)</f>
        <v>325.2</v>
      </c>
      <c r="O35" s="1124" cm="1">
        <f t="array" ref="O35">INDEX(Segments!$1:$1048576,$B35,O$1)</f>
        <v>374.435</v>
      </c>
      <c r="P35" s="1124" cm="1">
        <f t="array" ref="P35">INDEX(Segments!$1:$1048576,$B35,P$1)</f>
        <v>420.38293922818718</v>
      </c>
      <c r="Q35" s="1124" cm="1">
        <f t="array" ref="Q35">INDEX(Segments!$1:$1048576,$B35,Q$1)</f>
        <v>454.95943597970563</v>
      </c>
      <c r="R35" s="1124" cm="1">
        <f t="array" ref="R35">INDEX(Segments!$1:$1048576,$B35,R$1)</f>
        <v>500.4553795776763</v>
      </c>
    </row>
    <row r="36" spans="1:18">
      <c r="A36" s="1123" cm="1">
        <f t="array" ref="A36">ROW(Net_Fin_CF)</f>
        <v>108</v>
      </c>
      <c r="B36" s="1123" cm="1">
        <f t="array" ref="B36">ROW(Segments!distr_sales)</f>
        <v>77</v>
      </c>
      <c r="D36" s="1092" t="s">
        <v>1931</v>
      </c>
      <c r="F36" s="1089" cm="1">
        <f t="array" ref="F36">INDEX(MODEL!$1:$1048576,$A36,F$1)</f>
        <v>-186.41299999999998</v>
      </c>
      <c r="G36" s="1089" cm="1">
        <f t="array" ref="G36">INDEX(MODEL!$1:$1048576,$A36,G$1)</f>
        <v>-106.30899999999997</v>
      </c>
      <c r="H36" s="1089" cm="1">
        <f t="array" ref="H36">INDEX(MODEL!$1:$1048576,$A36,H$1)</f>
        <v>6.8055802201105671</v>
      </c>
      <c r="I36" s="1089" cm="1">
        <f t="array" ref="I36">INDEX(MODEL!$1:$1048576,$A36,I$1)</f>
        <v>-143.96380558851601</v>
      </c>
      <c r="J36" s="1089" cm="1">
        <f t="array" ref="J36">INDEX(MODEL!$1:$1048576,$A36,J$1)</f>
        <v>-96.153097023281759</v>
      </c>
      <c r="L36" s="1125" t="s">
        <v>1712</v>
      </c>
      <c r="M36" s="630"/>
      <c r="N36" s="1089" cm="1">
        <f t="array" ref="N36">INDEX(Segments!$1:$1048576,$B36,N$1)</f>
        <v>194</v>
      </c>
      <c r="O36" s="1089" cm="1">
        <f t="array" ref="O36">INDEX(Segments!$1:$1048576,$B36,O$1)</f>
        <v>196</v>
      </c>
      <c r="P36" s="1089" cm="1">
        <f t="array" ref="P36">INDEX(Segments!$1:$1048576,$B36,P$1)</f>
        <v>205.8</v>
      </c>
      <c r="Q36" s="1089" cm="1">
        <f t="array" ref="Q36">INDEX(Segments!$1:$1048576,$B36,Q$1)</f>
        <v>211.97400000000002</v>
      </c>
      <c r="R36" s="1089" cm="1">
        <f t="array" ref="R36">INDEX(Segments!$1:$1048576,$B36,R$1)</f>
        <v>218.33322000000001</v>
      </c>
    </row>
    <row r="37" spans="1:18">
      <c r="A37" s="1123" cm="1">
        <f t="array" ref="A37">ROW(Tot_CF)</f>
        <v>109</v>
      </c>
      <c r="B37" s="1123" cm="1">
        <f t="array" ref="B37">ROW(Segments!Total_sales)</f>
        <v>102</v>
      </c>
      <c r="D37" s="1092" t="s">
        <v>1932</v>
      </c>
      <c r="F37" s="1089" cm="1">
        <f t="array" ref="F37">INDEX(MODEL!$1:$1048576,$A37,F$1)</f>
        <v>54.340000000000032</v>
      </c>
      <c r="G37" s="1089" cm="1">
        <f t="array" ref="G37">INDEX(MODEL!$1:$1048576,$A37,G$1)</f>
        <v>-35.041999999999987</v>
      </c>
      <c r="H37" s="1089" cm="1">
        <f t="array" ref="H37">INDEX(MODEL!$1:$1048576,$A37,H$1)</f>
        <v>31.108197266116559</v>
      </c>
      <c r="I37" s="1089" cm="1">
        <f t="array" ref="I37">INDEX(MODEL!$1:$1048576,$A37,I$1)</f>
        <v>91.336729685926116</v>
      </c>
      <c r="J37" s="1089" cm="1">
        <f t="array" ref="J37">INDEX(MODEL!$1:$1048576,$A37,J$1)</f>
        <v>41.100424340504674</v>
      </c>
      <c r="L37" s="1100" t="s">
        <v>1898</v>
      </c>
      <c r="N37" s="1089" cm="1">
        <f t="array" ref="N37">INDEX(Segments!$1:$1048576,$B37,N$1)</f>
        <v>1530.1</v>
      </c>
      <c r="O37" s="1089" cm="1">
        <f t="array" ref="O37">INDEX(Segments!$1:$1048576,$B37,O$1)</f>
        <v>1696.6389999999999</v>
      </c>
      <c r="P37" s="1089" cm="1">
        <f t="array" ref="P37">INDEX(Segments!$1:$1048576,$B37,P$1)</f>
        <v>1851.3000823963678</v>
      </c>
      <c r="Q37" s="1089" cm="1">
        <f t="array" ref="Q37">INDEX(Segments!$1:$1048576,$B37,Q$1)</f>
        <v>2036.6819156775794</v>
      </c>
      <c r="R37" s="1089" cm="1">
        <f t="array" ref="R37">INDEX(Segments!$1:$1048576,$B37,R$1)</f>
        <v>2252.6956650693378</v>
      </c>
    </row>
    <row r="39" spans="1:18">
      <c r="D39" s="1092" t="s">
        <v>1933</v>
      </c>
      <c r="E39" s="1089"/>
      <c r="F39" s="1089">
        <f>F29+F28+F27+F34</f>
        <v>219.94900000000001</v>
      </c>
      <c r="G39" s="1089">
        <f t="shared" ref="G39:J39" si="2">G29+G28+G27+G34</f>
        <v>61.115999999999978</v>
      </c>
      <c r="H39" s="1089">
        <f t="shared" si="2"/>
        <v>4.8775622261165488</v>
      </c>
      <c r="I39" s="1089">
        <f t="shared" si="2"/>
        <v>213.82545112592609</v>
      </c>
      <c r="J39" s="1089">
        <f t="shared" si="2"/>
        <v>113.76172834050466</v>
      </c>
      <c r="L39" s="1086" t="s">
        <v>1976</v>
      </c>
      <c r="M39" s="1087"/>
      <c r="N39" s="1087" t="s">
        <v>1838</v>
      </c>
      <c r="O39" s="1087" t="s">
        <v>1830</v>
      </c>
      <c r="P39" s="1087" t="s">
        <v>1856</v>
      </c>
      <c r="Q39" s="1087" t="s">
        <v>1879</v>
      </c>
      <c r="R39" s="1087" t="s">
        <v>1880</v>
      </c>
    </row>
    <row r="40" spans="1:18">
      <c r="B40" s="1123" cm="1">
        <f t="array" ref="B40">ROW(Segments!63:63)</f>
        <v>63</v>
      </c>
      <c r="L40" s="1125" t="s">
        <v>1972</v>
      </c>
      <c r="M40" s="630"/>
      <c r="N40" s="1122" cm="1">
        <f t="array" ref="N40">INDEX(Segments!$1:$1048576,$B40,N$1)</f>
        <v>6.9075451647183872E-2</v>
      </c>
      <c r="O40" s="1122" cm="1">
        <f t="array" ref="O40">INDEX(Segments!$1:$1048576,$B40,O$1)</f>
        <v>0.11113320079522859</v>
      </c>
      <c r="P40" s="1122" cm="1">
        <f t="array" ref="P40">INDEX(Segments!$1:$1048576,$B40,P$1)</f>
        <v>5.8431346612084933E-2</v>
      </c>
      <c r="Q40" s="1122" cm="1">
        <f t="array" ref="Q40">INDEX(Segments!$1:$1048576,$B40,Q$1)</f>
        <v>8.9124552692253278E-2</v>
      </c>
      <c r="R40" s="1122" cm="1">
        <f t="array" ref="R40">INDEX(Segments!$1:$1048576,$B40,R$1)</f>
        <v>0.10626642473300985</v>
      </c>
    </row>
    <row r="41" spans="1:18">
      <c r="B41" s="1123" cm="1">
        <f t="array" ref="B41">ROW(Segments!43:43)</f>
        <v>43</v>
      </c>
      <c r="D41" s="1086" t="s">
        <v>1934</v>
      </c>
      <c r="E41" s="1087"/>
      <c r="F41" s="1087" t="s">
        <v>1838</v>
      </c>
      <c r="G41" s="1087" t="s">
        <v>1830</v>
      </c>
      <c r="H41" s="1087" t="s">
        <v>1856</v>
      </c>
      <c r="I41" s="1087" t="s">
        <v>1879</v>
      </c>
      <c r="J41" s="1087" t="s">
        <v>1880</v>
      </c>
      <c r="L41" s="1141" t="s">
        <v>1875</v>
      </c>
      <c r="M41" s="756"/>
      <c r="N41" s="1140" cm="1">
        <f t="array" ref="N41">INDEX(Segments!$1:$1048576,$B41,N$1)</f>
        <v>4.8916143753565233E-2</v>
      </c>
      <c r="O41" s="1140" cm="1">
        <f t="array" ref="O41">INDEX(Segments!$1:$1048576,$B41,O$1)</f>
        <v>0.11792250169952401</v>
      </c>
      <c r="P41" s="1140" cm="1">
        <f t="array" ref="P41">INDEX(Segments!$1:$1048576,$B41,P$1)</f>
        <v>8.517766660526549E-2</v>
      </c>
      <c r="Q41" s="1140" cm="1">
        <f t="array" ref="Q41">INDEX(Segments!$1:$1048576,$B41,Q$1)</f>
        <v>7.2500000000000231E-2</v>
      </c>
      <c r="R41" s="1140" cm="1">
        <f t="array" ref="R41">INDEX(Segments!$1:$1048576,$B41,R$1)</f>
        <v>0.10000000000000009</v>
      </c>
    </row>
    <row r="42" spans="1:18">
      <c r="A42" s="1123" cm="1">
        <f t="array" ref="A42">ROW(Cash)</f>
        <v>133</v>
      </c>
      <c r="B42" s="1123" cm="1">
        <f t="array" ref="B42">ROW(Segments!50:50)</f>
        <v>50</v>
      </c>
      <c r="D42" s="1097" t="s">
        <v>1935</v>
      </c>
      <c r="F42" s="1091" cm="1">
        <f t="array" ref="F42">INDEX(MODEL!$1:$1048576,$A42,F$1)</f>
        <v>137.77199999999999</v>
      </c>
      <c r="G42" s="1091" cm="1">
        <f t="array" ref="G42">INDEX(MODEL!$1:$1048576,$A42,G$1)</f>
        <v>105.74</v>
      </c>
      <c r="H42" s="1091" cm="1">
        <f t="array" ref="H42">INDEX(MODEL!$1:$1048576,$A42,H$1)</f>
        <v>136.84819726611656</v>
      </c>
      <c r="I42" s="1091" cm="1">
        <f t="array" ref="I42">INDEX(MODEL!$1:$1048576,$A42,I$1)</f>
        <v>228.18492695204267</v>
      </c>
      <c r="J42" s="1091" cm="1">
        <f t="array" ref="J42">INDEX(MODEL!$1:$1048576,$A42,J$1)</f>
        <v>269.28535129254738</v>
      </c>
      <c r="L42" s="1141" t="s">
        <v>1799</v>
      </c>
      <c r="M42" s="756"/>
      <c r="N42" s="1140" cm="1">
        <f t="array" ref="N42">INDEX(Segments!$1:$1048576,$B42,N$1)</f>
        <v>-5.7494866529774202E-2</v>
      </c>
      <c r="O42" s="1140" cm="1">
        <f t="array" ref="O42">INDEX(Segments!$1:$1048576,$B42,O$1)</f>
        <v>0.10374727668845307</v>
      </c>
      <c r="P42" s="1140" cm="1">
        <f t="array" ref="P42">INDEX(Segments!$1:$1048576,$B42,P$1)</f>
        <v>9.5000000000000001E-2</v>
      </c>
      <c r="Q42" s="1140" cm="1">
        <f t="array" ref="Q42">INDEX(Segments!$1:$1048576,$B42,Q$1)</f>
        <v>0.12</v>
      </c>
      <c r="R42" s="1140" cm="1">
        <f t="array" ref="R42">INDEX(Segments!$1:$1048576,$B42,R$1)</f>
        <v>0.13</v>
      </c>
    </row>
    <row r="43" spans="1:18">
      <c r="A43" s="1123" cm="1">
        <f t="array" ref="A43">ROW(Trade_debtors)</f>
        <v>134</v>
      </c>
      <c r="B43" s="1123" cm="1">
        <f t="array" ref="B43">ROW(Segments!57:57)</f>
        <v>57</v>
      </c>
      <c r="D43" s="1097" t="s">
        <v>1936</v>
      </c>
      <c r="F43" s="1091" cm="1">
        <f t="array" ref="F43">INDEX(MODEL!$1:$1048576,$A43,F$1)</f>
        <v>282.017</v>
      </c>
      <c r="G43" s="1091" cm="1">
        <f t="array" ref="G43">INDEX(MODEL!$1:$1048576,$A43,G$1)</f>
        <v>302.33300000000003</v>
      </c>
      <c r="H43" s="1091" cm="1">
        <f t="array" ref="H43">INDEX(MODEL!$1:$1048576,$A43,H$1)</f>
        <v>329.6835763171614</v>
      </c>
      <c r="I43" s="1091" cm="1">
        <f t="array" ref="I43">INDEX(MODEL!$1:$1048576,$A43,I$1)</f>
        <v>306.89727496511472</v>
      </c>
      <c r="J43" s="1091" cm="1">
        <f t="array" ref="J43">INDEX(MODEL!$1:$1048576,$A43,J$1)</f>
        <v>339.44729199674953</v>
      </c>
      <c r="L43" s="1141" t="s">
        <v>1874</v>
      </c>
      <c r="M43" s="756"/>
      <c r="N43" s="1140" cm="1">
        <f t="array" ref="N43">INDEX(Segments!$1:$1048576,$B43,N$1)</f>
        <v>0.13785864240727763</v>
      </c>
      <c r="O43" s="1140" cm="1">
        <f t="array" ref="O43">INDEX(Segments!$1:$1048576,$B43,O$1)</f>
        <v>0.15139913899139001</v>
      </c>
      <c r="P43" s="1140" cm="1">
        <f t="array" ref="P43">INDEX(Segments!$1:$1048576,$B43,P$1)</f>
        <v>0.12271272511433806</v>
      </c>
      <c r="Q43" s="1140" cm="1">
        <f t="array" ref="Q43">INDEX(Segments!$1:$1048576,$B43,Q$1)</f>
        <v>8.2250000000000156E-2</v>
      </c>
      <c r="R43" s="1140" cm="1">
        <f t="array" ref="R43">INDEX(Segments!$1:$1048576,$B43,R$1)</f>
        <v>0.10000000000000031</v>
      </c>
    </row>
    <row r="44" spans="1:18">
      <c r="A44" s="1123" cm="1">
        <f t="array" ref="A44">ROW(Inventories)</f>
        <v>135</v>
      </c>
      <c r="B44" s="1123" cm="1">
        <f t="array" ref="B44">ROW(Segments!78:78)</f>
        <v>78</v>
      </c>
      <c r="D44" s="1097" t="s">
        <v>1142</v>
      </c>
      <c r="F44" s="1091" cm="1">
        <f t="array" ref="F44">INDEX(MODEL!$1:$1048576,$A44,F$1)</f>
        <v>332.79</v>
      </c>
      <c r="G44" s="1091" cm="1">
        <f t="array" ref="G44">INDEX(MODEL!$1:$1048576,$A44,G$1)</f>
        <v>426.30900000000003</v>
      </c>
      <c r="H44" s="1091" cm="1">
        <f t="array" ref="H44">INDEX(MODEL!$1:$1048576,$A44,H$1)</f>
        <v>556.0568670458315</v>
      </c>
      <c r="I44" s="1091" cm="1">
        <f t="array" ref="I44">INDEX(MODEL!$1:$1048576,$A44,I$1)</f>
        <v>501.53395873018155</v>
      </c>
      <c r="J44" s="1091" cm="1">
        <f t="array" ref="J44">INDEX(MODEL!$1:$1048576,$A44,J$1)</f>
        <v>553.42800062767935</v>
      </c>
      <c r="L44" s="1125" t="s">
        <v>1712</v>
      </c>
      <c r="M44" s="630"/>
      <c r="N44" s="1122" cm="1">
        <f t="array" ref="N44">INDEX(Segments!$1:$1048576,$B44,N$1)</f>
        <v>-2.659307576517822E-2</v>
      </c>
      <c r="O44" s="1122" cm="1">
        <f t="array" ref="O44">INDEX(Segments!$1:$1048576,$B44,O$1)</f>
        <v>1.0309278350515427E-2</v>
      </c>
      <c r="P44" s="1122" cm="1">
        <f t="array" ref="P44">INDEX(Segments!$1:$1048576,$B44,P$1)</f>
        <v>0.05</v>
      </c>
      <c r="Q44" s="1122" cm="1">
        <f t="array" ref="Q44">INDEX(Segments!$1:$1048576,$B44,Q$1)</f>
        <v>0.03</v>
      </c>
      <c r="R44" s="1122" cm="1">
        <f t="array" ref="R44">INDEX(Segments!$1:$1048576,$B44,R$1)</f>
        <v>0.03</v>
      </c>
    </row>
    <row r="45" spans="1:18">
      <c r="B45" s="1123" cm="1">
        <f t="array" ref="B45">ROW(Segments!103:103)</f>
        <v>103</v>
      </c>
      <c r="D45" s="1097" t="s">
        <v>1143</v>
      </c>
      <c r="F45" s="1091">
        <f>F46-SUM(F42:F44)</f>
        <v>11.43100000000004</v>
      </c>
      <c r="G45" s="1091">
        <f t="shared" ref="G45:J45" si="3">G46-SUM(G42:G44)</f>
        <v>6.9600000000000364</v>
      </c>
      <c r="H45" s="1091">
        <f t="shared" si="3"/>
        <v>6.9600000000000364</v>
      </c>
      <c r="I45" s="1091">
        <f t="shared" si="3"/>
        <v>6.9600000000000364</v>
      </c>
      <c r="J45" s="1091">
        <f t="shared" si="3"/>
        <v>6.9600000000000364</v>
      </c>
      <c r="L45" s="1100" t="s">
        <v>1898</v>
      </c>
      <c r="N45" s="1122" cm="1">
        <f t="array" ref="N45">INDEX(Segments!$1:$1048576,$B45,N$1)</f>
        <v>3.4900236726411737E-2</v>
      </c>
      <c r="O45" s="1122" cm="1">
        <f t="array" ref="O45">INDEX(Segments!$1:$1048576,$B45,O$1)</f>
        <v>0.10884190575779362</v>
      </c>
      <c r="P45" s="1122" cm="1">
        <f t="array" ref="P45">INDEX(Segments!$1:$1048576,$B45,P$1)</f>
        <v>9.1157330696964856E-2</v>
      </c>
      <c r="Q45" s="1122" cm="1">
        <f t="array" ref="Q45">INDEX(Segments!$1:$1048576,$B45,Q$1)</f>
        <v>0.10013602605216154</v>
      </c>
      <c r="R45" s="1122" cm="1">
        <f t="array" ref="R45">INDEX(Segments!$1:$1048576,$B45,R$1)</f>
        <v>0.10606160330141345</v>
      </c>
    </row>
    <row r="46" spans="1:18">
      <c r="A46" s="1123" cm="1">
        <f t="array" ref="A46">ROW(Tot_Curr_Assets)</f>
        <v>137</v>
      </c>
      <c r="D46" s="1098" t="s">
        <v>426</v>
      </c>
      <c r="F46" s="1089" cm="1">
        <f t="array" ref="F46">INDEX(MODEL!$1:$1048576,$A46,F$1)</f>
        <v>764.01</v>
      </c>
      <c r="G46" s="1089" cm="1">
        <f t="array" ref="G46">INDEX(MODEL!$1:$1048576,$A46,G$1)</f>
        <v>841.3420000000001</v>
      </c>
      <c r="H46" s="1089" cm="1">
        <f t="array" ref="H46">INDEX(MODEL!$1:$1048576,$A46,H$1)</f>
        <v>1029.5486406291095</v>
      </c>
      <c r="I46" s="1089" cm="1">
        <f t="array" ref="I46">INDEX(MODEL!$1:$1048576,$A46,I$1)</f>
        <v>1043.5761606473388</v>
      </c>
      <c r="J46" s="1089" cm="1">
        <f t="array" ref="J46">INDEX(MODEL!$1:$1048576,$A46,J$1)</f>
        <v>1169.1206439169764</v>
      </c>
    </row>
    <row r="47" spans="1:18">
      <c r="A47" s="1123" cm="1">
        <f t="array" ref="A47">ROW(Net_plant___equipment)</f>
        <v>140</v>
      </c>
      <c r="D47" s="1097" t="s">
        <v>1937</v>
      </c>
      <c r="F47" s="1091" cm="1">
        <f t="array" ref="F47">INDEX(MODEL!$1:$1048576,$A47,F$1)</f>
        <v>62.858000000000018</v>
      </c>
      <c r="G47" s="1091" cm="1">
        <f t="array" ref="G47">INDEX(MODEL!$1:$1048576,$A47,G$1)</f>
        <v>92.319000000000031</v>
      </c>
      <c r="H47" s="1091" cm="1">
        <f t="array" ref="H47">INDEX(MODEL!$1:$1048576,$A47,H$1)</f>
        <v>106.20375061797279</v>
      </c>
      <c r="I47" s="1091" cm="1">
        <f t="array" ref="I47">INDEX(MODEL!$1:$1048576,$A47,I$1)</f>
        <v>116.97968026727023</v>
      </c>
      <c r="J47" s="1091" cm="1">
        <f t="array" ref="J47">INDEX(MODEL!$1:$1048576,$A47,J$1)</f>
        <v>129.57433099175617</v>
      </c>
      <c r="L47" s="1086" t="s">
        <v>1974</v>
      </c>
      <c r="M47" s="1087"/>
      <c r="N47" s="1087" t="s">
        <v>1838</v>
      </c>
      <c r="O47" s="1087" t="s">
        <v>1830</v>
      </c>
      <c r="P47" s="1087" t="s">
        <v>1856</v>
      </c>
      <c r="Q47" s="1087" t="s">
        <v>1879</v>
      </c>
      <c r="R47" s="1087" t="s">
        <v>1880</v>
      </c>
    </row>
    <row r="48" spans="1:18">
      <c r="A48" s="1123" cm="1">
        <f t="array" ref="A48">ROW(Net_goodwill)</f>
        <v>142</v>
      </c>
      <c r="B48" s="1123" cm="1">
        <f t="array" ref="B48">ROW(Segments!Global_prod_EBIT)</f>
        <v>71</v>
      </c>
      <c r="D48" s="1097" t="s">
        <v>1149</v>
      </c>
      <c r="F48" s="1091" cm="1">
        <f t="array" ref="F48">INDEX(MODEL!$1:$1048576,$A48,F$1)</f>
        <v>323.67500000000001</v>
      </c>
      <c r="G48" s="1091" cm="1">
        <f t="array" ref="G48">INDEX(MODEL!$1:$1048576,$A48,G$1)</f>
        <v>347.94300000000004</v>
      </c>
      <c r="H48" s="1091" cm="1">
        <f t="array" ref="H48">INDEX(MODEL!$1:$1048576,$A48,H$1)</f>
        <v>347.94300000000004</v>
      </c>
      <c r="I48" s="1091" cm="1">
        <f t="array" ref="I48">INDEX(MODEL!$1:$1048576,$A48,I$1)</f>
        <v>347.94300000000004</v>
      </c>
      <c r="J48" s="1091" cm="1">
        <f t="array" ref="J48">INDEX(MODEL!$1:$1048576,$A48,J$1)</f>
        <v>347.94300000000004</v>
      </c>
      <c r="L48" s="1120" t="s">
        <v>1972</v>
      </c>
      <c r="N48" s="1091" cm="1">
        <f t="array" ref="N48">INDEX(Segments!$1:$1048576,$B48,N$1)</f>
        <v>162.89648136906692</v>
      </c>
      <c r="O48" s="1091" cm="1">
        <f t="array" ref="O48">INDEX(Segments!$1:$1048576,$B48,O$1)</f>
        <v>174.36992963060371</v>
      </c>
      <c r="P48" s="1091" cm="1">
        <f t="array" ref="P48">INDEX(Segments!$1:$1048576,$B48,P$1)</f>
        <v>177.04342945821639</v>
      </c>
      <c r="Q48" s="1091" cm="1">
        <f t="array" ref="Q48">INDEX(Segments!$1:$1048576,$B48,Q$1)</f>
        <v>200.40583009470205</v>
      </c>
      <c r="R48" s="1091" cm="1">
        <f t="array" ref="R48">INDEX(Segments!$1:$1048576,$B48,R$1)</f>
        <v>227.14552628793189</v>
      </c>
    </row>
    <row r="49" spans="1:18">
      <c r="A49" s="1123" cm="1">
        <f t="array" ref="A49">ROW(Other_intangibles)</f>
        <v>144</v>
      </c>
      <c r="B49" s="1123" cm="1">
        <f t="array" ref="B49">ROW(Segments!72:72)</f>
        <v>72</v>
      </c>
      <c r="D49" s="1097" t="s">
        <v>1938</v>
      </c>
      <c r="F49" s="1091" cm="1">
        <f t="array" ref="F49">INDEX(MODEL!$1:$1048576,$A49,F$1)</f>
        <v>86.612999999999985</v>
      </c>
      <c r="G49" s="1091" cm="1">
        <f t="array" ref="G49">INDEX(MODEL!$1:$1048576,$A49,G$1)</f>
        <v>102.798</v>
      </c>
      <c r="H49" s="1091" cm="1">
        <f t="array" ref="H49">INDEX(MODEL!$1:$1048576,$A49,H$1)</f>
        <v>120.52650061393359</v>
      </c>
      <c r="I49" s="1091" cm="1">
        <f t="array" ref="I49">INDEX(MODEL!$1:$1048576,$A49,I$1)</f>
        <v>140.43759921034533</v>
      </c>
      <c r="J49" s="1091" cm="1">
        <f t="array" ref="J49">INDEX(MODEL!$1:$1048576,$A49,J$1)</f>
        <v>162.23523128087805</v>
      </c>
      <c r="L49" s="1141" t="s">
        <v>1359</v>
      </c>
      <c r="M49" s="756"/>
      <c r="N49" s="1140" cm="1">
        <f t="array" ref="N49">INDEX(Segments!$1:$1048576,$B49,N$1)</f>
        <v>8.1835683036963536E-2</v>
      </c>
      <c r="O49" s="1140" cm="1">
        <f t="array" ref="O49">INDEX(Segments!$1:$1048576,$B49,O$1)</f>
        <v>7.0433984608555988E-2</v>
      </c>
      <c r="P49" s="1140" cm="1">
        <f t="array" ref="P49">INDEX(Segments!$1:$1048576,$B49,P$1)</f>
        <v>1.533234447749332E-2</v>
      </c>
      <c r="Q49" s="1140" cm="1">
        <f t="array" ref="Q49">INDEX(Segments!$1:$1048576,$B49,Q$1)</f>
        <v>0.131958586138885</v>
      </c>
      <c r="R49" s="1140" cm="1">
        <f t="array" ref="R49">INDEX(Segments!$1:$1048576,$B49,R$1)</f>
        <v>0.13342773601244007</v>
      </c>
    </row>
    <row r="50" spans="1:18">
      <c r="A50" s="1123" cm="1">
        <f t="array" ref="A50">ROW(FITB)</f>
        <v>147</v>
      </c>
      <c r="B50" s="1123" cm="1">
        <f t="array" ref="B50">ROW(Segments!Distr_EBIT)</f>
        <v>84</v>
      </c>
      <c r="D50" s="1097" t="s">
        <v>429</v>
      </c>
      <c r="F50" s="1091" cm="1">
        <f t="array" ref="F50">INDEX(MODEL!$1:$1048576,$A50,F$1)</f>
        <v>29.241</v>
      </c>
      <c r="G50" s="1091" cm="1">
        <f t="array" ref="G50">INDEX(MODEL!$1:$1048576,$A50,G$1)</f>
        <v>37.555999999999997</v>
      </c>
      <c r="H50" s="1091" cm="1">
        <f t="array" ref="H50">INDEX(MODEL!$1:$1048576,$A50,H$1)</f>
        <v>37.555999999999997</v>
      </c>
      <c r="I50" s="1091" cm="1">
        <f t="array" ref="I50">INDEX(MODEL!$1:$1048576,$A50,I$1)</f>
        <v>37.555999999999997</v>
      </c>
      <c r="J50" s="1091" cm="1">
        <f t="array" ref="J50">INDEX(MODEL!$1:$1048576,$A50,J$1)</f>
        <v>37.555999999999997</v>
      </c>
      <c r="L50" s="1120" t="s">
        <v>1712</v>
      </c>
      <c r="N50" s="1091" cm="1">
        <f t="array" ref="N50">INDEX(Segments!$1:$1048576,$B50,N$1)</f>
        <v>22.816518630933082</v>
      </c>
      <c r="O50" s="1091" cm="1">
        <f t="array" ref="O50">INDEX(Segments!$1:$1048576,$B50,O$1)</f>
        <v>30.196070369396306</v>
      </c>
      <c r="P50" s="1091" cm="1">
        <f t="array" ref="P50">INDEX(Segments!$1:$1048576,$B50,P$1)</f>
        <v>29.429399999999998</v>
      </c>
      <c r="Q50" s="1091" cm="1">
        <f t="array" ref="Q50">INDEX(Segments!$1:$1048576,$B50,Q$1)</f>
        <v>30.312282</v>
      </c>
      <c r="R50" s="1091" cm="1">
        <f t="array" ref="R50">INDEX(Segments!$1:$1048576,$B50,R$1)</f>
        <v>31.658316899999999</v>
      </c>
    </row>
    <row r="51" spans="1:18">
      <c r="A51" s="1123" cm="1">
        <f t="array" ref="A51">ROW(MODEL!148:148)</f>
        <v>148</v>
      </c>
      <c r="B51" s="1123" cm="1">
        <f t="array" ref="B51">ROW(Segments!85:85)</f>
        <v>85</v>
      </c>
      <c r="D51" s="1097" t="s">
        <v>1939</v>
      </c>
      <c r="F51" s="1091" cm="1">
        <f t="array" ref="F51">INDEX(MODEL!$1:$1048576,$A51,F$1)</f>
        <v>65.430999999999997</v>
      </c>
      <c r="G51" s="1091" cm="1">
        <f t="array" ref="G51">INDEX(MODEL!$1:$1048576,$A51,G$1)</f>
        <v>55.435000000000002</v>
      </c>
      <c r="H51" s="1091" cm="1">
        <f t="array" ref="H51">INDEX(MODEL!$1:$1048576,$A51,H$1)</f>
        <v>56.86048664118826</v>
      </c>
      <c r="I51" s="1091" cm="1">
        <f t="array" ref="I51">INDEX(MODEL!$1:$1048576,$A51,I$1)</f>
        <v>58.39310220472165</v>
      </c>
      <c r="J51" s="1091" cm="1">
        <f t="array" ref="J51">INDEX(MODEL!$1:$1048576,$A51,J$1)</f>
        <v>60.088269432168097</v>
      </c>
      <c r="L51" s="1141" t="s">
        <v>1359</v>
      </c>
      <c r="M51" s="756"/>
      <c r="N51" s="1140" cm="1">
        <f t="array" ref="N51">INDEX(Segments!$1:$1048576,$B51,N$1)</f>
        <v>6.3863070989935711E-2</v>
      </c>
      <c r="O51" s="1140" cm="1">
        <f t="array" ref="O51">INDEX(Segments!$1:$1048576,$B51,O$1)</f>
        <v>0.32343022429629253</v>
      </c>
      <c r="P51" s="1140" cm="1">
        <f t="array" ref="P51">INDEX(Segments!$1:$1048576,$B51,P$1)</f>
        <v>-2.5389739791218946E-2</v>
      </c>
      <c r="Q51" s="1140" cm="1">
        <f t="array" ref="Q51">INDEX(Segments!$1:$1048576,$B51,Q$1)</f>
        <v>3.0000000000000027E-2</v>
      </c>
      <c r="R51" s="1140" cm="1">
        <f t="array" ref="R51">INDEX(Segments!$1:$1048576,$B51,R$1)</f>
        <v>4.4405594405594329E-2</v>
      </c>
    </row>
    <row r="52" spans="1:18">
      <c r="B52" s="1123" cm="1">
        <f t="array" ref="B52">ROW(Segments!Total_EBIT)</f>
        <v>110</v>
      </c>
      <c r="D52" s="1097" t="s">
        <v>1143</v>
      </c>
      <c r="F52" s="1091">
        <f>F53-SUM(F47:F51)</f>
        <v>9.2430000000000518</v>
      </c>
      <c r="G52" s="1091">
        <f t="shared" ref="G52:J52" si="4">G53-SUM(G47:G51)</f>
        <v>3.8160000000000309</v>
      </c>
      <c r="H52" s="1091">
        <f t="shared" si="4"/>
        <v>3.8160000000000309</v>
      </c>
      <c r="I52" s="1091">
        <f t="shared" si="4"/>
        <v>3.8160000000000309</v>
      </c>
      <c r="J52" s="1091">
        <f t="shared" si="4"/>
        <v>3.8160000000000309</v>
      </c>
      <c r="L52" s="1100" t="s">
        <v>1971</v>
      </c>
      <c r="M52" s="630"/>
      <c r="N52" s="1089" cm="1">
        <f t="array" ref="N52">INDEX(Segments!$1:$1048576,$B52,N$1)</f>
        <v>185.71299999999999</v>
      </c>
      <c r="O52" s="1089" cm="1">
        <f t="array" ref="O52">INDEX(Segments!$1:$1048576,$B52,O$1)</f>
        <v>204.566</v>
      </c>
      <c r="P52" s="1089" cm="1">
        <f t="array" ref="P52">INDEX(Segments!$1:$1048576,$B52,P$1)</f>
        <v>206.47282945821638</v>
      </c>
      <c r="Q52" s="1089" cm="1">
        <f t="array" ref="Q52">INDEX(Segments!$1:$1048576,$B52,Q$1)</f>
        <v>238.71811209470206</v>
      </c>
      <c r="R52" s="1089" cm="1">
        <f t="array" ref="R52">INDEX(Segments!$1:$1048576,$B52,R$1)</f>
        <v>270.80384318793188</v>
      </c>
    </row>
    <row r="53" spans="1:18">
      <c r="A53" s="1123" cm="1">
        <f t="array" ref="A53">ROW(Tot_NC_Assets)</f>
        <v>151</v>
      </c>
      <c r="B53" s="1123" cm="1">
        <f t="array" ref="B53">ROW(Segments!111:111)</f>
        <v>111</v>
      </c>
      <c r="D53" s="1098" t="s">
        <v>432</v>
      </c>
      <c r="F53" s="1089" cm="1">
        <f t="array" ref="F53">INDEX(MODEL!$1:$1048576,$A53,F$1)</f>
        <v>577.06100000000004</v>
      </c>
      <c r="G53" s="1089" cm="1">
        <f t="array" ref="G53">INDEX(MODEL!$1:$1048576,$A53,G$1)</f>
        <v>639.86700000000019</v>
      </c>
      <c r="H53" s="1089" cm="1">
        <f t="array" ref="H53">INDEX(MODEL!$1:$1048576,$A53,H$1)</f>
        <v>672.90573787309472</v>
      </c>
      <c r="I53" s="1089" cm="1">
        <f t="array" ref="I53">INDEX(MODEL!$1:$1048576,$A53,I$1)</f>
        <v>705.12538168233732</v>
      </c>
      <c r="J53" s="1089" cm="1">
        <f t="array" ref="J53">INDEX(MODEL!$1:$1048576,$A53,J$1)</f>
        <v>741.21283170480251</v>
      </c>
      <c r="L53" s="1141" t="s">
        <v>1359</v>
      </c>
      <c r="M53" s="756"/>
      <c r="N53" s="1140" cm="1">
        <f t="array" ref="N53">INDEX(Segments!$1:$1048576,$B53,N$1)</f>
        <v>7.9594933176763361E-2</v>
      </c>
      <c r="O53" s="1140" cm="1">
        <f t="array" ref="O53">INDEX(Segments!$1:$1048576,$B53,O$1)</f>
        <v>0.10151685665516141</v>
      </c>
      <c r="P53" s="1140" cm="1">
        <f t="array" ref="P53">INDEX(Segments!$1:$1048576,$B53,P$1)</f>
        <v>9.32134107435445E-3</v>
      </c>
      <c r="Q53" s="1140" cm="1">
        <f t="array" ref="Q53">INDEX(Segments!$1:$1048576,$B53,Q$1)</f>
        <v>0.15617203833113114</v>
      </c>
      <c r="R53" s="1140" cm="1">
        <f t="array" ref="R53">INDEX(Segments!$1:$1048576,$B53,R$1)</f>
        <v>0.13440844857427936</v>
      </c>
    </row>
    <row r="54" spans="1:18">
      <c r="A54" s="1123" cm="1">
        <f t="array" ref="A54">ROW(Total_assets)</f>
        <v>153</v>
      </c>
      <c r="D54" s="1093" t="s">
        <v>433</v>
      </c>
      <c r="F54" s="1089" cm="1">
        <f t="array" ref="F54">INDEX(MODEL!$1:$1048576,$A54,F$1)</f>
        <v>1341.0709999999999</v>
      </c>
      <c r="G54" s="1089" cm="1">
        <f t="array" ref="G54">INDEX(MODEL!$1:$1048576,$A54,G$1)</f>
        <v>1481.2090000000003</v>
      </c>
      <c r="H54" s="1089" cm="1">
        <f t="array" ref="H54">INDEX(MODEL!$1:$1048576,$A54,H$1)</f>
        <v>1702.4543785022042</v>
      </c>
      <c r="I54" s="1089" cm="1">
        <f t="array" ref="I54">INDEX(MODEL!$1:$1048576,$A54,I$1)</f>
        <v>1748.7015423296762</v>
      </c>
      <c r="J54" s="1089" cm="1">
        <f t="array" ref="J54">INDEX(MODEL!$1:$1048576,$A54,J$1)</f>
        <v>1910.3334756217789</v>
      </c>
    </row>
    <row r="55" spans="1:18">
      <c r="A55" s="1123" cm="1">
        <f t="array" ref="A55">ROW(Borrowings_current)</f>
        <v>156</v>
      </c>
      <c r="D55" s="1097" t="s">
        <v>1155</v>
      </c>
      <c r="F55" s="1091" cm="1">
        <f t="array" ref="F55">INDEX(MODEL!$1:$1048576,$A55,F$1)</f>
        <v>2.7349999999999999</v>
      </c>
      <c r="G55" s="1091" cm="1">
        <f t="array" ref="G55">INDEX(MODEL!$1:$1048576,$A55,G$1)</f>
        <v>1.0489999999999999</v>
      </c>
      <c r="H55" s="1091" cm="1">
        <f t="array" ref="H55">INDEX(MODEL!$1:$1048576,$A55,H$1)</f>
        <v>0</v>
      </c>
      <c r="I55" s="1091" cm="1">
        <f t="array" ref="I55">INDEX(MODEL!$1:$1048576,$A55,I$1)</f>
        <v>0</v>
      </c>
      <c r="J55" s="1091" cm="1">
        <f t="array" ref="J55">INDEX(MODEL!$1:$1048576,$A55,J$1)</f>
        <v>0</v>
      </c>
      <c r="L55" s="1086" t="s">
        <v>1969</v>
      </c>
      <c r="M55" s="1087"/>
      <c r="N55" s="1087" t="s">
        <v>1838</v>
      </c>
      <c r="O55" s="1087" t="s">
        <v>1830</v>
      </c>
      <c r="P55" s="1087" t="s">
        <v>1856</v>
      </c>
      <c r="Q55" s="1087" t="s">
        <v>1879</v>
      </c>
      <c r="R55" s="1087" t="s">
        <v>1880</v>
      </c>
    </row>
    <row r="56" spans="1:18">
      <c r="A56" s="1123" cm="1">
        <f t="array" ref="A56">ROW(Lease_liabilities_current)</f>
        <v>157</v>
      </c>
      <c r="B56" s="1123" cm="1">
        <f t="array" ref="B56">ROW(MODEL!6:6)</f>
        <v>6</v>
      </c>
      <c r="D56" s="1097" t="s">
        <v>435</v>
      </c>
      <c r="F56" s="1091" cm="1">
        <f t="array" ref="F56">INDEX(MODEL!$1:$1048576,$A56,F$1)</f>
        <v>22.02</v>
      </c>
      <c r="G56" s="1091" cm="1">
        <f t="array" ref="G56">INDEX(MODEL!$1:$1048576,$A56,G$1)</f>
        <v>24.245999999999999</v>
      </c>
      <c r="H56" s="1091" cm="1">
        <f t="array" ref="H56">INDEX(MODEL!$1:$1048576,$A56,H$1)</f>
        <v>24.245999999999999</v>
      </c>
      <c r="I56" s="1091" cm="1">
        <f t="array" ref="I56">INDEX(MODEL!$1:$1048576,$A56,I$1)</f>
        <v>24.245999999999999</v>
      </c>
      <c r="J56" s="1091" cm="1">
        <f t="array" ref="J56">INDEX(MODEL!$1:$1048576,$A56,J$1)</f>
        <v>24.245999999999999</v>
      </c>
      <c r="L56" s="1094" t="s">
        <v>1645</v>
      </c>
      <c r="N56" s="1121" cm="1">
        <f t="array" ref="N56">INDEX(MODEL!$1:$1048576,$B56,N$1)</f>
        <v>3.4790071921620536E-2</v>
      </c>
      <c r="O56" s="1121" cm="1">
        <f t="array" ref="O56">INDEX(MODEL!$1:$1048576,$B56,O$1)</f>
        <v>0.10886193596964167</v>
      </c>
      <c r="P56" s="1121" cm="1">
        <f t="array" ref="P56">INDEX(MODEL!$1:$1048576,$B56,P$1)</f>
        <v>9.1213928963153945E-2</v>
      </c>
      <c r="Q56" s="1121" cm="1">
        <f t="array" ref="Q56">INDEX(MODEL!$1:$1048576,$B56,Q$1)</f>
        <v>0.10013602605216154</v>
      </c>
      <c r="R56" s="1121" cm="1">
        <f t="array" ref="R56">INDEX(MODEL!$1:$1048576,$B56,R$1)</f>
        <v>0.10606160330141345</v>
      </c>
    </row>
    <row r="57" spans="1:18">
      <c r="A57" s="1123" cm="1">
        <f t="array" ref="A57">ROW(Trade_creditors)</f>
        <v>158</v>
      </c>
      <c r="B57" s="1123" cm="1">
        <f t="array" ref="B57">ROW(MODEL!9:9)</f>
        <v>9</v>
      </c>
      <c r="D57" s="1097" t="s">
        <v>436</v>
      </c>
      <c r="F57" s="1091" cm="1">
        <f t="array" ref="F57">INDEX(MODEL!$1:$1048576,$A57,F$1)</f>
        <v>273.26900000000001</v>
      </c>
      <c r="G57" s="1091" cm="1">
        <f t="array" ref="G57">INDEX(MODEL!$1:$1048576,$A57,G$1)</f>
        <v>309.91800000000001</v>
      </c>
      <c r="H57" s="1091" cm="1">
        <f t="array" ref="H57">INDEX(MODEL!$1:$1048576,$A57,H$1)</f>
        <v>359.80150220612626</v>
      </c>
      <c r="I57" s="1091" cm="1">
        <f t="array" ref="I57">INDEX(MODEL!$1:$1048576,$A57,I$1)</f>
        <v>358.23854195012967</v>
      </c>
      <c r="J57" s="1091" cm="1">
        <f t="array" ref="J57">INDEX(MODEL!$1:$1048576,$A57,J$1)</f>
        <v>395.30571473405672</v>
      </c>
      <c r="L57" s="1094" t="s">
        <v>681</v>
      </c>
      <c r="N57" s="1121" cm="1">
        <f t="array" ref="N57">INDEX(MODEL!$1:$1048576,$B57,N$1)</f>
        <v>1.1899809902538694E-2</v>
      </c>
      <c r="O57" s="1121" cm="1">
        <f t="array" ref="O57">INDEX(MODEL!$1:$1048576,$B57,O$1)</f>
        <v>0.10587171331528045</v>
      </c>
      <c r="P57" s="1121" cm="1">
        <f t="array" ref="P57">INDEX(MODEL!$1:$1048576,$B57,P$1)</f>
        <v>0.10948392282953923</v>
      </c>
      <c r="Q57" s="1121" cm="1">
        <f t="array" ref="Q57">INDEX(MODEL!$1:$1048576,$B57,Q$1)</f>
        <v>9.522165340874178E-2</v>
      </c>
      <c r="R57" s="1121" cm="1">
        <f t="array" ref="R57">INDEX(MODEL!$1:$1048576,$B57,R$1)</f>
        <v>0.1034706443984108</v>
      </c>
    </row>
    <row r="58" spans="1:18">
      <c r="A58" s="1123" cm="1">
        <f t="array" ref="A58">ROW(Provisions)</f>
        <v>160</v>
      </c>
      <c r="B58" s="1123" cm="1">
        <f t="array" ref="B58">ROW(MODEL!12:12)</f>
        <v>12</v>
      </c>
      <c r="D58" s="1097" t="s">
        <v>1156</v>
      </c>
      <c r="F58" s="1091" cm="1">
        <f t="array" ref="F58">INDEX(MODEL!$1:$1048576,$A58,F$1)</f>
        <v>30.337</v>
      </c>
      <c r="G58" s="1091" cm="1">
        <f t="array" ref="G58">INDEX(MODEL!$1:$1048576,$A58,G$1)</f>
        <v>31.826000000000001</v>
      </c>
      <c r="H58" s="1091" cm="1">
        <f t="array" ref="H58">INDEX(MODEL!$1:$1048576,$A58,H$1)</f>
        <v>34.728974503181341</v>
      </c>
      <c r="I58" s="1091" cm="1">
        <f t="array" ref="I58">INDEX(MODEL!$1:$1048576,$A58,I$1)</f>
        <v>38.206595998796764</v>
      </c>
      <c r="J58" s="1091" cm="1">
        <f t="array" ref="J58">INDEX(MODEL!$1:$1048576,$A58,J$1)</f>
        <v>42.25884882711852</v>
      </c>
      <c r="L58" s="1094" t="s">
        <v>1840</v>
      </c>
      <c r="N58" s="1121" cm="1">
        <f t="array" ref="N58">INDEX(MODEL!$1:$1048576,$B58,N$1)</f>
        <v>7.7370381977088121E-2</v>
      </c>
      <c r="O58" s="1121" cm="1">
        <f t="array" ref="O58">INDEX(MODEL!$1:$1048576,$B58,O$1)</f>
        <v>0.11408630763208816</v>
      </c>
      <c r="P58" s="1121" cm="1">
        <f t="array" ref="P58">INDEX(MODEL!$1:$1048576,$B58,P$1)</f>
        <v>5.9528845745280501E-2</v>
      </c>
      <c r="Q58" s="1121" cm="1">
        <f t="array" ref="Q58">INDEX(MODEL!$1:$1048576,$B58,Q$1)</f>
        <v>0.10906070832550263</v>
      </c>
      <c r="R58" s="1121" cm="1">
        <f t="array" ref="R58">INDEX(MODEL!$1:$1048576,$B58,R$1)</f>
        <v>0.11070816711123022</v>
      </c>
    </row>
    <row r="59" spans="1:18">
      <c r="B59" s="1123" cm="1">
        <f t="array" ref="B59">ROW(MODEL!31:31)</f>
        <v>31</v>
      </c>
      <c r="D59" s="1097" t="s">
        <v>1143</v>
      </c>
      <c r="F59" s="1091">
        <f>F60-SUM(F55:F58)</f>
        <v>9.5830000000000268</v>
      </c>
      <c r="G59" s="1091">
        <f t="shared" ref="G59:J59" si="5">G60-SUM(G55:G58)</f>
        <v>19.548000000000002</v>
      </c>
      <c r="H59" s="1091">
        <f t="shared" si="5"/>
        <v>19.548000000000002</v>
      </c>
      <c r="I59" s="1091">
        <f t="shared" si="5"/>
        <v>19.548000000000002</v>
      </c>
      <c r="J59" s="1091">
        <f t="shared" si="5"/>
        <v>19.548000000000002</v>
      </c>
      <c r="L59" s="1094" t="s">
        <v>1683</v>
      </c>
      <c r="N59" s="1121" cm="1">
        <f t="array" ref="N59">INDEX(MODEL!$1:$1048576,$B59,N$1)</f>
        <v>4.2375802850936228E-2</v>
      </c>
      <c r="O59" s="1121" cm="1">
        <f t="array" ref="O59">INDEX(MODEL!$1:$1048576,$B59,O$1)</f>
        <v>0.11926213716927769</v>
      </c>
      <c r="P59" s="1121" cm="1">
        <f t="array" ref="P59">INDEX(MODEL!$1:$1048576,$B59,P$1)</f>
        <v>8.1685200241738531E-2</v>
      </c>
      <c r="Q59" s="1121" cm="1">
        <f t="array" ref="Q59">INDEX(MODEL!$1:$1048576,$B59,Q$1)</f>
        <v>8.8252678555529984E-2</v>
      </c>
      <c r="R59" s="1121" cm="1">
        <f t="array" ref="R59">INDEX(MODEL!$1:$1048576,$B59,R$1)</f>
        <v>0.1005716874508551</v>
      </c>
    </row>
    <row r="60" spans="1:18">
      <c r="A60" s="1123" cm="1">
        <f t="array" ref="A60">ROW(Tot_Curr_Liabs)</f>
        <v>162</v>
      </c>
      <c r="B60" s="1123" cm="1">
        <f t="array" ref="B60">ROW(MODEL!46:46)</f>
        <v>46</v>
      </c>
      <c r="D60" s="1098" t="s">
        <v>439</v>
      </c>
      <c r="F60" s="1089" cm="1">
        <f t="array" ref="F60">INDEX(MODEL!$1:$1048576,$A60,F$1)</f>
        <v>337.94400000000002</v>
      </c>
      <c r="G60" s="1089" cm="1">
        <f t="array" ref="G60">INDEX(MODEL!$1:$1048576,$A60,G$1)</f>
        <v>386.58700000000005</v>
      </c>
      <c r="H60" s="1089" cm="1">
        <f t="array" ref="H60">INDEX(MODEL!$1:$1048576,$A60,H$1)</f>
        <v>438.32447670930759</v>
      </c>
      <c r="I60" s="1089" cm="1">
        <f t="array" ref="I60">INDEX(MODEL!$1:$1048576,$A60,I$1)</f>
        <v>440.23913794892644</v>
      </c>
      <c r="J60" s="1089" cm="1">
        <f t="array" ref="J60">INDEX(MODEL!$1:$1048576,$A60,J$1)</f>
        <v>481.35856356117523</v>
      </c>
      <c r="L60" s="1094" t="s">
        <v>1107</v>
      </c>
      <c r="N60" s="1121" cm="1">
        <f t="array" ref="N60">INDEX(MODEL!$1:$1048576,$B60,N$1)</f>
        <v>7.9594933176763361E-2</v>
      </c>
      <c r="O60" s="1121" cm="1">
        <f t="array" ref="O60">INDEX(MODEL!$1:$1048576,$B60,O$1)</f>
        <v>0.10151685665516141</v>
      </c>
      <c r="P60" s="1121" cm="1">
        <f t="array" ref="P60">INDEX(MODEL!$1:$1048576,$B60,P$1)</f>
        <v>9.32134107435445E-3</v>
      </c>
      <c r="Q60" s="1121" cm="1">
        <f t="array" ref="Q60">INDEX(MODEL!$1:$1048576,$B60,Q$1)</f>
        <v>0.15617203833113114</v>
      </c>
      <c r="R60" s="1121" cm="1">
        <f t="array" ref="R60">INDEX(MODEL!$1:$1048576,$B60,R$1)</f>
        <v>0.13440844857427936</v>
      </c>
    </row>
    <row r="61" spans="1:18">
      <c r="A61" s="1123" cm="1">
        <f t="array" ref="A61">ROW(Borrowings_non_current)</f>
        <v>165</v>
      </c>
      <c r="D61" s="1097" t="s">
        <v>1155</v>
      </c>
      <c r="F61" s="1091" cm="1">
        <f t="array" ref="F61">INDEX(MODEL!$1:$1048576,$A61,F$1)</f>
        <v>81.430999999999955</v>
      </c>
      <c r="G61" s="1091" cm="1">
        <f t="array" ref="G61">INDEX(MODEL!$1:$1048576,$A61,G$1)</f>
        <v>56.233999999999952</v>
      </c>
      <c r="H61" s="1091" cm="1">
        <f t="array" ref="H61">INDEX(MODEL!$1:$1048576,$A61,H$1)</f>
        <v>137.28299999999996</v>
      </c>
      <c r="I61" s="1091" cm="1">
        <f t="array" ref="I61">INDEX(MODEL!$1:$1048576,$A61,I$1)</f>
        <v>77.282999999999959</v>
      </c>
      <c r="J61" s="1091" cm="1">
        <f t="array" ref="J61">INDEX(MODEL!$1:$1048576,$A61,J$1)</f>
        <v>77.282999999999959</v>
      </c>
      <c r="L61" s="1094" t="s">
        <v>723</v>
      </c>
      <c r="N61" s="1121" cm="1">
        <f t="array" ref="N61">INDEX(MODEL!$1:$1048576,$B62,N$1)</f>
        <v>7.5303063298490125E-2</v>
      </c>
      <c r="O61" s="1121" cm="1">
        <f t="array" ref="O61">INDEX(MODEL!$1:$1048576,$B62,O$1)</f>
        <v>0.14637953876142351</v>
      </c>
      <c r="P61" s="1121" cm="1">
        <f t="array" ref="P61">INDEX(MODEL!$1:$1048576,$B62,P$1)</f>
        <v>-6.0719234949291323E-4</v>
      </c>
      <c r="Q61" s="1121" cm="1">
        <f t="array" ref="Q61">INDEX(MODEL!$1:$1048576,$B62,Q$1)</f>
        <v>0.18190784668549154</v>
      </c>
      <c r="R61" s="1121" cm="1">
        <f t="array" ref="R61">INDEX(MODEL!$1:$1048576,$B62,R$1)</f>
        <v>0.15839735998654447</v>
      </c>
    </row>
    <row r="62" spans="1:18">
      <c r="A62" s="1123" cm="1">
        <f t="array" ref="A62">ROW(Lease_liabilities_non_current)</f>
        <v>166</v>
      </c>
      <c r="B62" s="1123" cm="1">
        <f t="array" ref="B62">ROW(MODEL!58:58)</f>
        <v>58</v>
      </c>
      <c r="D62" s="1097" t="s">
        <v>435</v>
      </c>
      <c r="F62" s="1091" cm="1">
        <f t="array" ref="F62">INDEX(MODEL!$1:$1048576,$A62,F$1)</f>
        <v>49.796999999999997</v>
      </c>
      <c r="G62" s="1091" cm="1">
        <f t="array" ref="G62">INDEX(MODEL!$1:$1048576,$A62,G$1)</f>
        <v>36.935000000000002</v>
      </c>
      <c r="H62" s="1091" cm="1">
        <f t="array" ref="H62">INDEX(MODEL!$1:$1048576,$A62,H$1)</f>
        <v>43.391756262344359</v>
      </c>
      <c r="I62" s="1091" cm="1">
        <f t="array" ref="I62">INDEX(MODEL!$1:$1048576,$A62,I$1)</f>
        <v>49.743566685072651</v>
      </c>
      <c r="J62" s="1091" cm="1">
        <f t="array" ref="J62">INDEX(MODEL!$1:$1048576,$A62,J$1)</f>
        <v>57.030033286160773</v>
      </c>
    </row>
    <row r="63" spans="1:18">
      <c r="A63" s="1123" cm="1">
        <f t="array" ref="A63">ROW(Deferred_income_tax_provision)</f>
        <v>167</v>
      </c>
      <c r="D63" s="1099" t="s">
        <v>1940</v>
      </c>
      <c r="F63" s="1091" cm="1">
        <f t="array" ref="F63">INDEX(MODEL!$1:$1048576,$A63,F$1)</f>
        <v>19.413</v>
      </c>
      <c r="G63" s="1091" cm="1">
        <f t="array" ref="G63">INDEX(MODEL!$1:$1048576,$A63,G$1)</f>
        <v>23.036999999999999</v>
      </c>
      <c r="H63" s="1091" cm="1">
        <f t="array" ref="H63">INDEX(MODEL!$1:$1048576,$A63,H$1)</f>
        <v>23.036999999999999</v>
      </c>
      <c r="I63" s="1091" cm="1">
        <f t="array" ref="I63">INDEX(MODEL!$1:$1048576,$A63,I$1)</f>
        <v>23.036999999999999</v>
      </c>
      <c r="J63" s="1091" cm="1">
        <f t="array" ref="J63">INDEX(MODEL!$1:$1048576,$A63,J$1)</f>
        <v>23.036999999999999</v>
      </c>
    </row>
    <row r="64" spans="1:18">
      <c r="D64" s="1097" t="s">
        <v>1143</v>
      </c>
      <c r="F64" s="1091">
        <f>F65-SUM(F61:F63)</f>
        <v>4.2719999999999914</v>
      </c>
      <c r="G64" s="1091">
        <f t="shared" ref="G64:J64" si="6">G65-SUM(G61:G63)</f>
        <v>4.7069999999999936</v>
      </c>
      <c r="H64" s="1091">
        <f t="shared" si="6"/>
        <v>4.7069999999999936</v>
      </c>
      <c r="I64" s="1091">
        <f t="shared" si="6"/>
        <v>4.7069999999999936</v>
      </c>
      <c r="J64" s="1091">
        <f t="shared" si="6"/>
        <v>4.7069999999999936</v>
      </c>
      <c r="L64" s="1086" t="s">
        <v>1970</v>
      </c>
      <c r="M64" s="1087"/>
      <c r="N64" s="1087" t="s">
        <v>1838</v>
      </c>
      <c r="O64" s="1087" t="s">
        <v>1830</v>
      </c>
      <c r="P64" s="1087" t="s">
        <v>1856</v>
      </c>
      <c r="Q64" s="1087" t="s">
        <v>1879</v>
      </c>
      <c r="R64" s="1087" t="s">
        <v>1880</v>
      </c>
    </row>
    <row r="65" spans="1:19">
      <c r="A65" s="1123" cm="1">
        <f t="array" ref="A65">ROW(Tot_NC_Liabs)</f>
        <v>169</v>
      </c>
      <c r="B65" s="1123" cm="1">
        <f t="array" ref="B65">ROW(MODEL!13:13)</f>
        <v>13</v>
      </c>
      <c r="D65" s="1098" t="s">
        <v>1941</v>
      </c>
      <c r="F65" s="1089" cm="1">
        <f t="array" ref="F65">INDEX(MODEL!$1:$1048576,$A65,F$1)</f>
        <v>154.91299999999995</v>
      </c>
      <c r="G65" s="1089" cm="1">
        <f t="array" ref="G65">INDEX(MODEL!$1:$1048576,$A65,G$1)</f>
        <v>120.91299999999995</v>
      </c>
      <c r="H65" s="1089" cm="1">
        <f t="array" ref="H65">INDEX(MODEL!$1:$1048576,$A65,H$1)</f>
        <v>208.41875626234432</v>
      </c>
      <c r="I65" s="1089" cm="1">
        <f t="array" ref="I65">INDEX(MODEL!$1:$1048576,$A65,I$1)</f>
        <v>154.77056668507259</v>
      </c>
      <c r="J65" s="1089" cm="1">
        <f t="array" ref="J65">INDEX(MODEL!$1:$1048576,$A65,J$1)</f>
        <v>162.05703328616073</v>
      </c>
      <c r="L65" s="1094" t="s">
        <v>1840</v>
      </c>
      <c r="N65" s="1121" cm="1">
        <f t="array" ref="N65">INDEX(MODEL!$1:$1048576,$B65,N$1)</f>
        <v>0.36401343012680448</v>
      </c>
      <c r="O65" s="1121" cm="1">
        <f t="array" ref="O65">INDEX(MODEL!$1:$1048576,$B65,O$1)</f>
        <v>0.36572846911174489</v>
      </c>
      <c r="P65" s="1121" cm="1">
        <f t="array" ref="P65">INDEX(MODEL!$1:$1048576,$B65,P$1)</f>
        <v>0.35510897767072019</v>
      </c>
      <c r="Q65" s="1121" cm="1">
        <f t="array" ref="Q65">INDEX(MODEL!$1:$1048576,$B65,Q$1)</f>
        <v>0.35798974397876937</v>
      </c>
      <c r="R65" s="1121" cm="1">
        <f t="array" ref="R65">INDEX(MODEL!$1:$1048576,$B65,R$1)</f>
        <v>0.35949365857420618</v>
      </c>
    </row>
    <row r="66" spans="1:19">
      <c r="A66" s="1123" cm="1">
        <f t="array" ref="A66">ROW(Total_liabilities)</f>
        <v>171</v>
      </c>
      <c r="B66" s="1123" cm="1">
        <f t="array" ref="B66">ROW(MODEL!45:45)</f>
        <v>45</v>
      </c>
      <c r="D66" s="1093" t="s">
        <v>443</v>
      </c>
      <c r="F66" s="1089" cm="1">
        <f t="array" ref="F66">INDEX(MODEL!$1:$1048576,$A66,F$1)</f>
        <v>492.85699999999997</v>
      </c>
      <c r="G66" s="1089" cm="1">
        <f t="array" ref="G66">INDEX(MODEL!$1:$1048576,$A66,G$1)</f>
        <v>507.5</v>
      </c>
      <c r="H66" s="1089" cm="1">
        <f t="array" ref="H66">INDEX(MODEL!$1:$1048576,$A66,H$1)</f>
        <v>646.74323297165188</v>
      </c>
      <c r="I66" s="1089" cm="1">
        <f t="array" ref="I66">INDEX(MODEL!$1:$1048576,$A66,I$1)</f>
        <v>595.00970463399904</v>
      </c>
      <c r="J66" s="1089" cm="1">
        <f t="array" ref="J66">INDEX(MODEL!$1:$1048576,$A66,J$1)</f>
        <v>643.41559684733602</v>
      </c>
      <c r="L66" s="1094" t="s">
        <v>1107</v>
      </c>
      <c r="N66" s="1121" cm="1">
        <f t="array" ref="N66">INDEX(MODEL!$1:$1048576,$B66,N$1)</f>
        <v>0.12138160109229258</v>
      </c>
      <c r="O66" s="1121" cm="1">
        <f t="array" ref="O66">INDEX(MODEL!$1:$1048576,$B66,O$1)</f>
        <v>0.12057757179124</v>
      </c>
      <c r="P66" s="1121" cm="1">
        <f t="array" ref="P66">INDEX(MODEL!$1:$1048576,$B66,P$1)</f>
        <v>0.1115285584555006</v>
      </c>
      <c r="Q66" s="1121" cm="1">
        <f t="array" ref="Q66">INDEX(MODEL!$1:$1048576,$B66,Q$1)</f>
        <v>0.11720932476354975</v>
      </c>
      <c r="R66" s="1121" cm="1">
        <f t="array" ref="R66">INDEX(MODEL!$1:$1048576,$B66,R$1)</f>
        <v>0.12021323935898663</v>
      </c>
    </row>
    <row r="67" spans="1:19">
      <c r="A67" s="1123" cm="1">
        <f t="array" ref="A67">ROW(Total_equity)</f>
        <v>178</v>
      </c>
      <c r="D67" s="1093" t="s">
        <v>448</v>
      </c>
      <c r="F67" s="1089" cm="1">
        <f t="array" ref="F67">INDEX(MODEL!$1:$1048576,$A67,F$1)</f>
        <v>848.21399999999994</v>
      </c>
      <c r="G67" s="1089" cm="1">
        <f t="array" ref="G67">INDEX(MODEL!$1:$1048576,$A67,G$1)</f>
        <v>973.70900000000006</v>
      </c>
      <c r="H67" s="1089" cm="1">
        <f t="array" ref="H67">INDEX(MODEL!$1:$1048576,$A67,H$1)</f>
        <v>1055.7111455305521</v>
      </c>
      <c r="I67" s="1089" cm="1">
        <f t="array" ref="I67">INDEX(MODEL!$1:$1048576,$A67,I$1)</f>
        <v>1153.6918376956771</v>
      </c>
      <c r="J67" s="1089" cm="1">
        <f t="array" ref="J67">INDEX(MODEL!$1:$1048576,$A67,J$1)</f>
        <v>1266.9178787744427</v>
      </c>
    </row>
    <row r="69" spans="1:19">
      <c r="D69" s="1107" t="s">
        <v>1962</v>
      </c>
      <c r="E69" s="1108"/>
      <c r="F69" s="1109"/>
      <c r="G69" s="1109"/>
      <c r="H69" s="1109"/>
      <c r="I69" s="1109"/>
      <c r="J69" s="1109"/>
      <c r="L69" s="1109"/>
      <c r="M69" s="1109"/>
      <c r="N69" s="1109"/>
      <c r="O69" s="1109"/>
      <c r="P69" s="1109"/>
      <c r="Q69" s="1109"/>
      <c r="R69" s="1109"/>
    </row>
    <row r="71" spans="1:19">
      <c r="S71" s="1088"/>
    </row>
  </sheetData>
  <conditionalFormatting sqref="D8 D64:D67 D23:D35">
    <cfRule type="expression" dxfId="37" priority="5">
      <formula>D$3=1</formula>
    </cfRule>
  </conditionalFormatting>
  <conditionalFormatting sqref="D13:D16">
    <cfRule type="expression" dxfId="36" priority="4">
      <formula>D$3=1</formula>
    </cfRule>
  </conditionalFormatting>
  <conditionalFormatting sqref="D42:D62">
    <cfRule type="expression" dxfId="35" priority="2">
      <formula>D$3=1</formula>
    </cfRule>
  </conditionalFormatting>
  <conditionalFormatting sqref="R13">
    <cfRule type="expression" dxfId="34" priority="1">
      <formula>N$3=1</formula>
    </cfRule>
  </conditionalFormatting>
  <printOptions horizontalCentered="1" verticalCentered="1"/>
  <pageMargins left="0.7" right="0.7" top="0.75" bottom="0.75" header="0.3" footer="0.3"/>
  <pageSetup paperSize="0" scale="23" orientation="portrait" r:id="rId1"/>
  <customProperties>
    <customPr name="Qube.Worksheet.Visibility" r:id="rId2"/>
  </customPropertie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4"/>
  </sheetPr>
  <dimension ref="A1:DS257"/>
  <sheetViews>
    <sheetView topLeftCell="AE1" zoomScaleNormal="100" workbookViewId="0">
      <selection activeCell="BK1" sqref="BK1:BT1048576"/>
    </sheetView>
  </sheetViews>
  <sheetFormatPr defaultColWidth="9.140625" defaultRowHeight="12.75" outlineLevelRow="1" outlineLevelCol="1"/>
  <cols>
    <col min="1" max="1" width="38.85546875" style="314" customWidth="1"/>
    <col min="2" max="3" width="8.85546875" style="430" hidden="1" customWidth="1" outlineLevel="1"/>
    <col min="4" max="4" width="9.28515625" style="430" customWidth="1" collapsed="1"/>
    <col min="5" max="6" width="9.28515625" style="430" hidden="1" customWidth="1" outlineLevel="1"/>
    <col min="7" max="7" width="9.28515625" style="430" customWidth="1" collapsed="1"/>
    <col min="8" max="9" width="9.28515625" style="430" hidden="1" customWidth="1" outlineLevel="1"/>
    <col min="10" max="10" width="9.28515625" style="430" customWidth="1" collapsed="1"/>
    <col min="11" max="12" width="9.28515625" style="430" hidden="1" customWidth="1" outlineLevel="1"/>
    <col min="13" max="13" width="9.28515625" style="430" customWidth="1" collapsed="1"/>
    <col min="14" max="15" width="9.28515625" style="430" hidden="1" customWidth="1" outlineLevel="1"/>
    <col min="16" max="16" width="9.28515625" style="430" customWidth="1" collapsed="1"/>
    <col min="17" max="18" width="9.28515625" style="430" hidden="1" customWidth="1" outlineLevel="1"/>
    <col min="19" max="19" width="9.28515625" style="430" customWidth="1" collapsed="1"/>
    <col min="20" max="21" width="10" style="430" hidden="1" customWidth="1" outlineLevel="1"/>
    <col min="22" max="22" width="12.42578125" style="430" customWidth="1" collapsed="1"/>
    <col min="23" max="24" width="12.42578125" style="430" hidden="1" customWidth="1" outlineLevel="1"/>
    <col min="25" max="25" width="12.42578125" style="430" customWidth="1" collapsed="1"/>
    <col min="26" max="26" width="10" style="430" hidden="1" customWidth="1" outlineLevel="1"/>
    <col min="27" max="27" width="12.42578125" style="430" hidden="1" customWidth="1" outlineLevel="1"/>
    <col min="28" max="28" width="12.42578125" style="826" customWidth="1" collapsed="1"/>
    <col min="29" max="30" width="10" style="430" hidden="1" customWidth="1" outlineLevel="1"/>
    <col min="31" max="31" width="10" style="430" customWidth="1" collapsed="1"/>
    <col min="32" max="33" width="10" style="430" hidden="1" customWidth="1" outlineLevel="1"/>
    <col min="34" max="34" width="10" style="430" customWidth="1" collapsed="1"/>
    <col min="35" max="36" width="10" style="430" hidden="1" customWidth="1" outlineLevel="1"/>
    <col min="37" max="37" width="10" style="430" customWidth="1" collapsed="1"/>
    <col min="38" max="39" width="10" style="430" hidden="1" customWidth="1" outlineLevel="1"/>
    <col min="40" max="40" width="10" style="430" customWidth="1" collapsed="1"/>
    <col min="41" max="42" width="10" style="430" hidden="1" customWidth="1" outlineLevel="1"/>
    <col min="43" max="43" width="10" style="430" customWidth="1" collapsed="1"/>
    <col min="44" max="45" width="10" style="430" hidden="1" customWidth="1" outlineLevel="1"/>
    <col min="46" max="46" width="10" style="430" customWidth="1" collapsed="1"/>
    <col min="47" max="48" width="10" style="430" hidden="1" customWidth="1" outlineLevel="1"/>
    <col min="49" max="49" width="10" style="430" customWidth="1" collapsed="1"/>
    <col min="50" max="51" width="10" style="430" hidden="1" customWidth="1" outlineLevel="1"/>
    <col min="52" max="52" width="10" style="430" customWidth="1" collapsed="1"/>
    <col min="53" max="54" width="10" style="430" hidden="1" customWidth="1" outlineLevel="1"/>
    <col min="55" max="55" width="10" style="430" customWidth="1" collapsed="1"/>
    <col min="56" max="57" width="10" style="430" hidden="1" customWidth="1" outlineLevel="1"/>
    <col min="58" max="58" width="10" style="430" customWidth="1" collapsed="1"/>
    <col min="59" max="60" width="10" style="430" hidden="1" customWidth="1" outlineLevel="1"/>
    <col min="61" max="61" width="10" style="430" customWidth="1" collapsed="1"/>
    <col min="62" max="62" width="9.7109375" style="351" customWidth="1"/>
    <col min="63" max="16384" width="9.140625" style="314"/>
  </cols>
  <sheetData>
    <row r="1" spans="1:62" ht="38.25">
      <c r="A1" s="707" t="s">
        <v>983</v>
      </c>
      <c r="B1" s="708"/>
      <c r="C1" s="708"/>
      <c r="D1" s="709"/>
      <c r="E1" s="708"/>
      <c r="F1" s="708"/>
      <c r="G1" s="710"/>
      <c r="H1" s="708"/>
      <c r="I1" s="708"/>
      <c r="J1" s="708"/>
      <c r="K1" s="711" t="s">
        <v>1617</v>
      </c>
      <c r="L1" s="708"/>
      <c r="M1" s="712" t="s">
        <v>1618</v>
      </c>
      <c r="N1" s="713" t="s">
        <v>1687</v>
      </c>
      <c r="O1" s="713"/>
      <c r="P1" s="713"/>
      <c r="Q1" s="713"/>
      <c r="R1" s="713"/>
      <c r="S1" s="713"/>
      <c r="T1" s="713"/>
      <c r="U1" s="713"/>
      <c r="V1" s="713"/>
      <c r="W1" s="713"/>
      <c r="X1" s="713"/>
      <c r="Y1" s="713"/>
      <c r="Z1" s="713"/>
      <c r="AA1" s="713"/>
      <c r="AB1" s="822"/>
      <c r="AC1" s="713"/>
      <c r="AD1" s="713"/>
      <c r="AE1" s="713"/>
      <c r="AF1" s="713"/>
      <c r="AG1" s="713"/>
      <c r="AH1" s="713"/>
      <c r="AI1" s="713"/>
      <c r="AJ1" s="713"/>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348"/>
    </row>
    <row r="2" spans="1:62">
      <c r="A2" s="714" t="s">
        <v>396</v>
      </c>
      <c r="B2" s="715" t="s">
        <v>1619</v>
      </c>
      <c r="C2" s="706" t="s">
        <v>1620</v>
      </c>
      <c r="D2" s="706" t="s">
        <v>1565</v>
      </c>
      <c r="E2" s="706" t="s">
        <v>1621</v>
      </c>
      <c r="F2" s="706" t="s">
        <v>1622</v>
      </c>
      <c r="G2" s="706" t="s">
        <v>1584</v>
      </c>
      <c r="H2" s="706" t="s">
        <v>1623</v>
      </c>
      <c r="I2" s="706" t="s">
        <v>1624</v>
      </c>
      <c r="J2" s="706" t="s">
        <v>1592</v>
      </c>
      <c r="K2" s="706" t="s">
        <v>1625</v>
      </c>
      <c r="L2" s="706" t="s">
        <v>1626</v>
      </c>
      <c r="M2" s="706" t="s">
        <v>1596</v>
      </c>
      <c r="N2" s="706" t="s">
        <v>1627</v>
      </c>
      <c r="O2" s="706" t="s">
        <v>1628</v>
      </c>
      <c r="P2" s="706" t="s">
        <v>1602</v>
      </c>
      <c r="Q2" s="706" t="s">
        <v>1629</v>
      </c>
      <c r="R2" s="706" t="s">
        <v>1630</v>
      </c>
      <c r="S2" s="706" t="s">
        <v>1793</v>
      </c>
      <c r="T2" s="706" t="s">
        <v>1887</v>
      </c>
      <c r="U2" s="706" t="s">
        <v>1888</v>
      </c>
      <c r="V2" s="706" t="s">
        <v>1794</v>
      </c>
      <c r="W2" s="706" t="s">
        <v>1889</v>
      </c>
      <c r="X2" s="706" t="s">
        <v>1890</v>
      </c>
      <c r="Y2" s="706" t="s">
        <v>1838</v>
      </c>
      <c r="Z2" s="706" t="s">
        <v>2018</v>
      </c>
      <c r="AA2" s="706" t="s">
        <v>1975</v>
      </c>
      <c r="AB2" s="823" t="s">
        <v>1839</v>
      </c>
      <c r="AC2" s="706" t="s">
        <v>2019</v>
      </c>
      <c r="AD2" s="706" t="s">
        <v>1903</v>
      </c>
      <c r="AE2" s="706" t="s">
        <v>1856</v>
      </c>
      <c r="AF2" s="706" t="s">
        <v>1910</v>
      </c>
      <c r="AG2" s="706" t="s">
        <v>1911</v>
      </c>
      <c r="AH2" s="706" t="s">
        <v>1879</v>
      </c>
      <c r="AI2" s="706" t="s">
        <v>1977</v>
      </c>
      <c r="AJ2" s="706" t="s">
        <v>1978</v>
      </c>
      <c r="AK2" s="706" t="s">
        <v>1880</v>
      </c>
      <c r="AL2" s="706" t="s">
        <v>1979</v>
      </c>
      <c r="AM2" s="706" t="s">
        <v>1980</v>
      </c>
      <c r="AN2" s="706" t="s">
        <v>1881</v>
      </c>
      <c r="AO2" s="706" t="s">
        <v>1981</v>
      </c>
      <c r="AP2" s="706" t="s">
        <v>1982</v>
      </c>
      <c r="AQ2" s="706" t="s">
        <v>1882</v>
      </c>
      <c r="AR2" s="706" t="s">
        <v>1983</v>
      </c>
      <c r="AS2" s="706" t="s">
        <v>1984</v>
      </c>
      <c r="AT2" s="706" t="s">
        <v>1883</v>
      </c>
      <c r="AU2" s="706" t="s">
        <v>1985</v>
      </c>
      <c r="AV2" s="706" t="s">
        <v>1986</v>
      </c>
      <c r="AW2" s="706" t="s">
        <v>1884</v>
      </c>
      <c r="AX2" s="706" t="s">
        <v>1987</v>
      </c>
      <c r="AY2" s="706" t="s">
        <v>1988</v>
      </c>
      <c r="AZ2" s="706" t="s">
        <v>1885</v>
      </c>
      <c r="BA2" s="706" t="s">
        <v>1989</v>
      </c>
      <c r="BB2" s="706" t="s">
        <v>1990</v>
      </c>
      <c r="BC2" s="706" t="s">
        <v>1886</v>
      </c>
      <c r="BD2" s="706" t="s">
        <v>1991</v>
      </c>
      <c r="BE2" s="706" t="s">
        <v>1992</v>
      </c>
      <c r="BF2" s="706" t="s">
        <v>1878</v>
      </c>
      <c r="BG2" s="706" t="s">
        <v>1993</v>
      </c>
      <c r="BH2" s="706" t="s">
        <v>1994</v>
      </c>
      <c r="BI2" s="706" t="s">
        <v>1912</v>
      </c>
      <c r="BJ2" s="349"/>
    </row>
    <row r="4" spans="1:62" ht="15">
      <c r="A4" s="339" t="s">
        <v>1644</v>
      </c>
      <c r="B4" s="395"/>
      <c r="C4" s="395"/>
      <c r="D4" s="395"/>
      <c r="E4" s="395"/>
      <c r="F4" s="395"/>
      <c r="G4" s="395"/>
      <c r="H4" s="395"/>
      <c r="I4" s="395"/>
      <c r="J4" s="395"/>
      <c r="K4" s="395"/>
      <c r="L4" s="395"/>
      <c r="M4" s="395"/>
      <c r="N4" s="395"/>
      <c r="O4" s="395"/>
      <c r="P4" s="395"/>
      <c r="Q4" s="395"/>
      <c r="R4" s="395"/>
      <c r="S4" s="395"/>
      <c r="T4" s="395"/>
      <c r="U4" s="395"/>
      <c r="V4" s="395"/>
      <c r="W4" s="395"/>
      <c r="X4" s="395"/>
      <c r="Y4" s="395"/>
      <c r="Z4" s="395"/>
      <c r="AA4" s="395"/>
      <c r="AB4" s="824"/>
      <c r="AC4" s="395"/>
      <c r="AD4" s="395"/>
      <c r="AE4" s="395"/>
      <c r="AF4" s="395"/>
      <c r="AG4" s="395"/>
      <c r="AH4" s="395"/>
      <c r="AI4" s="395"/>
      <c r="AJ4" s="395"/>
      <c r="AK4" s="395"/>
      <c r="AL4" s="395"/>
      <c r="AM4" s="395"/>
      <c r="AN4" s="395"/>
      <c r="AO4" s="395"/>
      <c r="AP4" s="395"/>
      <c r="AQ4" s="395"/>
      <c r="AR4" s="395"/>
      <c r="AS4" s="395"/>
      <c r="AT4" s="395"/>
      <c r="AU4" s="395"/>
      <c r="AV4" s="395"/>
      <c r="AW4" s="395"/>
      <c r="AX4" s="395"/>
      <c r="AY4" s="395"/>
      <c r="AZ4" s="395"/>
      <c r="BA4" s="395"/>
      <c r="BB4" s="395"/>
      <c r="BC4" s="395"/>
      <c r="BD4" s="395"/>
      <c r="BE4" s="395"/>
      <c r="BF4" s="395"/>
      <c r="BG4" s="395"/>
      <c r="BH4" s="395"/>
      <c r="BI4" s="395"/>
      <c r="BJ4" s="350"/>
    </row>
    <row r="5" spans="1:62" s="312" customFormat="1" outlineLevel="1">
      <c r="A5" s="344" t="s">
        <v>1645</v>
      </c>
      <c r="B5" s="477">
        <f>Segments!B102</f>
        <v>339.16799999999995</v>
      </c>
      <c r="C5" s="477">
        <f>Segments!C102</f>
        <v>266.56500000000005</v>
      </c>
      <c r="D5" s="477">
        <f>Segments!D102</f>
        <v>605.73300000000006</v>
      </c>
      <c r="E5" s="477">
        <f>Segments!E102</f>
        <v>385.41</v>
      </c>
      <c r="F5" s="477">
        <f>Segments!F102</f>
        <v>266.93799999999999</v>
      </c>
      <c r="G5" s="477">
        <f>Segments!G102</f>
        <v>652.34800000000007</v>
      </c>
      <c r="H5" s="477">
        <f>Segments!H102</f>
        <v>440.37100000000004</v>
      </c>
      <c r="I5" s="477">
        <f>Segments!I102</f>
        <v>319.596</v>
      </c>
      <c r="J5" s="477">
        <f>Segments!J102</f>
        <v>759.9670000000001</v>
      </c>
      <c r="K5" s="477">
        <f>Segments!K102</f>
        <v>552.03399999999999</v>
      </c>
      <c r="L5" s="477">
        <f>Segments!L102</f>
        <v>400.21000000000004</v>
      </c>
      <c r="M5" s="477">
        <f>Segments!M102</f>
        <v>952.24400000000003</v>
      </c>
      <c r="N5" s="477">
        <f>Segments!N102</f>
        <v>710.95799999999997</v>
      </c>
      <c r="O5" s="477">
        <f>Segments!O102</f>
        <v>476.70100000000002</v>
      </c>
      <c r="P5" s="477">
        <f>Segments!P102</f>
        <v>1187.6590000000001</v>
      </c>
      <c r="Q5" s="477">
        <f>Segments!Q102</f>
        <v>878.65900000000011</v>
      </c>
      <c r="R5" s="477">
        <f>Segments!R102</f>
        <v>539.74099999999999</v>
      </c>
      <c r="S5" s="477">
        <f>Segments!S102</f>
        <v>1418.4</v>
      </c>
      <c r="T5" s="477">
        <f>Segments!T102</f>
        <v>887.99699999999996</v>
      </c>
      <c r="U5" s="477">
        <f>Segments!U102</f>
        <v>590.50300000000004</v>
      </c>
      <c r="V5" s="976">
        <v>1478.5540000000001</v>
      </c>
      <c r="W5" s="477">
        <f>Segments!W102</f>
        <v>905.83199999999999</v>
      </c>
      <c r="X5" s="477">
        <f>Segments!X102</f>
        <v>624.26799999999992</v>
      </c>
      <c r="Y5" s="976">
        <v>1529.9929999999999</v>
      </c>
      <c r="Z5" s="477">
        <f>Segments!Z102</f>
        <v>997.49999999999989</v>
      </c>
      <c r="AA5" s="477">
        <f>Segments!AA102</f>
        <v>699.13900000000001</v>
      </c>
      <c r="AB5" s="1153">
        <v>1696.5509999999999</v>
      </c>
      <c r="AC5" s="477">
        <f>Segments!AC102</f>
        <v>1098.7</v>
      </c>
      <c r="AD5" s="477">
        <f>Segments!AD102</f>
        <v>752.60008239636772</v>
      </c>
      <c r="AE5" s="477">
        <f>Segments!AE102</f>
        <v>1851.3000823963678</v>
      </c>
      <c r="AF5" s="477">
        <f>Segments!AF102</f>
        <v>1177.7590341241112</v>
      </c>
      <c r="AG5" s="477">
        <f>Segments!AG102</f>
        <v>858.9228815534683</v>
      </c>
      <c r="AH5" s="477">
        <f>Segments!AH102</f>
        <v>2036.6819156775794</v>
      </c>
      <c r="AI5" s="477">
        <f>Segments!AI102</f>
        <v>1266.3316391017588</v>
      </c>
      <c r="AJ5" s="477">
        <f>Segments!AJ102</f>
        <v>986.36402596757853</v>
      </c>
      <c r="AK5" s="477">
        <f>Segments!AK102</f>
        <v>2252.6956650693378</v>
      </c>
      <c r="AL5" s="477"/>
      <c r="AM5" s="477"/>
      <c r="AN5" s="477">
        <f>Segments!AN102</f>
        <v>2493.5320711644317</v>
      </c>
      <c r="AO5" s="477"/>
      <c r="AP5" s="477"/>
      <c r="AQ5" s="477">
        <f>Segments!AQ102</f>
        <v>2755.1549382270032</v>
      </c>
      <c r="AR5" s="477"/>
      <c r="AS5" s="477"/>
      <c r="AT5" s="477">
        <f>Segments!AT102</f>
        <v>3042.0695600071904</v>
      </c>
      <c r="AU5" s="477"/>
      <c r="AV5" s="477"/>
      <c r="AW5" s="477">
        <f>Segments!AW102</f>
        <v>3361.3312027490433</v>
      </c>
      <c r="AX5" s="477"/>
      <c r="AY5" s="477"/>
      <c r="AZ5" s="477">
        <f>Segments!AZ102</f>
        <v>3716.7812730539749</v>
      </c>
      <c r="BA5" s="477"/>
      <c r="BB5" s="477"/>
      <c r="BC5" s="477">
        <f>Segments!BC102</f>
        <v>4112.7380749799595</v>
      </c>
      <c r="BD5" s="477"/>
      <c r="BE5" s="477"/>
      <c r="BF5" s="477">
        <f>Segments!BF102</f>
        <v>4554.0584658402686</v>
      </c>
      <c r="BG5" s="477"/>
      <c r="BH5" s="477"/>
      <c r="BI5" s="477">
        <f>Segments!BI102</f>
        <v>5046.2077740660498</v>
      </c>
      <c r="BJ5" s="322"/>
    </row>
    <row r="6" spans="1:62" s="312" customFormat="1" outlineLevel="1">
      <c r="A6" s="312" t="s">
        <v>1359</v>
      </c>
      <c r="B6" s="478"/>
      <c r="C6" s="478"/>
      <c r="D6" s="478"/>
      <c r="E6" s="478">
        <f t="shared" ref="E6" si="0">E5/B5-1</f>
        <v>0.13633951316161919</v>
      </c>
      <c r="F6" s="478">
        <f t="shared" ref="F6" si="1">F5/C5-1</f>
        <v>1.3992834768252749E-3</v>
      </c>
      <c r="G6" s="478">
        <f>G5/D5-1</f>
        <v>7.6956348754319226E-2</v>
      </c>
      <c r="H6" s="478">
        <f>+H5/E5-1</f>
        <v>0.14260398017695453</v>
      </c>
      <c r="I6" s="478">
        <f>+J6</f>
        <v>0.16497176353725318</v>
      </c>
      <c r="J6" s="478">
        <f>J5/G5-1</f>
        <v>0.16497176353725318</v>
      </c>
      <c r="K6" s="478">
        <f>+K5/H5-1</f>
        <v>0.2535657434299714</v>
      </c>
      <c r="L6" s="478">
        <f>+M6</f>
        <v>0.25300703846351213</v>
      </c>
      <c r="M6" s="478">
        <f>M5/J5-1</f>
        <v>0.25300703846351213</v>
      </c>
      <c r="N6" s="478">
        <f>+N5/K5-1</f>
        <v>0.28788806486556995</v>
      </c>
      <c r="O6" s="478">
        <f>+P6</f>
        <v>0.24722130042300083</v>
      </c>
      <c r="P6" s="478">
        <f>P5/M5-1</f>
        <v>0.24722130042300083</v>
      </c>
      <c r="Q6" s="478">
        <f>Q5/N5-1</f>
        <v>0.23588031923123465</v>
      </c>
      <c r="R6" s="478">
        <f t="shared" ref="R6" si="2">R5/O5-1</f>
        <v>0.13224222311260081</v>
      </c>
      <c r="S6" s="478">
        <f t="shared" ref="S6" si="3">S5/P5-1</f>
        <v>0.1942821971626536</v>
      </c>
      <c r="T6" s="478">
        <f t="shared" ref="T6" si="4">T5/Q5-1</f>
        <v>1.0627558586436603E-2</v>
      </c>
      <c r="U6" s="478">
        <f t="shared" ref="U6" si="5">U5/R5-1</f>
        <v>9.4048812300714602E-2</v>
      </c>
      <c r="V6" s="478">
        <f t="shared" ref="V6" si="6">V5/S5-1</f>
        <v>4.2409757473209186E-2</v>
      </c>
      <c r="W6" s="478">
        <f t="shared" ref="W6" si="7">W5/T5-1</f>
        <v>2.0084527312592249E-2</v>
      </c>
      <c r="X6" s="478">
        <f t="shared" ref="X6" si="8">X5/U5-1</f>
        <v>5.718006513091356E-2</v>
      </c>
      <c r="Y6" s="478">
        <f>Y5/V5-1</f>
        <v>3.4790071921620536E-2</v>
      </c>
      <c r="Z6" s="478">
        <f t="shared" ref="Z6:AA6" si="9">Z5/W5-1</f>
        <v>0.10119757305990507</v>
      </c>
      <c r="AA6" s="478">
        <f t="shared" si="9"/>
        <v>0.11993406677901164</v>
      </c>
      <c r="AB6" s="825">
        <f>AB5/Y5-1</f>
        <v>0.10886193596964167</v>
      </c>
      <c r="AC6" s="478">
        <f t="shared" ref="AC6" si="10">AC5/Z5-1</f>
        <v>0.10145363408521324</v>
      </c>
      <c r="AD6" s="478">
        <f t="shared" ref="AD6" si="11">AD5/AA5-1</f>
        <v>7.6467029297990319E-2</v>
      </c>
      <c r="AE6" s="478">
        <f t="shared" ref="AE6" si="12">AE5/AB5-1</f>
        <v>9.1213928963153945E-2</v>
      </c>
      <c r="AF6" s="478">
        <f t="shared" ref="AF6" si="13">AF5/AC5-1</f>
        <v>7.1956889163658166E-2</v>
      </c>
      <c r="AG6" s="478">
        <f t="shared" ref="AG6" si="14">AG5/AD5-1</f>
        <v>0.14127396693680416</v>
      </c>
      <c r="AH6" s="478">
        <f t="shared" ref="AH6" si="15">AH5/AE5-1</f>
        <v>0.10013602605216154</v>
      </c>
      <c r="AI6" s="478">
        <f t="shared" ref="AI6" si="16">AI5/AF5-1</f>
        <v>7.5204352003564345E-2</v>
      </c>
      <c r="AJ6" s="478">
        <f t="shared" ref="AJ6" si="17">AJ5/AG5-1</f>
        <v>0.14837320922644093</v>
      </c>
      <c r="AK6" s="478">
        <f t="shared" ref="AK6" si="18">AK5/AH5-1</f>
        <v>0.10606160330141345</v>
      </c>
      <c r="AL6" s="478"/>
      <c r="AM6" s="478"/>
      <c r="AN6" s="478">
        <f t="shared" ref="AN6" si="19">AN5/AK5-1</f>
        <v>0.10691031630661074</v>
      </c>
      <c r="AO6" s="478"/>
      <c r="AP6" s="478"/>
      <c r="AQ6" s="478">
        <f t="shared" ref="AQ6" si="20">AQ5/AN5-1</f>
        <v>0.10492059440021495</v>
      </c>
      <c r="AR6" s="478"/>
      <c r="AS6" s="478"/>
      <c r="AT6" s="478">
        <f>AT5/AQ5-1</f>
        <v>0.10413738182173615</v>
      </c>
      <c r="AU6" s="478"/>
      <c r="AV6" s="478"/>
      <c r="AW6" s="478">
        <f>AW5/AT5-1</f>
        <v>0.10494883053926563</v>
      </c>
      <c r="AX6" s="478"/>
      <c r="AY6" s="478"/>
      <c r="AZ6" s="478">
        <f>AZ5/AW5-1</f>
        <v>0.10574681543259667</v>
      </c>
      <c r="BA6" s="478"/>
      <c r="BB6" s="478"/>
      <c r="BC6" s="478">
        <f>BC5/AZ5-1</f>
        <v>0.10653217739677157</v>
      </c>
      <c r="BD6" s="478"/>
      <c r="BE6" s="478"/>
      <c r="BF6" s="478">
        <f>BF5/BC5-1</f>
        <v>0.10730573715479297</v>
      </c>
      <c r="BG6" s="478"/>
      <c r="BH6" s="478"/>
      <c r="BI6" s="478">
        <f t="shared" ref="BI6" si="21">BI5/BF5-1</f>
        <v>0.10806828939886581</v>
      </c>
      <c r="BJ6" s="322"/>
    </row>
    <row r="7" spans="1:62">
      <c r="V7" s="977"/>
      <c r="Y7" s="977"/>
      <c r="AB7" s="1154"/>
    </row>
    <row r="8" spans="1:62" s="312" customFormat="1" outlineLevel="1">
      <c r="A8" s="344" t="s">
        <v>681</v>
      </c>
      <c r="B8" s="492">
        <v>-227.447</v>
      </c>
      <c r="C8" s="409">
        <f>+D8-B8</f>
        <v>-181.61</v>
      </c>
      <c r="D8" s="493">
        <v>-409.05700000000002</v>
      </c>
      <c r="E8" s="477">
        <v>-247.68799999999999</v>
      </c>
      <c r="F8" s="409">
        <f>+G8-E8</f>
        <v>-172.40000000000003</v>
      </c>
      <c r="G8" s="493">
        <v>-420.08800000000002</v>
      </c>
      <c r="H8" s="477">
        <v>-282.10000000000002</v>
      </c>
      <c r="I8" s="406">
        <f>+J8-H8</f>
        <v>-206.66699999999997</v>
      </c>
      <c r="J8" s="493">
        <v>-488.767</v>
      </c>
      <c r="K8" s="477">
        <v>-365.11099999999999</v>
      </c>
      <c r="L8" s="406">
        <f>+M8-K8</f>
        <v>-266.57299999999998</v>
      </c>
      <c r="M8" s="493">
        <f>-631.684</f>
        <v>-631.68399999999997</v>
      </c>
      <c r="N8" s="477">
        <v>-462.01600000000002</v>
      </c>
      <c r="O8" s="406">
        <f>+P8-N8</f>
        <v>-311.97499999999997</v>
      </c>
      <c r="P8" s="494">
        <v>-773.99099999999999</v>
      </c>
      <c r="Q8" s="494">
        <v>-578.66</v>
      </c>
      <c r="R8" s="403">
        <f>R11-R5</f>
        <v>-353.84000000000003</v>
      </c>
      <c r="S8" s="494">
        <v>-932.5</v>
      </c>
      <c r="T8" s="494">
        <v>-576.73099999999999</v>
      </c>
      <c r="U8" s="403">
        <f t="shared" ref="U8:AT8" si="22">U11-U5</f>
        <v>-384.82699999999988</v>
      </c>
      <c r="V8" s="494">
        <v>-961.61199999999997</v>
      </c>
      <c r="W8" s="494">
        <v>-573.79100000000005</v>
      </c>
      <c r="X8" s="403">
        <f t="shared" ref="X8" si="23">X11-X5</f>
        <v>-399.37099999999987</v>
      </c>
      <c r="Y8" s="494">
        <v>-973.05499999999995</v>
      </c>
      <c r="Z8" s="494">
        <v>-631.24800000000005</v>
      </c>
      <c r="AA8" s="403">
        <f t="shared" ref="AA8" si="24">AA11-AA5</f>
        <v>-444.91399999999999</v>
      </c>
      <c r="AB8" s="857">
        <v>-1076.0740000000001</v>
      </c>
      <c r="AC8" s="494">
        <v>-709.24300000000005</v>
      </c>
      <c r="AD8" s="403">
        <f t="shared" ref="AD8" si="25">AD11-AD5</f>
        <v>-484.68680277487351</v>
      </c>
      <c r="AE8" s="403">
        <f t="shared" si="22"/>
        <v>-1193.8868027748736</v>
      </c>
      <c r="AF8" s="403">
        <f t="shared" si="22"/>
        <v>-765.74315011242402</v>
      </c>
      <c r="AG8" s="403">
        <f t="shared" si="22"/>
        <v>-540.82752800554931</v>
      </c>
      <c r="AH8" s="403">
        <f t="shared" si="22"/>
        <v>-1307.5706781179733</v>
      </c>
      <c r="AI8" s="403">
        <f t="shared" ref="AI8:AJ8" si="26">AI11-AI5</f>
        <v>-807.92020878961682</v>
      </c>
      <c r="AJ8" s="403">
        <f t="shared" si="26"/>
        <v>-634.58564998968961</v>
      </c>
      <c r="AK8" s="403">
        <f t="shared" si="22"/>
        <v>-1442.865858779307</v>
      </c>
      <c r="AL8" s="403"/>
      <c r="AM8" s="403"/>
      <c r="AN8" s="403">
        <f t="shared" si="22"/>
        <v>-1591.2967358687124</v>
      </c>
      <c r="AO8" s="403"/>
      <c r="AP8" s="403"/>
      <c r="AQ8" s="403">
        <f t="shared" si="22"/>
        <v>-1752.4044438143146</v>
      </c>
      <c r="AR8" s="403"/>
      <c r="AS8" s="403"/>
      <c r="AT8" s="403">
        <f t="shared" si="22"/>
        <v>-1927.8284569554201</v>
      </c>
      <c r="AU8" s="403"/>
      <c r="AV8" s="403"/>
      <c r="AW8" s="403">
        <f t="shared" ref="AW8" si="27">AW11-AW5</f>
        <v>-2122.3716164342495</v>
      </c>
      <c r="AX8" s="403"/>
      <c r="AY8" s="403"/>
      <c r="AZ8" s="403">
        <f t="shared" ref="AZ8:BC8" si="28">AZ11-AZ5</f>
        <v>-2338.2368694807346</v>
      </c>
      <c r="BA8" s="403"/>
      <c r="BB8" s="403"/>
      <c r="BC8" s="403">
        <f t="shared" si="28"/>
        <v>-2577.8933312926993</v>
      </c>
      <c r="BD8" s="403"/>
      <c r="BE8" s="403"/>
      <c r="BF8" s="403">
        <f t="shared" ref="BF8" si="29">BF11-BF5</f>
        <v>-2844.1098575502219</v>
      </c>
      <c r="BG8" s="403"/>
      <c r="BH8" s="403"/>
      <c r="BI8" s="403">
        <f t="shared" ref="BI8" si="30">BI11-BI5</f>
        <v>-3141.622848700059</v>
      </c>
      <c r="BJ8" s="322"/>
    </row>
    <row r="9" spans="1:62" s="312" customFormat="1" outlineLevel="1">
      <c r="A9" s="312" t="s">
        <v>1359</v>
      </c>
      <c r="B9" s="478"/>
      <c r="C9" s="478"/>
      <c r="D9" s="478"/>
      <c r="E9" s="478">
        <f t="shared" ref="E9:F9" si="31">E8/B8-1</f>
        <v>8.899216081108996E-2</v>
      </c>
      <c r="F9" s="478">
        <f t="shared" si="31"/>
        <v>-5.0713066461097855E-2</v>
      </c>
      <c r="G9" s="478">
        <f>G8/D8-1</f>
        <v>2.6966901923203945E-2</v>
      </c>
      <c r="H9" s="478">
        <f>+H8/E8-1</f>
        <v>0.13893285100610453</v>
      </c>
      <c r="I9" s="478">
        <f>+J9</f>
        <v>0.16348717411589941</v>
      </c>
      <c r="J9" s="478">
        <f>J8/G8-1</f>
        <v>0.16348717411589941</v>
      </c>
      <c r="K9" s="478">
        <f>+K8/H8-1</f>
        <v>0.29426090038993258</v>
      </c>
      <c r="L9" s="478">
        <f>+M9</f>
        <v>0.29240312868912999</v>
      </c>
      <c r="M9" s="478">
        <f>M8/J8-1</f>
        <v>0.29240312868912999</v>
      </c>
      <c r="N9" s="478">
        <f>+N8/K8-1</f>
        <v>0.26541243621802701</v>
      </c>
      <c r="O9" s="478">
        <f>+P9</f>
        <v>0.2252819447698533</v>
      </c>
      <c r="P9" s="478">
        <f>P8/M8-1</f>
        <v>0.2252819447698533</v>
      </c>
      <c r="Q9" s="478">
        <f>Q8/N8-1</f>
        <v>0.25246744701482182</v>
      </c>
      <c r="R9" s="478">
        <f t="shared" ref="R9:U9" si="32">R8/O8-1</f>
        <v>0.13419344498757946</v>
      </c>
      <c r="S9" s="478">
        <f t="shared" si="32"/>
        <v>0.2047943709939779</v>
      </c>
      <c r="T9" s="478">
        <f t="shared" si="32"/>
        <v>-3.3335637507344584E-3</v>
      </c>
      <c r="U9" s="478">
        <f t="shared" si="32"/>
        <v>8.7573479538774146E-2</v>
      </c>
      <c r="V9" s="478">
        <f>V8/S8-1</f>
        <v>3.1219302949061722E-2</v>
      </c>
      <c r="W9" s="478">
        <f t="shared" ref="W9" si="33">W8/T8-1</f>
        <v>-5.097697193318762E-3</v>
      </c>
      <c r="X9" s="478">
        <f t="shared" ref="X9" si="34">X8/U8-1</f>
        <v>3.7793605958001963E-2</v>
      </c>
      <c r="Y9" s="478">
        <f>Y8/V8-1</f>
        <v>1.1899809902538694E-2</v>
      </c>
      <c r="Z9" s="478">
        <f t="shared" ref="Z9:AC9" si="35">Z8/W8-1</f>
        <v>0.10013576371884536</v>
      </c>
      <c r="AA9" s="478">
        <f t="shared" si="35"/>
        <v>0.11403682290401695</v>
      </c>
      <c r="AB9" s="825">
        <f>AB8/Y8-1</f>
        <v>0.10587171331528045</v>
      </c>
      <c r="AC9" s="478">
        <f t="shared" si="35"/>
        <v>0.12355682711073945</v>
      </c>
      <c r="AD9" s="478">
        <f t="shared" ref="AD9" si="36">AD8/AA8-1</f>
        <v>8.9394361100962216E-2</v>
      </c>
      <c r="AE9" s="478">
        <f>AE8/AB8-1</f>
        <v>0.10948392282953923</v>
      </c>
      <c r="AF9" s="478">
        <f t="shared" ref="AF9" si="37">AF8/AC8-1</f>
        <v>7.9662612267479505E-2</v>
      </c>
      <c r="AG9" s="478">
        <f t="shared" ref="AG9" si="38">AG8/AD8-1</f>
        <v>0.1158288711581692</v>
      </c>
      <c r="AH9" s="478">
        <f>AH8/AE8-1</f>
        <v>9.522165340874178E-2</v>
      </c>
      <c r="AI9" s="478">
        <f t="shared" ref="AI9" si="39">AI8/AF8-1</f>
        <v>5.5079903321368917E-2</v>
      </c>
      <c r="AJ9" s="478">
        <f t="shared" ref="AJ9" si="40">AJ8/AG8-1</f>
        <v>0.17336048394189407</v>
      </c>
      <c r="AK9" s="478">
        <f>AK8/AH8-1</f>
        <v>0.1034706443984108</v>
      </c>
      <c r="AL9" s="478"/>
      <c r="AM9" s="478"/>
      <c r="AN9" s="478">
        <f>AN8/AK8-1</f>
        <v>0.10287226368706293</v>
      </c>
      <c r="AO9" s="478"/>
      <c r="AP9" s="478"/>
      <c r="AQ9" s="478">
        <f>AQ8/AN8-1</f>
        <v>0.10124303300204485</v>
      </c>
      <c r="AR9" s="478"/>
      <c r="AS9" s="478"/>
      <c r="AT9" s="478">
        <f>AT8/AQ8-1</f>
        <v>0.10010475250751738</v>
      </c>
      <c r="AU9" s="478"/>
      <c r="AV9" s="478"/>
      <c r="AW9" s="478">
        <f>AW8/AT8-1</f>
        <v>0.10091310706455059</v>
      </c>
      <c r="AX9" s="478"/>
      <c r="AY9" s="478"/>
      <c r="AZ9" s="478">
        <f>AZ8/AW8-1</f>
        <v>0.1017094515281709</v>
      </c>
      <c r="BA9" s="478"/>
      <c r="BB9" s="478"/>
      <c r="BC9" s="478">
        <f>BC8/AZ8-1</f>
        <v>0.10249451838691881</v>
      </c>
      <c r="BD9" s="478"/>
      <c r="BE9" s="478"/>
      <c r="BF9" s="478">
        <f>BF8/BC8-1</f>
        <v>0.1032690232081972</v>
      </c>
      <c r="BG9" s="478"/>
      <c r="BH9" s="478"/>
      <c r="BI9" s="478">
        <f t="shared" ref="BI9" si="41">BI8/BF8-1</f>
        <v>0.10460671565130752</v>
      </c>
      <c r="BJ9" s="322"/>
    </row>
    <row r="10" spans="1:62" s="312" customFormat="1" outlineLevel="1">
      <c r="B10" s="397"/>
      <c r="C10" s="397"/>
      <c r="D10" s="397"/>
      <c r="E10" s="397"/>
      <c r="F10" s="397"/>
      <c r="G10" s="397"/>
      <c r="H10" s="397"/>
      <c r="I10" s="397"/>
      <c r="J10" s="397"/>
      <c r="K10" s="397"/>
      <c r="L10" s="397"/>
      <c r="M10" s="397"/>
      <c r="N10" s="397"/>
      <c r="O10" s="397"/>
      <c r="P10" s="397"/>
      <c r="Q10" s="397"/>
      <c r="R10" s="397"/>
      <c r="S10" s="397"/>
      <c r="T10" s="397"/>
      <c r="U10" s="397"/>
      <c r="V10" s="397"/>
      <c r="W10" s="397"/>
      <c r="X10" s="397"/>
      <c r="Y10" s="397"/>
      <c r="Z10" s="397"/>
      <c r="AA10" s="397"/>
      <c r="AB10" s="828"/>
      <c r="AC10" s="397"/>
      <c r="AD10" s="397"/>
      <c r="AE10" s="397"/>
      <c r="AF10" s="397"/>
      <c r="AG10" s="397"/>
      <c r="AH10" s="397"/>
      <c r="AI10" s="397"/>
      <c r="AJ10" s="397"/>
      <c r="AK10" s="397"/>
      <c r="AL10" s="397"/>
      <c r="AM10" s="397"/>
      <c r="AN10" s="397"/>
      <c r="AO10" s="397"/>
      <c r="AP10" s="397"/>
      <c r="AQ10" s="397"/>
      <c r="AR10" s="397"/>
      <c r="AS10" s="397"/>
      <c r="AT10" s="397"/>
      <c r="AU10" s="397"/>
      <c r="AV10" s="397"/>
      <c r="AW10" s="397"/>
      <c r="AX10" s="397"/>
      <c r="AY10" s="397"/>
      <c r="AZ10" s="397"/>
      <c r="BA10" s="397"/>
      <c r="BB10" s="397"/>
      <c r="BC10" s="397"/>
      <c r="BD10" s="397"/>
      <c r="BE10" s="397"/>
      <c r="BF10" s="397"/>
      <c r="BG10" s="397"/>
      <c r="BH10" s="397"/>
      <c r="BI10" s="397"/>
      <c r="BJ10" s="322"/>
    </row>
    <row r="11" spans="1:62" s="312" customFormat="1" outlineLevel="1">
      <c r="A11" s="344" t="s">
        <v>1597</v>
      </c>
      <c r="B11" s="495">
        <f>B5+B8</f>
        <v>111.72099999999995</v>
      </c>
      <c r="C11" s="409">
        <f t="shared" ref="C11:Q11" si="42">C5+C8</f>
        <v>84.955000000000041</v>
      </c>
      <c r="D11" s="406">
        <f t="shared" si="42"/>
        <v>196.67600000000004</v>
      </c>
      <c r="E11" s="406">
        <f t="shared" si="42"/>
        <v>137.72200000000004</v>
      </c>
      <c r="F11" s="409">
        <f t="shared" si="42"/>
        <v>94.537999999999954</v>
      </c>
      <c r="G11" s="406">
        <f t="shared" si="42"/>
        <v>232.26000000000005</v>
      </c>
      <c r="H11" s="406">
        <f t="shared" si="42"/>
        <v>158.27100000000002</v>
      </c>
      <c r="I11" s="406">
        <f t="shared" si="42"/>
        <v>112.92900000000003</v>
      </c>
      <c r="J11" s="406">
        <f t="shared" si="42"/>
        <v>271.2000000000001</v>
      </c>
      <c r="K11" s="406">
        <f t="shared" si="42"/>
        <v>186.923</v>
      </c>
      <c r="L11" s="406">
        <f t="shared" si="42"/>
        <v>133.63700000000006</v>
      </c>
      <c r="M11" s="406">
        <f t="shared" si="42"/>
        <v>320.56000000000006</v>
      </c>
      <c r="N11" s="406">
        <f t="shared" si="42"/>
        <v>248.94199999999995</v>
      </c>
      <c r="O11" s="406">
        <f t="shared" si="42"/>
        <v>164.72600000000006</v>
      </c>
      <c r="P11" s="496">
        <f>P5+P8</f>
        <v>413.66800000000012</v>
      </c>
      <c r="Q11" s="496">
        <f t="shared" si="42"/>
        <v>299.99900000000014</v>
      </c>
      <c r="R11" s="406">
        <f>S11-Q11</f>
        <v>185.90099999999995</v>
      </c>
      <c r="S11" s="496">
        <f>S5+S8</f>
        <v>485.90000000000009</v>
      </c>
      <c r="T11" s="496">
        <f t="shared" ref="T11" si="43">T5+T8</f>
        <v>311.26599999999996</v>
      </c>
      <c r="U11" s="406">
        <f>V11-T11</f>
        <v>205.67600000000016</v>
      </c>
      <c r="V11" s="978">
        <f>V5+V8</f>
        <v>516.94200000000012</v>
      </c>
      <c r="W11" s="496">
        <f t="shared" ref="W11" si="44">W5+W8</f>
        <v>332.04099999999994</v>
      </c>
      <c r="X11" s="406">
        <f>Y11-W11</f>
        <v>224.89700000000005</v>
      </c>
      <c r="Y11" s="978">
        <f>Y5+Y8</f>
        <v>556.93799999999999</v>
      </c>
      <c r="Z11" s="496">
        <f t="shared" ref="Z11" si="45">Z5+Z8</f>
        <v>366.25199999999984</v>
      </c>
      <c r="AA11" s="406">
        <f>AB11-Z11</f>
        <v>254.22500000000002</v>
      </c>
      <c r="AB11" s="1155">
        <f>AB5+AB8</f>
        <v>620.47699999999986</v>
      </c>
      <c r="AC11" s="496">
        <f t="shared" ref="AC11" si="46">AC5+AC8</f>
        <v>389.45699999999999</v>
      </c>
      <c r="AD11" s="406">
        <f>Segments!AD106</f>
        <v>267.91327962149421</v>
      </c>
      <c r="AE11" s="406">
        <f>Segments!AE106</f>
        <v>657.41327962149421</v>
      </c>
      <c r="AF11" s="406">
        <f>Segments!AF106</f>
        <v>412.01588401168709</v>
      </c>
      <c r="AG11" s="406">
        <f>Segments!AG106</f>
        <v>318.09535354791905</v>
      </c>
      <c r="AH11" s="406">
        <f>Segments!AH106</f>
        <v>729.11123755960614</v>
      </c>
      <c r="AI11" s="406">
        <f>Segments!AI106</f>
        <v>458.41143031214199</v>
      </c>
      <c r="AJ11" s="406">
        <f>Segments!AJ106</f>
        <v>351.77837597788891</v>
      </c>
      <c r="AK11" s="406">
        <f>Segments!AK106</f>
        <v>809.82980629003089</v>
      </c>
      <c r="AL11" s="406"/>
      <c r="AM11" s="406"/>
      <c r="AN11" s="406">
        <f>Segments!AN106</f>
        <v>902.23533529571921</v>
      </c>
      <c r="AO11" s="406"/>
      <c r="AP11" s="406"/>
      <c r="AQ11" s="406">
        <f>Segments!AQ106</f>
        <v>1002.7504944126885</v>
      </c>
      <c r="AR11" s="406"/>
      <c r="AS11" s="406"/>
      <c r="AT11" s="406">
        <f>Segments!AT106</f>
        <v>1114.2411030517703</v>
      </c>
      <c r="AU11" s="406"/>
      <c r="AV11" s="406"/>
      <c r="AW11" s="406">
        <f>Segments!AW106</f>
        <v>1238.9595863147936</v>
      </c>
      <c r="AX11" s="406"/>
      <c r="AY11" s="406"/>
      <c r="AZ11" s="406">
        <f>Segments!AZ106</f>
        <v>1378.5444035732401</v>
      </c>
      <c r="BA11" s="406"/>
      <c r="BB11" s="406"/>
      <c r="BC11" s="406">
        <f>Segments!BC106</f>
        <v>1534.8447436872602</v>
      </c>
      <c r="BD11" s="406"/>
      <c r="BE11" s="406"/>
      <c r="BF11" s="406">
        <f>Segments!BF106</f>
        <v>1709.9486082900469</v>
      </c>
      <c r="BG11" s="406"/>
      <c r="BH11" s="406"/>
      <c r="BI11" s="406">
        <f>Segments!BI106</f>
        <v>1904.584925365991</v>
      </c>
      <c r="BJ11" s="322"/>
    </row>
    <row r="12" spans="1:62" s="312" customFormat="1" outlineLevel="1">
      <c r="A12" s="312" t="s">
        <v>1359</v>
      </c>
      <c r="B12" s="397"/>
      <c r="C12" s="397"/>
      <c r="D12" s="397"/>
      <c r="E12" s="397">
        <f>E11/B11-1</f>
        <v>0.23273153659562751</v>
      </c>
      <c r="F12" s="397">
        <f>F11/C11-1</f>
        <v>0.11280089459125309</v>
      </c>
      <c r="G12" s="397">
        <f>+G11/D11-1</f>
        <v>0.18092700685391194</v>
      </c>
      <c r="H12" s="397">
        <f>H11/E11-1</f>
        <v>0.1492063722571555</v>
      </c>
      <c r="I12" s="397">
        <f>I11/F11-1</f>
        <v>0.19453553068607432</v>
      </c>
      <c r="J12" s="397">
        <f>+J11/G11-1</f>
        <v>0.16765693619219868</v>
      </c>
      <c r="K12" s="397">
        <f>K11/H11-1</f>
        <v>0.18103126915227663</v>
      </c>
      <c r="L12" s="397">
        <f>L11/I11-1</f>
        <v>0.18337185311124715</v>
      </c>
      <c r="M12" s="397">
        <f>+M11/J11-1</f>
        <v>0.18200589970501446</v>
      </c>
      <c r="N12" s="397">
        <f>N11/K11-1</f>
        <v>0.33178902542758215</v>
      </c>
      <c r="O12" s="397">
        <f>O11/L11-1</f>
        <v>0.23263766771178629</v>
      </c>
      <c r="P12" s="397">
        <f>+P11/M11-1</f>
        <v>0.29045420514100329</v>
      </c>
      <c r="Q12" s="397">
        <f t="shared" ref="Q12" si="47">+Q11/N11-1</f>
        <v>0.20509596612865733</v>
      </c>
      <c r="R12" s="397">
        <f t="shared" ref="R12:S12" si="48">R11/O11-1</f>
        <v>0.12854679892670196</v>
      </c>
      <c r="S12" s="397">
        <f t="shared" si="48"/>
        <v>0.17461345813550944</v>
      </c>
      <c r="T12" s="397">
        <f t="shared" ref="T12:U12" si="49">+T11/Q11-1</f>
        <v>3.7556791855972271E-2</v>
      </c>
      <c r="U12" s="397">
        <f t="shared" si="49"/>
        <v>0.10637382262602246</v>
      </c>
      <c r="V12" s="397">
        <f t="shared" ref="V12:W12" si="50">V11/S11-1</f>
        <v>6.3885573163202425E-2</v>
      </c>
      <c r="W12" s="397">
        <f t="shared" si="50"/>
        <v>6.6743556957714611E-2</v>
      </c>
      <c r="X12" s="397">
        <f t="shared" ref="X12:AA12" si="51">+X11/U11-1</f>
        <v>9.345280927283639E-2</v>
      </c>
      <c r="Y12" s="397">
        <f t="shared" si="51"/>
        <v>7.7370381977088121E-2</v>
      </c>
      <c r="Z12" s="397">
        <f t="shared" ref="Z12" si="52">Z11/W11-1</f>
        <v>0.1030324568351495</v>
      </c>
      <c r="AA12" s="397">
        <f t="shared" si="51"/>
        <v>0.13040636380209603</v>
      </c>
      <c r="AB12" s="828">
        <f t="shared" ref="AB12" si="53">+AB11/Y11-1</f>
        <v>0.11408630763208816</v>
      </c>
      <c r="AC12" s="397">
        <f t="shared" ref="AC12" si="54">AC11/Z11-1</f>
        <v>6.3358015792405631E-2</v>
      </c>
      <c r="AD12" s="397">
        <f t="shared" ref="AD12:AE12" si="55">AD11/AA11-1</f>
        <v>5.3843168931042129E-2</v>
      </c>
      <c r="AE12" s="397">
        <f t="shared" si="55"/>
        <v>5.9528845745280501E-2</v>
      </c>
      <c r="AF12" s="397">
        <f t="shared" ref="AF12:AG12" si="56">+AF11/AC11-1</f>
        <v>5.7923940285287134E-2</v>
      </c>
      <c r="AG12" s="397">
        <f t="shared" si="56"/>
        <v>0.18730715400640707</v>
      </c>
      <c r="AH12" s="397">
        <f t="shared" ref="AH12" si="57">AH11/AE11-1</f>
        <v>0.10906070832550263</v>
      </c>
      <c r="AI12" s="397">
        <f t="shared" ref="AI12" si="58">+AI11/AF11-1</f>
        <v>0.11260620791779674</v>
      </c>
      <c r="AJ12" s="397">
        <f t="shared" ref="AJ12" si="59">+AJ11/AG11-1</f>
        <v>0.10588970273938858</v>
      </c>
      <c r="AK12" s="397">
        <f>AK11/AH11-1</f>
        <v>0.11070816711123022</v>
      </c>
      <c r="AL12" s="397"/>
      <c r="AM12" s="397"/>
      <c r="AN12" s="397">
        <f>AN11/AK11-1</f>
        <v>0.11410487523176482</v>
      </c>
      <c r="AO12" s="397"/>
      <c r="AP12" s="397"/>
      <c r="AQ12" s="397">
        <f>AQ11/AN11-1</f>
        <v>0.11140680838444905</v>
      </c>
      <c r="AR12" s="397"/>
      <c r="AS12" s="397"/>
      <c r="AT12" s="397">
        <f>AT11/AQ11-1</f>
        <v>0.11118479548033733</v>
      </c>
      <c r="AU12" s="397"/>
      <c r="AV12" s="397"/>
      <c r="AW12" s="397">
        <f>AW11/AT11-1</f>
        <v>0.11193132520550053</v>
      </c>
      <c r="AX12" s="397"/>
      <c r="AY12" s="397"/>
      <c r="AZ12" s="397">
        <f>AZ11/AW11-1</f>
        <v>0.11266293009091011</v>
      </c>
      <c r="BA12" s="397"/>
      <c r="BB12" s="397"/>
      <c r="BC12" s="397">
        <f>BC11/AZ11-1</f>
        <v>0.11338070772975017</v>
      </c>
      <c r="BD12" s="397"/>
      <c r="BE12" s="397"/>
      <c r="BF12" s="397">
        <f>BF11/BC11-1</f>
        <v>0.11408571800045575</v>
      </c>
      <c r="BG12" s="397"/>
      <c r="BH12" s="397"/>
      <c r="BI12" s="397">
        <f t="shared" ref="BI12" si="60">BI11/BF11-1</f>
        <v>0.11382582852626255</v>
      </c>
      <c r="BJ12" s="322"/>
    </row>
    <row r="13" spans="1:62" s="312" customFormat="1" outlineLevel="1">
      <c r="A13" s="344" t="s">
        <v>2013</v>
      </c>
      <c r="B13" s="487">
        <f>+B11/B5</f>
        <v>0.32939723087083678</v>
      </c>
      <c r="C13" s="487">
        <f t="shared" ref="C13:Q13" si="61">+C11/C5</f>
        <v>0.31870275542550608</v>
      </c>
      <c r="D13" s="487">
        <f t="shared" si="61"/>
        <v>0.32469091167230452</v>
      </c>
      <c r="E13" s="487">
        <f t="shared" si="61"/>
        <v>0.35733893775459907</v>
      </c>
      <c r="F13" s="487">
        <f t="shared" si="61"/>
        <v>0.35415714510485563</v>
      </c>
      <c r="G13" s="487">
        <f t="shared" si="61"/>
        <v>0.35603696186697903</v>
      </c>
      <c r="H13" s="487">
        <f t="shared" si="61"/>
        <v>0.35940377545297036</v>
      </c>
      <c r="I13" s="487">
        <f t="shared" si="61"/>
        <v>0.3533492284008562</v>
      </c>
      <c r="J13" s="487">
        <f t="shared" si="61"/>
        <v>0.35685760039580677</v>
      </c>
      <c r="K13" s="487">
        <f t="shared" si="61"/>
        <v>0.33860776691290756</v>
      </c>
      <c r="L13" s="487">
        <f t="shared" si="61"/>
        <v>0.33391719347342658</v>
      </c>
      <c r="M13" s="487">
        <f t="shared" si="61"/>
        <v>0.33663640831551583</v>
      </c>
      <c r="N13" s="487">
        <f t="shared" si="61"/>
        <v>0.35015007918892532</v>
      </c>
      <c r="O13" s="487">
        <f t="shared" si="61"/>
        <v>0.34555413141570934</v>
      </c>
      <c r="P13" s="487">
        <f t="shared" si="61"/>
        <v>0.34830536374498072</v>
      </c>
      <c r="Q13" s="487">
        <f t="shared" si="61"/>
        <v>0.34142824463187665</v>
      </c>
      <c r="R13" s="402">
        <f>R11/R5</f>
        <v>0.3444263081737351</v>
      </c>
      <c r="S13" s="487">
        <f t="shared" ref="S13:V13" si="62">+S11/S5</f>
        <v>0.34256909193457419</v>
      </c>
      <c r="T13" s="487">
        <f t="shared" si="62"/>
        <v>0.35052595898409566</v>
      </c>
      <c r="U13" s="402">
        <f>U11/U5</f>
        <v>0.34830644382839737</v>
      </c>
      <c r="V13" s="487">
        <f t="shared" si="62"/>
        <v>0.34962672989961818</v>
      </c>
      <c r="W13" s="487">
        <f t="shared" ref="W13" si="63">+W11/W5</f>
        <v>0.36655914120940741</v>
      </c>
      <c r="X13" s="402">
        <f>X11/X5</f>
        <v>0.36025713315435048</v>
      </c>
      <c r="Y13" s="487">
        <f t="shared" ref="Y13:BF13" si="64">+Y11/Y5</f>
        <v>0.36401343012680448</v>
      </c>
      <c r="Z13" s="487">
        <f t="shared" si="64"/>
        <v>0.36716992481202998</v>
      </c>
      <c r="AA13" s="402">
        <f>AA11/AA5</f>
        <v>0.3636258312009486</v>
      </c>
      <c r="AB13" s="996">
        <f>+AB11/AB5</f>
        <v>0.36572846911174489</v>
      </c>
      <c r="AC13" s="487">
        <f t="shared" ref="AC13" si="65">+AC11/AC5</f>
        <v>0.35447073814508051</v>
      </c>
      <c r="AD13" s="402">
        <f t="shared" si="64"/>
        <v>0.35598359060555324</v>
      </c>
      <c r="AE13" s="397">
        <f t="shared" si="64"/>
        <v>0.35510897767072019</v>
      </c>
      <c r="AF13" s="397">
        <f t="shared" ref="AF13:AG13" si="66">+AF11/AF5</f>
        <v>0.34983037452826637</v>
      </c>
      <c r="AG13" s="402">
        <f t="shared" si="66"/>
        <v>0.37034215804404264</v>
      </c>
      <c r="AH13" s="397">
        <f t="shared" si="64"/>
        <v>0.35798974397876937</v>
      </c>
      <c r="AI13" s="397">
        <f t="shared" si="64"/>
        <v>0.36199950799405506</v>
      </c>
      <c r="AJ13" s="402">
        <f t="shared" si="64"/>
        <v>0.35664153062842113</v>
      </c>
      <c r="AK13" s="397">
        <f t="shared" si="64"/>
        <v>0.35949365857420618</v>
      </c>
      <c r="AL13" s="397"/>
      <c r="AM13" s="397"/>
      <c r="AN13" s="397">
        <f t="shared" si="64"/>
        <v>0.36183025104401106</v>
      </c>
      <c r="AO13" s="397"/>
      <c r="AP13" s="397"/>
      <c r="AQ13" s="397">
        <f t="shared" si="64"/>
        <v>0.36395430271445217</v>
      </c>
      <c r="AR13" s="397"/>
      <c r="AS13" s="397"/>
      <c r="AT13" s="397">
        <f t="shared" si="64"/>
        <v>0.36627732570623289</v>
      </c>
      <c r="AU13" s="397"/>
      <c r="AV13" s="397"/>
      <c r="AW13" s="397">
        <f t="shared" si="64"/>
        <v>0.36859193920001648</v>
      </c>
      <c r="AX13" s="397"/>
      <c r="AY13" s="397"/>
      <c r="AZ13" s="397">
        <f t="shared" si="64"/>
        <v>0.37089737121940697</v>
      </c>
      <c r="BA13" s="397"/>
      <c r="BB13" s="397"/>
      <c r="BC13" s="397">
        <f t="shared" si="64"/>
        <v>0.37319292298835227</v>
      </c>
      <c r="BD13" s="397"/>
      <c r="BE13" s="397"/>
      <c r="BF13" s="397">
        <f t="shared" si="64"/>
        <v>0.37547796566870484</v>
      </c>
      <c r="BG13" s="397"/>
      <c r="BH13" s="397"/>
      <c r="BI13" s="397">
        <f t="shared" ref="BI13" si="67">+BI11/BI5</f>
        <v>0.37742895470024335</v>
      </c>
      <c r="BJ13" s="322"/>
    </row>
    <row r="14" spans="1:62" s="312" customFormat="1" outlineLevel="1">
      <c r="A14" s="344"/>
      <c r="B14" s="406"/>
      <c r="C14" s="406"/>
      <c r="D14" s="406"/>
      <c r="E14" s="406"/>
      <c r="F14" s="406"/>
      <c r="G14" s="403"/>
      <c r="H14" s="406"/>
      <c r="I14" s="406"/>
      <c r="J14" s="403"/>
      <c r="K14" s="406"/>
      <c r="L14" s="406"/>
      <c r="M14" s="403"/>
      <c r="N14" s="406"/>
      <c r="O14" s="406"/>
      <c r="P14" s="403"/>
      <c r="Q14" s="403"/>
      <c r="R14" s="403"/>
      <c r="S14" s="406"/>
      <c r="T14" s="635"/>
      <c r="U14" s="635"/>
      <c r="V14" s="406"/>
      <c r="W14" s="635"/>
      <c r="X14" s="635"/>
      <c r="Y14" s="406"/>
      <c r="Z14" s="635"/>
      <c r="AA14" s="635"/>
      <c r="AB14" s="829"/>
      <c r="AC14" s="1184">
        <v>6.7992513772798246E-3</v>
      </c>
      <c r="AD14" s="635"/>
      <c r="AE14" s="1184">
        <v>7.1523471266610739E-3</v>
      </c>
      <c r="AF14" s="635"/>
      <c r="AG14" s="635"/>
      <c r="AH14" s="1184">
        <v>6.0138968313829255E-3</v>
      </c>
      <c r="AI14" s="1184">
        <v>1.1499271823053325E-3</v>
      </c>
      <c r="AJ14" s="1184">
        <v>1.1782087366712879E-2</v>
      </c>
      <c r="AK14" s="1184">
        <v>5.572968602219508E-3</v>
      </c>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322"/>
    </row>
    <row r="15" spans="1:62" s="312" customFormat="1" outlineLevel="1">
      <c r="A15" s="344" t="s">
        <v>1635</v>
      </c>
      <c r="B15" s="497">
        <v>0.17</v>
      </c>
      <c r="C15" s="409">
        <f>D15-B15</f>
        <v>0.6429999999999999</v>
      </c>
      <c r="D15" s="497">
        <v>0.81299999999999994</v>
      </c>
      <c r="E15" s="497">
        <v>0.218</v>
      </c>
      <c r="F15" s="409">
        <f>G15-E15</f>
        <v>0.47099999999999997</v>
      </c>
      <c r="G15" s="497">
        <v>0.68899999999999995</v>
      </c>
      <c r="H15" s="497">
        <v>0.193</v>
      </c>
      <c r="I15" s="409">
        <f>J15-H15</f>
        <v>9.3999999999999972E-2</v>
      </c>
      <c r="J15" s="497">
        <v>0.28699999999999998</v>
      </c>
      <c r="K15" s="497">
        <v>0.16</v>
      </c>
      <c r="L15" s="409">
        <f>M15-K15</f>
        <v>0.13399999999999998</v>
      </c>
      <c r="M15" s="497">
        <v>0.29399999999999998</v>
      </c>
      <c r="N15" s="497">
        <v>0.108</v>
      </c>
      <c r="O15" s="409">
        <f>P15-N15</f>
        <v>0.17599999999999999</v>
      </c>
      <c r="P15" s="497">
        <v>0.28399999999999997</v>
      </c>
      <c r="Q15" s="497">
        <v>0.15</v>
      </c>
      <c r="R15" s="400">
        <f>S15-Q15</f>
        <v>0.255</v>
      </c>
      <c r="S15" s="497">
        <v>0.40500000000000003</v>
      </c>
      <c r="T15" s="497">
        <v>0.26500000000000001</v>
      </c>
      <c r="U15" s="400">
        <f>V15-T15</f>
        <v>0.51300000000000001</v>
      </c>
      <c r="V15" s="497">
        <v>0.77800000000000002</v>
      </c>
      <c r="W15" s="497">
        <v>0.13500000000000001</v>
      </c>
      <c r="X15" s="400">
        <f>Y15-W15</f>
        <v>9.2999999999999999E-2</v>
      </c>
      <c r="Y15" s="497">
        <v>0.22800000000000001</v>
      </c>
      <c r="Z15" s="497">
        <v>9.8000000000000004E-2</v>
      </c>
      <c r="AA15" s="400">
        <f>AB15-Z15</f>
        <v>0.12</v>
      </c>
      <c r="AB15" s="858">
        <v>0.218</v>
      </c>
      <c r="AC15" s="497">
        <v>0.121</v>
      </c>
      <c r="AD15" s="400">
        <f>AE15-AC15</f>
        <v>0.11688463651396758</v>
      </c>
      <c r="AE15" s="409">
        <f t="shared" ref="AE15:AT15" si="68">AE17*AE5</f>
        <v>0.23788463651396757</v>
      </c>
      <c r="AF15" s="409">
        <f t="shared" si="68"/>
        <v>0.12970678358880264</v>
      </c>
      <c r="AG15" s="400">
        <f>AH15-AF15</f>
        <v>0.13199867508453658</v>
      </c>
      <c r="AH15" s="409">
        <f t="shared" si="68"/>
        <v>0.26170545867333922</v>
      </c>
      <c r="AI15" s="409">
        <f t="shared" ref="AI15" si="69">AI17*AI5</f>
        <v>0.13946129819906508</v>
      </c>
      <c r="AJ15" s="400">
        <f>AK15-AI15</f>
        <v>0.15000106101390034</v>
      </c>
      <c r="AK15" s="409">
        <f t="shared" si="68"/>
        <v>0.28946235921296543</v>
      </c>
      <c r="AL15" s="409"/>
      <c r="AM15" s="409"/>
      <c r="AN15" s="409">
        <f t="shared" si="68"/>
        <v>0.32040887159528136</v>
      </c>
      <c r="AO15" s="409"/>
      <c r="AP15" s="409"/>
      <c r="AQ15" s="409">
        <f t="shared" si="68"/>
        <v>0.35402636085416045</v>
      </c>
      <c r="AR15" s="409"/>
      <c r="AS15" s="409"/>
      <c r="AT15" s="409">
        <f t="shared" si="68"/>
        <v>0.39089373916938985</v>
      </c>
      <c r="AU15" s="409"/>
      <c r="AV15" s="409"/>
      <c r="AW15" s="409">
        <f t="shared" ref="AW15" si="70">AW17*AW5</f>
        <v>0.43191757996033808</v>
      </c>
      <c r="AX15" s="409"/>
      <c r="AY15" s="409"/>
      <c r="AZ15" s="409">
        <f t="shared" ref="AZ15:BC15" si="71">AZ17*AZ5</f>
        <v>0.47759148857049782</v>
      </c>
      <c r="BA15" s="409"/>
      <c r="BB15" s="409"/>
      <c r="BC15" s="409">
        <f t="shared" si="71"/>
        <v>0.52847034975407825</v>
      </c>
      <c r="BD15" s="409"/>
      <c r="BE15" s="409"/>
      <c r="BF15" s="409">
        <f t="shared" ref="BF15" si="72">BF17*BF5</f>
        <v>0.58517825019889091</v>
      </c>
      <c r="BG15" s="409"/>
      <c r="BH15" s="409"/>
      <c r="BI15" s="409">
        <f t="shared" ref="BI15" si="73">BI17*BI5</f>
        <v>0.64841746269130662</v>
      </c>
      <c r="BJ15" s="322"/>
    </row>
    <row r="16" spans="1:62" s="312" customFormat="1" outlineLevel="1">
      <c r="A16" s="312" t="s">
        <v>1359</v>
      </c>
      <c r="B16" s="402">
        <f>B15/0.299-1</f>
        <v>-0.43143812709030094</v>
      </c>
      <c r="C16" s="406"/>
      <c r="D16" s="402">
        <f>D15/0.299-1</f>
        <v>1.7190635451505014</v>
      </c>
      <c r="E16" s="402">
        <f>E15/B15-1</f>
        <v>0.28235294117647047</v>
      </c>
      <c r="F16" s="402">
        <f t="shared" ref="F16:AC16" si="74">F15/C15-1</f>
        <v>-0.26749611197511658</v>
      </c>
      <c r="G16" s="402">
        <f t="shared" si="74"/>
        <v>-0.1525215252152522</v>
      </c>
      <c r="H16" s="402">
        <f t="shared" si="74"/>
        <v>-0.11467889908256879</v>
      </c>
      <c r="I16" s="402">
        <f t="shared" si="74"/>
        <v>-0.8004246284501062</v>
      </c>
      <c r="J16" s="402">
        <f t="shared" si="74"/>
        <v>-0.58345428156748913</v>
      </c>
      <c r="K16" s="402">
        <f t="shared" si="74"/>
        <v>-0.17098445595854928</v>
      </c>
      <c r="L16" s="402">
        <f t="shared" si="74"/>
        <v>0.42553191489361719</v>
      </c>
      <c r="M16" s="402">
        <f t="shared" si="74"/>
        <v>2.4390243902439046E-2</v>
      </c>
      <c r="N16" s="402">
        <f t="shared" si="74"/>
        <v>-0.32500000000000007</v>
      </c>
      <c r="O16" s="402">
        <f t="shared" si="74"/>
        <v>0.31343283582089554</v>
      </c>
      <c r="P16" s="402">
        <f t="shared" si="74"/>
        <v>-3.4013605442176909E-2</v>
      </c>
      <c r="Q16" s="402">
        <f t="shared" si="74"/>
        <v>0.38888888888888884</v>
      </c>
      <c r="R16" s="402">
        <f t="shared" si="74"/>
        <v>0.44886363636363646</v>
      </c>
      <c r="S16" s="402">
        <f t="shared" si="74"/>
        <v>0.42605633802816922</v>
      </c>
      <c r="T16" s="402">
        <f t="shared" si="74"/>
        <v>0.76666666666666683</v>
      </c>
      <c r="U16" s="402">
        <f t="shared" si="74"/>
        <v>1.0117647058823529</v>
      </c>
      <c r="V16" s="402">
        <f t="shared" si="74"/>
        <v>0.92098765432098761</v>
      </c>
      <c r="W16" s="402">
        <f t="shared" si="74"/>
        <v>-0.49056603773584906</v>
      </c>
      <c r="X16" s="402">
        <f t="shared" ref="X16" si="75">X15/U15-1</f>
        <v>-0.81871345029239762</v>
      </c>
      <c r="Y16" s="402">
        <f t="shared" si="74"/>
        <v>-0.70694087403598971</v>
      </c>
      <c r="Z16" s="402">
        <f t="shared" si="74"/>
        <v>-0.27407407407407414</v>
      </c>
      <c r="AA16" s="402">
        <f t="shared" si="74"/>
        <v>0.29032258064516125</v>
      </c>
      <c r="AB16" s="832">
        <f>AB15/Y15-1</f>
        <v>-4.3859649122807043E-2</v>
      </c>
      <c r="AC16" s="402">
        <f t="shared" si="74"/>
        <v>0.23469387755102034</v>
      </c>
      <c r="AD16" s="402">
        <f t="shared" ref="AD16" si="76">AD15/AA15-1</f>
        <v>-2.596136238360347E-2</v>
      </c>
      <c r="AE16" s="402">
        <f>AE15/AB15-1</f>
        <v>9.1213928963153945E-2</v>
      </c>
      <c r="AF16" s="402">
        <f t="shared" ref="AF16" si="77">AF15/AC15-1</f>
        <v>7.1956889163658166E-2</v>
      </c>
      <c r="AG16" s="402">
        <f t="shared" ref="AG16" si="78">AG15/AD15-1</f>
        <v>0.12930731549790031</v>
      </c>
      <c r="AH16" s="402">
        <f>AH15/AE15-1</f>
        <v>0.10013602605216154</v>
      </c>
      <c r="AI16" s="402">
        <f t="shared" ref="AI16" si="79">AI15/AF15-1</f>
        <v>7.5204352003564345E-2</v>
      </c>
      <c r="AJ16" s="402">
        <f t="shared" ref="AJ16" si="80">AJ15/AG15-1</f>
        <v>0.13638308049557613</v>
      </c>
      <c r="AK16" s="402">
        <f>AK15/AH15-1</f>
        <v>0.10606160330141368</v>
      </c>
      <c r="AL16" s="402"/>
      <c r="AM16" s="402"/>
      <c r="AN16" s="402">
        <f>AN15/AK15-1</f>
        <v>0.10691031630661074</v>
      </c>
      <c r="AO16" s="402"/>
      <c r="AP16" s="402"/>
      <c r="AQ16" s="402">
        <f>AQ15/AN15-1</f>
        <v>0.10492059440021495</v>
      </c>
      <c r="AR16" s="402"/>
      <c r="AS16" s="402"/>
      <c r="AT16" s="402">
        <f>AT15/AQ15-1</f>
        <v>0.10413738182173593</v>
      </c>
      <c r="AU16" s="402"/>
      <c r="AV16" s="402"/>
      <c r="AW16" s="402">
        <f>AW15/AT15-1</f>
        <v>0.10494883053926563</v>
      </c>
      <c r="AX16" s="402"/>
      <c r="AY16" s="402"/>
      <c r="AZ16" s="402">
        <f>AZ15/AW15-1</f>
        <v>0.1057468154325969</v>
      </c>
      <c r="BA16" s="402"/>
      <c r="BB16" s="402"/>
      <c r="BC16" s="402">
        <f>BC15/AZ15-1</f>
        <v>0.10653217739677157</v>
      </c>
      <c r="BD16" s="402"/>
      <c r="BE16" s="402"/>
      <c r="BF16" s="402">
        <f>BF15/BC15-1</f>
        <v>0.10730573715479297</v>
      </c>
      <c r="BG16" s="402"/>
      <c r="BH16" s="402"/>
      <c r="BI16" s="402">
        <f t="shared" ref="BI16" si="81">BI15/BF15-1</f>
        <v>0.10806828939886581</v>
      </c>
      <c r="BJ16" s="322"/>
    </row>
    <row r="17" spans="1:62" s="312" customFormat="1" outlineLevel="1">
      <c r="A17" s="312" t="s">
        <v>1598</v>
      </c>
      <c r="B17" s="402">
        <f>B15/B5</f>
        <v>5.0122653080479304E-4</v>
      </c>
      <c r="C17" s="402">
        <f t="shared" ref="C17:R17" si="82">C15/C5</f>
        <v>2.4121696396751254E-3</v>
      </c>
      <c r="D17" s="402">
        <f t="shared" si="82"/>
        <v>1.3421755129735377E-3</v>
      </c>
      <c r="E17" s="402">
        <f t="shared" si="82"/>
        <v>5.6563140551620344E-4</v>
      </c>
      <c r="F17" s="402">
        <f t="shared" si="82"/>
        <v>1.764454667375945E-3</v>
      </c>
      <c r="G17" s="402">
        <f t="shared" si="82"/>
        <v>1.0561847357545358E-3</v>
      </c>
      <c r="H17" s="402">
        <f t="shared" si="82"/>
        <v>4.3826682501799618E-4</v>
      </c>
      <c r="I17" s="402">
        <f t="shared" si="82"/>
        <v>2.9412132817682317E-4</v>
      </c>
      <c r="J17" s="402">
        <f t="shared" si="82"/>
        <v>3.7764797682004607E-4</v>
      </c>
      <c r="K17" s="402">
        <f t="shared" si="82"/>
        <v>2.8983722017122135E-4</v>
      </c>
      <c r="L17" s="402">
        <f t="shared" si="82"/>
        <v>3.3482421728592483E-4</v>
      </c>
      <c r="M17" s="402">
        <f t="shared" si="82"/>
        <v>3.0874439744435245E-4</v>
      </c>
      <c r="N17" s="402">
        <f t="shared" si="82"/>
        <v>1.5190770762829871E-4</v>
      </c>
      <c r="O17" s="402">
        <f t="shared" si="82"/>
        <v>3.6920417620269305E-4</v>
      </c>
      <c r="P17" s="402">
        <f t="shared" si="82"/>
        <v>2.3912587704046358E-4</v>
      </c>
      <c r="Q17" s="402">
        <f t="shared" si="82"/>
        <v>1.7071469136490945E-4</v>
      </c>
      <c r="R17" s="402">
        <f t="shared" si="82"/>
        <v>4.7244882267606132E-4</v>
      </c>
      <c r="S17" s="402">
        <f t="shared" ref="S17:V17" si="83">S15/S5</f>
        <v>2.8553299492385789E-4</v>
      </c>
      <c r="T17" s="402">
        <f t="shared" si="83"/>
        <v>2.9842443161407081E-4</v>
      </c>
      <c r="U17" s="402">
        <f t="shared" ref="U17" si="84">U15/U5</f>
        <v>8.6875087848833953E-4</v>
      </c>
      <c r="V17" s="402">
        <f t="shared" si="83"/>
        <v>5.261897773094523E-4</v>
      </c>
      <c r="W17" s="402">
        <f t="shared" ref="W17" si="85">W15/W5</f>
        <v>1.4903425800810748E-4</v>
      </c>
      <c r="X17" s="402">
        <f t="shared" ref="X17:AC17" si="86">X15/X5</f>
        <v>1.4897447890969905E-4</v>
      </c>
      <c r="Y17" s="402">
        <f t="shared" si="86"/>
        <v>1.4902028963531208E-4</v>
      </c>
      <c r="Z17" s="402">
        <f t="shared" si="86"/>
        <v>9.8245614035087728E-5</v>
      </c>
      <c r="AA17" s="402">
        <f t="shared" ref="AA17" si="87">AA15/AA5</f>
        <v>1.7163968824511291E-4</v>
      </c>
      <c r="AB17" s="832">
        <f t="shared" si="86"/>
        <v>1.2849598980519891E-4</v>
      </c>
      <c r="AC17" s="402">
        <f t="shared" si="86"/>
        <v>1.1013015381814872E-4</v>
      </c>
      <c r="AD17" s="402">
        <f t="shared" ref="AD17" si="88">AD15/AD5</f>
        <v>1.5530776470525098E-4</v>
      </c>
      <c r="AE17" s="449">
        <f>AB17</f>
        <v>1.2849598980519891E-4</v>
      </c>
      <c r="AF17" s="449">
        <f t="shared" ref="AF17" si="89">AC17</f>
        <v>1.1013015381814872E-4</v>
      </c>
      <c r="AG17" s="402">
        <f t="shared" ref="AG17" si="90">AG15/AG5</f>
        <v>1.5367930918990148E-4</v>
      </c>
      <c r="AH17" s="449">
        <f>AE17</f>
        <v>1.2849598980519891E-4</v>
      </c>
      <c r="AI17" s="449">
        <f t="shared" ref="AI17" si="91">AF17</f>
        <v>1.1013015381814872E-4</v>
      </c>
      <c r="AJ17" s="402">
        <f t="shared" ref="AJ17" si="92">AJ15/AJ5</f>
        <v>1.5207474833315833E-4</v>
      </c>
      <c r="AK17" s="449">
        <f>AH17</f>
        <v>1.2849598980519891E-4</v>
      </c>
      <c r="AL17" s="449"/>
      <c r="AM17" s="449"/>
      <c r="AN17" s="449">
        <f>AK17</f>
        <v>1.2849598980519891E-4</v>
      </c>
      <c r="AO17" s="449"/>
      <c r="AP17" s="449"/>
      <c r="AQ17" s="449">
        <f>AN17</f>
        <v>1.2849598980519891E-4</v>
      </c>
      <c r="AR17" s="449"/>
      <c r="AS17" s="449"/>
      <c r="AT17" s="449">
        <f>AQ17</f>
        <v>1.2849598980519891E-4</v>
      </c>
      <c r="AU17" s="449"/>
      <c r="AV17" s="449"/>
      <c r="AW17" s="449">
        <f>AT17</f>
        <v>1.2849598980519891E-4</v>
      </c>
      <c r="AX17" s="449"/>
      <c r="AY17" s="449"/>
      <c r="AZ17" s="449">
        <f>AW17</f>
        <v>1.2849598980519891E-4</v>
      </c>
      <c r="BA17" s="449"/>
      <c r="BB17" s="449"/>
      <c r="BC17" s="449">
        <f>AZ17</f>
        <v>1.2849598980519891E-4</v>
      </c>
      <c r="BD17" s="449"/>
      <c r="BE17" s="449"/>
      <c r="BF17" s="449">
        <f>BC17</f>
        <v>1.2849598980519891E-4</v>
      </c>
      <c r="BG17" s="449"/>
      <c r="BH17" s="449"/>
      <c r="BI17" s="449">
        <f t="shared" ref="BI17" si="93">BF17</f>
        <v>1.2849598980519891E-4</v>
      </c>
      <c r="BJ17" s="322"/>
    </row>
    <row r="18" spans="1:62" s="312" customFormat="1" outlineLevel="1">
      <c r="A18" s="344" t="s">
        <v>1599</v>
      </c>
      <c r="B18" s="498">
        <v>-29.597999999999999</v>
      </c>
      <c r="C18" s="409">
        <f>+D18-B18</f>
        <v>-25.989000000000004</v>
      </c>
      <c r="D18" s="499">
        <v>-55.587000000000003</v>
      </c>
      <c r="E18" s="498">
        <v>-38.127000000000002</v>
      </c>
      <c r="F18" s="409">
        <f>+G18-E18</f>
        <v>-30.29</v>
      </c>
      <c r="G18" s="499">
        <v>-68.417000000000002</v>
      </c>
      <c r="H18" s="498">
        <v>-43.249000000000002</v>
      </c>
      <c r="I18" s="409">
        <f>+J18-H18</f>
        <v>-39.152999999999999</v>
      </c>
      <c r="J18" s="499">
        <v>-82.402000000000001</v>
      </c>
      <c r="K18" s="498">
        <v>-53.387</v>
      </c>
      <c r="L18" s="409">
        <f>+M18-K18</f>
        <v>-43.525999999999996</v>
      </c>
      <c r="M18" s="499">
        <f>-89.213-7.7</f>
        <v>-96.912999999999997</v>
      </c>
      <c r="N18" s="498">
        <v>-61.052999999999997</v>
      </c>
      <c r="O18" s="409">
        <f>+P18-N18</f>
        <v>-56.78</v>
      </c>
      <c r="P18" s="500">
        <v>-117.833</v>
      </c>
      <c r="Q18" s="702">
        <v>-83.551000000000002</v>
      </c>
      <c r="R18" s="400">
        <f>S18-Q18</f>
        <v>-74.978999999999999</v>
      </c>
      <c r="S18" s="497">
        <v>-158.53</v>
      </c>
      <c r="T18" s="497">
        <v>-101.227</v>
      </c>
      <c r="U18" s="400">
        <f>V18-T18</f>
        <v>-81.838999999999999</v>
      </c>
      <c r="V18" s="497">
        <v>-183.066</v>
      </c>
      <c r="W18" s="497">
        <v>-105.22</v>
      </c>
      <c r="X18" s="400">
        <f>Y18-W18</f>
        <v>-91.306000000000012</v>
      </c>
      <c r="Y18" s="497">
        <v>-196.52600000000001</v>
      </c>
      <c r="Z18" s="497">
        <v>-111.13200000000001</v>
      </c>
      <c r="AA18" s="400">
        <f>AB18-Z18</f>
        <v>-101.453</v>
      </c>
      <c r="AB18" s="858">
        <v>-212.58500000000001</v>
      </c>
      <c r="AC18" s="497">
        <v>-122.026</v>
      </c>
      <c r="AD18" s="400">
        <f>AE18-AC18</f>
        <v>-106.60956017595142</v>
      </c>
      <c r="AE18" s="409">
        <f t="shared" ref="AE18" si="94">-AE20*AE$5</f>
        <v>-228.63556017595141</v>
      </c>
      <c r="AF18" s="409">
        <f>-AF20*AF$5</f>
        <v>-129.55349375365222</v>
      </c>
      <c r="AG18" s="400">
        <f>AH18-AF18</f>
        <v>-119.94004091685125</v>
      </c>
      <c r="AH18" s="409">
        <f t="shared" ref="AH18:AT18" si="95">-AH20*AH$5</f>
        <v>-249.49353467050346</v>
      </c>
      <c r="AI18" s="409">
        <f>-AI20*AI$5</f>
        <v>-140.56281194029523</v>
      </c>
      <c r="AJ18" s="400">
        <f>AK18-AI18</f>
        <v>-134.26605919816396</v>
      </c>
      <c r="AK18" s="409">
        <f t="shared" si="95"/>
        <v>-274.82887113845919</v>
      </c>
      <c r="AL18" s="409"/>
      <c r="AM18" s="409"/>
      <c r="AN18" s="409">
        <f t="shared" si="95"/>
        <v>-302.96414664647847</v>
      </c>
      <c r="AO18" s="409"/>
      <c r="AP18" s="409"/>
      <c r="AQ18" s="409">
        <f t="shared" si="95"/>
        <v>-333.37374752546737</v>
      </c>
      <c r="AR18" s="409"/>
      <c r="AS18" s="409"/>
      <c r="AT18" s="409">
        <f t="shared" si="95"/>
        <v>-366.56938198086641</v>
      </c>
      <c r="AU18" s="409"/>
      <c r="AV18" s="409"/>
      <c r="AW18" s="409">
        <f t="shared" ref="AW18" si="96">-AW20*AW$5</f>
        <v>-403.35974432988519</v>
      </c>
      <c r="AX18" s="409"/>
      <c r="AY18" s="409"/>
      <c r="AZ18" s="409">
        <f t="shared" ref="AZ18:BC18" si="97">-AZ20*AZ$5</f>
        <v>-444.15536212994999</v>
      </c>
      <c r="BA18" s="409"/>
      <c r="BB18" s="409"/>
      <c r="BC18" s="409">
        <f t="shared" si="97"/>
        <v>-489.41583092261516</v>
      </c>
      <c r="BD18" s="409"/>
      <c r="BE18" s="409"/>
      <c r="BF18" s="409">
        <f t="shared" ref="BF18" si="98">-BF20*BF$5</f>
        <v>-539.65592820207178</v>
      </c>
      <c r="BG18" s="409"/>
      <c r="BH18" s="409"/>
      <c r="BI18" s="409">
        <f t="shared" ref="BI18" si="99">-BI20*BI$5</f>
        <v>-595.45251733979387</v>
      </c>
      <c r="BJ18" s="322"/>
    </row>
    <row r="19" spans="1:62" s="312" customFormat="1" outlineLevel="1">
      <c r="A19" s="312" t="s">
        <v>1359</v>
      </c>
      <c r="B19" s="397">
        <f>B18/(-30.215)-1</f>
        <v>-2.042032103259972E-2</v>
      </c>
      <c r="C19" s="397"/>
      <c r="D19" s="397">
        <f>D18/(-58.277)-1</f>
        <v>-4.6158861986718591E-2</v>
      </c>
      <c r="E19" s="397">
        <f>E18/B18-1</f>
        <v>0.28816136225420652</v>
      </c>
      <c r="F19" s="397">
        <f>F18/C18-1</f>
        <v>0.16549309323175176</v>
      </c>
      <c r="G19" s="397">
        <f>+G18/D18-1</f>
        <v>0.23080936190116397</v>
      </c>
      <c r="H19" s="397">
        <f>H18/E18-1</f>
        <v>0.1343404936134498</v>
      </c>
      <c r="I19" s="397">
        <f>I18/F18-1</f>
        <v>0.29260482007263122</v>
      </c>
      <c r="J19" s="397">
        <f>+J18/G18-1</f>
        <v>0.20440826110469623</v>
      </c>
      <c r="K19" s="397">
        <f>K18/H18-1</f>
        <v>0.2344100441628707</v>
      </c>
      <c r="L19" s="397">
        <f>L18/I18-1</f>
        <v>0.11169003652338261</v>
      </c>
      <c r="M19" s="397">
        <f>+M18/J18-1</f>
        <v>0.17610009465789656</v>
      </c>
      <c r="N19" s="397">
        <f>N18/K18-1</f>
        <v>0.14359300953415621</v>
      </c>
      <c r="O19" s="397">
        <f>O18/L18-1</f>
        <v>0.3045076505996418</v>
      </c>
      <c r="P19" s="397">
        <f>+P18/M18-1</f>
        <v>0.21586371281458638</v>
      </c>
      <c r="Q19" s="397">
        <f t="shared" ref="Q19:W19" si="100">Q18/N18-1</f>
        <v>0.36849950043404922</v>
      </c>
      <c r="R19" s="397">
        <f t="shared" si="100"/>
        <v>0.32051778795350461</v>
      </c>
      <c r="S19" s="397">
        <f>+S18/P18-1</f>
        <v>0.34537862907674421</v>
      </c>
      <c r="T19" s="397">
        <f t="shared" si="100"/>
        <v>0.21155940682936181</v>
      </c>
      <c r="U19" s="397">
        <f t="shared" si="100"/>
        <v>9.1492284506328403E-2</v>
      </c>
      <c r="V19" s="397">
        <f>V18/S18-1</f>
        <v>0.15477196745095556</v>
      </c>
      <c r="W19" s="397">
        <f t="shared" si="100"/>
        <v>3.9445997609333316E-2</v>
      </c>
      <c r="X19" s="397">
        <f>X18/U18-1</f>
        <v>0.11567834406578781</v>
      </c>
      <c r="Y19" s="397">
        <f>Y18/V18-1</f>
        <v>7.3525395212655553E-2</v>
      </c>
      <c r="Z19" s="397">
        <f t="shared" ref="Z19" si="101">Z18/W18-1</f>
        <v>5.6187036685040992E-2</v>
      </c>
      <c r="AA19" s="397">
        <f>AA18/X18-1</f>
        <v>0.11113179856745448</v>
      </c>
      <c r="AB19" s="828">
        <f>AB18/Y18-1</f>
        <v>8.1714378759044637E-2</v>
      </c>
      <c r="AC19" s="397">
        <f t="shared" ref="AC19" si="102">AC18/Z18-1</f>
        <v>9.8027570816686449E-2</v>
      </c>
      <c r="AD19" s="397">
        <f>AD18/AA18-1</f>
        <v>5.0827084225714581E-2</v>
      </c>
      <c r="AE19" s="397">
        <f>AE18/AB18-1</f>
        <v>7.5501847147970924E-2</v>
      </c>
      <c r="AF19" s="397">
        <f t="shared" ref="AF19" si="103">AF18/AC18-1</f>
        <v>6.1687621930180736E-2</v>
      </c>
      <c r="AG19" s="397">
        <f>AG18/AD18-1</f>
        <v>0.12504020013682471</v>
      </c>
      <c r="AH19" s="397">
        <f>AH18/AE18-1</f>
        <v>9.122804203554491E-2</v>
      </c>
      <c r="AI19" s="397">
        <f t="shared" ref="AI19" si="104">AI18/AF18-1</f>
        <v>8.4978937021778611E-2</v>
      </c>
      <c r="AJ19" s="397">
        <f>AJ18/AG18-1</f>
        <v>0.11944316653388731</v>
      </c>
      <c r="AK19" s="397">
        <f>AK18/AH18-1</f>
        <v>0.10154706614508124</v>
      </c>
      <c r="AL19" s="397"/>
      <c r="AM19" s="397"/>
      <c r="AN19" s="397">
        <f>AN18/AK18-1</f>
        <v>0.10237379861682983</v>
      </c>
      <c r="AO19" s="397"/>
      <c r="AP19" s="397"/>
      <c r="AQ19" s="397">
        <f>AQ18/AN18-1</f>
        <v>0.10037359606934992</v>
      </c>
      <c r="AR19" s="397"/>
      <c r="AS19" s="397"/>
      <c r="AT19" s="397">
        <f>AT18/AQ18-1</f>
        <v>9.9574830657183533E-2</v>
      </c>
      <c r="AU19" s="397"/>
      <c r="AV19" s="397"/>
      <c r="AW19" s="397">
        <f>AW18/AT18-1</f>
        <v>0.10036398062001561</v>
      </c>
      <c r="AX19" s="397"/>
      <c r="AY19" s="397"/>
      <c r="AZ19" s="397">
        <f>AZ18/AW18-1</f>
        <v>0.10113953703496104</v>
      </c>
      <c r="BA19" s="397"/>
      <c r="BB19" s="397"/>
      <c r="BC19" s="397">
        <f>BC18/AZ18-1</f>
        <v>0.10190233565034146</v>
      </c>
      <c r="BD19" s="397"/>
      <c r="BE19" s="397"/>
      <c r="BF19" s="397">
        <f>BF18/BC18-1</f>
        <v>0.10265319204069723</v>
      </c>
      <c r="BG19" s="397"/>
      <c r="BH19" s="397"/>
      <c r="BI19" s="397">
        <f t="shared" ref="BI19" si="105">BI18/BF18-1</f>
        <v>0.10339289577271038</v>
      </c>
      <c r="BJ19" s="322"/>
    </row>
    <row r="20" spans="1:62" s="312" customFormat="1" outlineLevel="1">
      <c r="A20" s="312" t="s">
        <v>1598</v>
      </c>
      <c r="B20" s="402">
        <f>-B18/B5</f>
        <v>8.7266487404472126E-2</v>
      </c>
      <c r="C20" s="402">
        <f t="shared" ref="C20:R20" si="106">-C18/C5</f>
        <v>9.7495920319621857E-2</v>
      </c>
      <c r="D20" s="402">
        <f t="shared" si="106"/>
        <v>9.1768155276334612E-2</v>
      </c>
      <c r="E20" s="402">
        <f t="shared" si="106"/>
        <v>9.8925819257414185E-2</v>
      </c>
      <c r="F20" s="402">
        <f t="shared" si="106"/>
        <v>0.11347204219706448</v>
      </c>
      <c r="G20" s="402">
        <f t="shared" si="106"/>
        <v>0.10487807121352406</v>
      </c>
      <c r="H20" s="402">
        <f t="shared" si="106"/>
        <v>9.8210372617633768E-2</v>
      </c>
      <c r="I20" s="402">
        <f t="shared" si="106"/>
        <v>0.12250779108624638</v>
      </c>
      <c r="J20" s="402">
        <f t="shared" si="106"/>
        <v>0.10842839228545449</v>
      </c>
      <c r="K20" s="402">
        <f t="shared" si="106"/>
        <v>9.6709622958006211E-2</v>
      </c>
      <c r="L20" s="402">
        <f t="shared" si="106"/>
        <v>0.10875790210139674</v>
      </c>
      <c r="M20" s="402">
        <f t="shared" si="106"/>
        <v>0.10177328499838276</v>
      </c>
      <c r="N20" s="402">
        <f t="shared" si="106"/>
        <v>8.5874271053986317E-2</v>
      </c>
      <c r="O20" s="402">
        <f t="shared" si="106"/>
        <v>0.11911030184539155</v>
      </c>
      <c r="P20" s="402">
        <f t="shared" si="106"/>
        <v>9.9214505173623055E-2</v>
      </c>
      <c r="Q20" s="402">
        <f t="shared" si="106"/>
        <v>9.5089221188197001E-2</v>
      </c>
      <c r="R20" s="402">
        <f t="shared" si="106"/>
        <v>0.13891662853109177</v>
      </c>
      <c r="S20" s="402">
        <f t="shared" ref="S20:V20" si="107">-S18/S5</f>
        <v>0.11176677946982515</v>
      </c>
      <c r="T20" s="402">
        <f t="shared" si="107"/>
        <v>0.11399475448678319</v>
      </c>
      <c r="U20" s="402">
        <f t="shared" ref="U20" si="108">-U18/U5</f>
        <v>0.1385920139271096</v>
      </c>
      <c r="V20" s="402">
        <f t="shared" si="107"/>
        <v>0.12381421307574833</v>
      </c>
      <c r="W20" s="402">
        <f t="shared" ref="W20" si="109">-W18/W5</f>
        <v>0.11615840464898568</v>
      </c>
      <c r="X20" s="402">
        <f t="shared" ref="X20:AB20" si="110">-X18/X5</f>
        <v>0.14626090076697831</v>
      </c>
      <c r="Y20" s="402">
        <f t="shared" si="110"/>
        <v>0.12844895368802342</v>
      </c>
      <c r="Z20" s="402">
        <f t="shared" si="110"/>
        <v>0.11141052631578949</v>
      </c>
      <c r="AA20" s="402">
        <f t="shared" ref="AA20" si="111">-AA18/AA5</f>
        <v>0.14511134409609533</v>
      </c>
      <c r="AB20" s="832">
        <f t="shared" si="110"/>
        <v>0.12530422015017528</v>
      </c>
      <c r="AC20" s="402">
        <f t="shared" ref="AC20" si="112">-AC18/AC5</f>
        <v>0.11106398470920177</v>
      </c>
      <c r="AD20" s="402">
        <f t="shared" ref="AD20" si="113">-AD18/AD5</f>
        <v>0.14165499402616855</v>
      </c>
      <c r="AE20" s="449">
        <v>0.1235</v>
      </c>
      <c r="AF20" s="449">
        <v>0.11</v>
      </c>
      <c r="AG20" s="402">
        <f t="shared" ref="AG20" si="114">-AG18/AG5</f>
        <v>0.13964005790592612</v>
      </c>
      <c r="AH20" s="449">
        <v>0.1225</v>
      </c>
      <c r="AI20" s="449">
        <v>0.111</v>
      </c>
      <c r="AJ20" s="402">
        <f t="shared" ref="AJ20" si="115">-AJ18/AJ5</f>
        <v>0.13612221823120021</v>
      </c>
      <c r="AK20" s="449">
        <f>AH20-0.05%</f>
        <v>0.122</v>
      </c>
      <c r="AL20" s="449"/>
      <c r="AM20" s="449"/>
      <c r="AN20" s="449">
        <f>AK20-0.05%</f>
        <v>0.1215</v>
      </c>
      <c r="AO20" s="449"/>
      <c r="AP20" s="449"/>
      <c r="AQ20" s="449">
        <f t="shared" ref="AQ20:BI20" si="116">AN20-0.05%</f>
        <v>0.121</v>
      </c>
      <c r="AR20" s="449">
        <f t="shared" si="116"/>
        <v>-5.0000000000000001E-4</v>
      </c>
      <c r="AS20" s="449">
        <f t="shared" si="116"/>
        <v>-5.0000000000000001E-4</v>
      </c>
      <c r="AT20" s="449">
        <f t="shared" si="116"/>
        <v>0.1205</v>
      </c>
      <c r="AU20" s="449">
        <f t="shared" si="116"/>
        <v>-1E-3</v>
      </c>
      <c r="AV20" s="449">
        <f t="shared" si="116"/>
        <v>-1E-3</v>
      </c>
      <c r="AW20" s="449">
        <f t="shared" si="116"/>
        <v>0.12</v>
      </c>
      <c r="AX20" s="449">
        <f t="shared" si="116"/>
        <v>-1.5E-3</v>
      </c>
      <c r="AY20" s="449">
        <f t="shared" si="116"/>
        <v>-1.5E-3</v>
      </c>
      <c r="AZ20" s="449">
        <f t="shared" si="116"/>
        <v>0.1195</v>
      </c>
      <c r="BA20" s="449">
        <f t="shared" si="116"/>
        <v>-2E-3</v>
      </c>
      <c r="BB20" s="449">
        <f t="shared" si="116"/>
        <v>-2E-3</v>
      </c>
      <c r="BC20" s="449">
        <f t="shared" si="116"/>
        <v>0.11899999999999999</v>
      </c>
      <c r="BD20" s="449">
        <f t="shared" si="116"/>
        <v>-2.5000000000000001E-3</v>
      </c>
      <c r="BE20" s="449">
        <f t="shared" si="116"/>
        <v>-2.5000000000000001E-3</v>
      </c>
      <c r="BF20" s="449">
        <f t="shared" si="116"/>
        <v>0.11849999999999999</v>
      </c>
      <c r="BG20" s="449">
        <f t="shared" si="116"/>
        <v>-3.0000000000000001E-3</v>
      </c>
      <c r="BH20" s="449">
        <f t="shared" si="116"/>
        <v>-3.0000000000000001E-3</v>
      </c>
      <c r="BI20" s="449">
        <f t="shared" si="116"/>
        <v>0.11799999999999999</v>
      </c>
      <c r="BJ20" s="322"/>
    </row>
    <row r="21" spans="1:62" s="312" customFormat="1" outlineLevel="1">
      <c r="A21" s="344" t="s">
        <v>1600</v>
      </c>
      <c r="B21" s="498">
        <v>-5.1440000000000001</v>
      </c>
      <c r="C21" s="409">
        <f>+D21-B21</f>
        <v>-5.4250000000000007</v>
      </c>
      <c r="D21" s="499">
        <v>-10.569000000000001</v>
      </c>
      <c r="E21" s="498">
        <v>-7.1459999999999999</v>
      </c>
      <c r="F21" s="409">
        <f>+G21-E21</f>
        <v>-6.9620000000000006</v>
      </c>
      <c r="G21" s="499">
        <v>-14.108000000000001</v>
      </c>
      <c r="H21" s="498">
        <v>-7.726</v>
      </c>
      <c r="I21" s="409">
        <f>+J21-H21</f>
        <v>-7.96</v>
      </c>
      <c r="J21" s="499">
        <v>-15.686</v>
      </c>
      <c r="K21" s="498">
        <f>-5.996</f>
        <v>-5.9960000000000004</v>
      </c>
      <c r="L21" s="409">
        <f>+M21-K21</f>
        <v>-6.65</v>
      </c>
      <c r="M21" s="499">
        <f>-12.646</f>
        <v>-12.646000000000001</v>
      </c>
      <c r="N21" s="498">
        <f>-6.154</f>
        <v>-6.1539999999999999</v>
      </c>
      <c r="O21" s="409">
        <f>+P21-N21</f>
        <v>-6.1899999999999995</v>
      </c>
      <c r="P21" s="500">
        <f>-12.344</f>
        <v>-12.343999999999999</v>
      </c>
      <c r="Q21" s="702">
        <v>-7.3330000000000002</v>
      </c>
      <c r="R21" s="400">
        <f>S21-Q21</f>
        <v>-10.026999999999999</v>
      </c>
      <c r="S21" s="497">
        <v>-17.36</v>
      </c>
      <c r="T21" s="497">
        <v>-12.861000000000001</v>
      </c>
      <c r="U21" s="400">
        <f>V21-T21</f>
        <v>-0.80899999999999928</v>
      </c>
      <c r="V21" s="497">
        <v>-13.67</v>
      </c>
      <c r="W21" s="497">
        <v>-7.569</v>
      </c>
      <c r="X21" s="400">
        <f>Y21-W21</f>
        <v>-5.9170000000000007</v>
      </c>
      <c r="Y21" s="497">
        <v>-13.486000000000001</v>
      </c>
      <c r="Z21" s="497">
        <v>-7.1020000000000003</v>
      </c>
      <c r="AA21" s="400">
        <f>AB21-Z21</f>
        <v>-8.2219999999999995</v>
      </c>
      <c r="AB21" s="858">
        <v>-15.324</v>
      </c>
      <c r="AC21" s="497">
        <v>-7.7830000000000004</v>
      </c>
      <c r="AD21" s="400">
        <f>AE21-AC21</f>
        <v>-9.4340907662862179</v>
      </c>
      <c r="AE21" s="409">
        <f t="shared" ref="AE21:AT21" si="117">-AE23*AE$5</f>
        <v>-17.217090766286219</v>
      </c>
      <c r="AF21" s="409">
        <f>-AF23*AF$5</f>
        <v>-7.6554337218067223</v>
      </c>
      <c r="AG21" s="400">
        <f>AH21-AF21</f>
        <v>-10.878371710859245</v>
      </c>
      <c r="AH21" s="409">
        <f t="shared" si="117"/>
        <v>-18.533805432665968</v>
      </c>
      <c r="AI21" s="409">
        <f>-AI23*AI$5</f>
        <v>-8.2311556541614319</v>
      </c>
      <c r="AJ21" s="400">
        <f>AK21-AI21</f>
        <v>-11.142027065434869</v>
      </c>
      <c r="AK21" s="409">
        <f t="shared" si="117"/>
        <v>-19.373182719596301</v>
      </c>
      <c r="AL21" s="409"/>
      <c r="AM21" s="409"/>
      <c r="AN21" s="409">
        <f t="shared" si="117"/>
        <v>-21.195022604897666</v>
      </c>
      <c r="AO21" s="409"/>
      <c r="AP21" s="409"/>
      <c r="AQ21" s="409">
        <f t="shared" si="117"/>
        <v>-23.418816974929523</v>
      </c>
      <c r="AR21" s="409"/>
      <c r="AS21" s="409"/>
      <c r="AT21" s="409">
        <f t="shared" si="117"/>
        <v>-25.857591260061113</v>
      </c>
      <c r="AU21" s="409"/>
      <c r="AV21" s="409"/>
      <c r="AW21" s="409">
        <f t="shared" ref="AW21" si="118">-AW23*AW$5</f>
        <v>-28.571315223366863</v>
      </c>
      <c r="AX21" s="409"/>
      <c r="AY21" s="409"/>
      <c r="AZ21" s="409">
        <f t="shared" ref="AZ21:BC21" si="119">-AZ23*AZ$5</f>
        <v>-31.592640820958781</v>
      </c>
      <c r="BA21" s="409"/>
      <c r="BB21" s="409"/>
      <c r="BC21" s="409">
        <f t="shared" si="119"/>
        <v>-34.958273637329654</v>
      </c>
      <c r="BD21" s="409"/>
      <c r="BE21" s="409"/>
      <c r="BF21" s="409">
        <f t="shared" ref="BF21" si="120">-BF23*BF$5</f>
        <v>-38.70949695964228</v>
      </c>
      <c r="BG21" s="409"/>
      <c r="BH21" s="409"/>
      <c r="BI21" s="409">
        <f t="shared" ref="BI21" si="121">-BI23*BI$5</f>
        <v>-42.892766079561419</v>
      </c>
      <c r="BJ21" s="322"/>
    </row>
    <row r="22" spans="1:62" s="312" customFormat="1" outlineLevel="1">
      <c r="A22" s="312" t="s">
        <v>1359</v>
      </c>
      <c r="B22" s="397">
        <f>B21/(-5.876)-1</f>
        <v>-0.12457454050374406</v>
      </c>
      <c r="C22" s="397"/>
      <c r="D22" s="397">
        <f>D21/(-11.35)-1</f>
        <v>-6.8810572687224569E-2</v>
      </c>
      <c r="E22" s="397">
        <f>E21/B21-1</f>
        <v>0.38919129082426118</v>
      </c>
      <c r="F22" s="397">
        <f>F21/C21-1</f>
        <v>0.28331797235023037</v>
      </c>
      <c r="G22" s="397">
        <f>+G21/D21-1</f>
        <v>0.33484719462579227</v>
      </c>
      <c r="H22" s="397">
        <f>H21/E21-1</f>
        <v>8.1164287713406003E-2</v>
      </c>
      <c r="I22" s="397">
        <f>I21/F21-1</f>
        <v>0.14334961218040787</v>
      </c>
      <c r="J22" s="397">
        <f>+J21/G21-1</f>
        <v>0.11185143181173807</v>
      </c>
      <c r="K22" s="397">
        <f>K21/H21-1</f>
        <v>-0.22391923375614797</v>
      </c>
      <c r="L22" s="397">
        <f>L21/I21-1</f>
        <v>-0.164572864321608</v>
      </c>
      <c r="M22" s="397">
        <f>+M21/J21-1</f>
        <v>-0.19380339155935222</v>
      </c>
      <c r="N22" s="397">
        <f>N21/K21-1</f>
        <v>2.6350900600400129E-2</v>
      </c>
      <c r="O22" s="397">
        <f>O21/L21-1</f>
        <v>-6.9172932330827219E-2</v>
      </c>
      <c r="P22" s="397">
        <f>+P21/M21-1</f>
        <v>-2.3881069112762998E-2</v>
      </c>
      <c r="Q22" s="397">
        <f t="shared" ref="Q22:Z22" si="122">Q21/N21-1</f>
        <v>0.19158271043223918</v>
      </c>
      <c r="R22" s="397">
        <f t="shared" si="122"/>
        <v>0.61987075928917612</v>
      </c>
      <c r="S22" s="397">
        <f>+S21/P21-1</f>
        <v>0.40635126377187292</v>
      </c>
      <c r="T22" s="397">
        <f t="shared" si="122"/>
        <v>0.75385244783853822</v>
      </c>
      <c r="U22" s="397">
        <f t="shared" si="122"/>
        <v>-0.91931784182706699</v>
      </c>
      <c r="V22" s="397">
        <f t="shared" si="122"/>
        <v>-0.2125576036866359</v>
      </c>
      <c r="W22" s="397">
        <f t="shared" si="122"/>
        <v>-0.41147655703289021</v>
      </c>
      <c r="X22" s="397">
        <f>X21/U21-1</f>
        <v>6.3139678615574857</v>
      </c>
      <c r="Y22" s="397">
        <f t="shared" si="122"/>
        <v>-1.3460131675201104E-2</v>
      </c>
      <c r="Z22" s="397">
        <f t="shared" si="122"/>
        <v>-6.1699035539701352E-2</v>
      </c>
      <c r="AA22" s="397">
        <f>AA21/X21-1</f>
        <v>0.3895555179989858</v>
      </c>
      <c r="AB22" s="828">
        <f t="shared" ref="AB22:AC22" si="123">AB21/Y21-1</f>
        <v>0.13628948539225849</v>
      </c>
      <c r="AC22" s="397">
        <f t="shared" si="123"/>
        <v>9.5888482117713281E-2</v>
      </c>
      <c r="AD22" s="397">
        <f t="shared" ref="AD22" si="124">AD21/AA21-1</f>
        <v>0.14742042888423956</v>
      </c>
      <c r="AE22" s="397">
        <f t="shared" ref="AE22" si="125">AE21/AB21-1</f>
        <v>0.12353763810272911</v>
      </c>
      <c r="AF22" s="397">
        <f t="shared" ref="AF22" si="126">AF21/AC21-1</f>
        <v>-1.6390373659678548E-2</v>
      </c>
      <c r="AG22" s="397">
        <f t="shared" ref="AG22" si="127">AG21/AD21-1</f>
        <v>0.15309169482811491</v>
      </c>
      <c r="AH22" s="397">
        <f t="shared" ref="AH22" si="128">AH21/AE21-1</f>
        <v>7.6477186782222484E-2</v>
      </c>
      <c r="AI22" s="397">
        <f t="shared" ref="AI22" si="129">AI21/AF21-1</f>
        <v>7.5204352003564345E-2</v>
      </c>
      <c r="AJ22" s="397">
        <f t="shared" ref="AJ22" si="130">AJ21/AG21-1</f>
        <v>2.4236656145186997E-2</v>
      </c>
      <c r="AK22" s="397">
        <f t="shared" ref="AK22" si="131">AK21/AH21-1</f>
        <v>4.5288987735401909E-2</v>
      </c>
      <c r="AL22" s="397"/>
      <c r="AM22" s="397"/>
      <c r="AN22" s="397">
        <f t="shared" ref="AN22" si="132">AN21/AK21-1</f>
        <v>9.4039266116999087E-2</v>
      </c>
      <c r="AO22" s="397"/>
      <c r="AP22" s="397"/>
      <c r="AQ22" s="397">
        <f t="shared" ref="AQ22" si="133">AQ21/AN21-1</f>
        <v>0.10492059440021495</v>
      </c>
      <c r="AR22" s="397"/>
      <c r="AS22" s="397"/>
      <c r="AT22" s="397">
        <f>AT21/AQ21-1</f>
        <v>0.10413738182173615</v>
      </c>
      <c r="AU22" s="397"/>
      <c r="AV22" s="397"/>
      <c r="AW22" s="397">
        <f>AW21/AT21-1</f>
        <v>0.10494883053926563</v>
      </c>
      <c r="AX22" s="397"/>
      <c r="AY22" s="397"/>
      <c r="AZ22" s="397">
        <f>AZ21/AW21-1</f>
        <v>0.10574681543259667</v>
      </c>
      <c r="BA22" s="397"/>
      <c r="BB22" s="397"/>
      <c r="BC22" s="397">
        <f>BC21/AZ21-1</f>
        <v>0.10653217739677179</v>
      </c>
      <c r="BD22" s="397"/>
      <c r="BE22" s="397"/>
      <c r="BF22" s="397">
        <f>BF21/BC21-1</f>
        <v>0.10730573715479297</v>
      </c>
      <c r="BG22" s="397"/>
      <c r="BH22" s="397"/>
      <c r="BI22" s="397">
        <f t="shared" ref="BI22" si="134">BI21/BF21-1</f>
        <v>0.10806828939886581</v>
      </c>
      <c r="BJ22" s="322"/>
    </row>
    <row r="23" spans="1:62" s="312" customFormat="1" outlineLevel="1">
      <c r="A23" s="312" t="s">
        <v>1598</v>
      </c>
      <c r="B23" s="402">
        <f>-B21/B5</f>
        <v>1.5166525143881501E-2</v>
      </c>
      <c r="C23" s="402">
        <f t="shared" ref="C23:R23" si="135">-C21/C5</f>
        <v>2.0351509012811134E-2</v>
      </c>
      <c r="D23" s="402">
        <f t="shared" si="135"/>
        <v>1.7448281668655991E-2</v>
      </c>
      <c r="E23" s="402">
        <f t="shared" si="135"/>
        <v>1.8541293687242156E-2</v>
      </c>
      <c r="F23" s="402">
        <f t="shared" si="135"/>
        <v>2.608096262053361E-2</v>
      </c>
      <c r="G23" s="402">
        <f t="shared" si="135"/>
        <v>2.1626493834579087E-2</v>
      </c>
      <c r="H23" s="402">
        <f t="shared" si="135"/>
        <v>1.7544297876109005E-2</v>
      </c>
      <c r="I23" s="402">
        <f t="shared" si="135"/>
        <v>2.4906444386037372E-2</v>
      </c>
      <c r="J23" s="402">
        <f t="shared" si="135"/>
        <v>2.0640369910798755E-2</v>
      </c>
      <c r="K23" s="402">
        <f t="shared" si="135"/>
        <v>1.086164982591652E-2</v>
      </c>
      <c r="L23" s="402">
        <f t="shared" si="135"/>
        <v>1.6616276454861197E-2</v>
      </c>
      <c r="M23" s="402">
        <f t="shared" si="135"/>
        <v>1.328020969415402E-2</v>
      </c>
      <c r="N23" s="402">
        <f t="shared" si="135"/>
        <v>8.6559262291162065E-3</v>
      </c>
      <c r="O23" s="402">
        <f t="shared" si="135"/>
        <v>1.2985078697128807E-2</v>
      </c>
      <c r="P23" s="402">
        <f t="shared" si="135"/>
        <v>1.0393555726012263E-2</v>
      </c>
      <c r="Q23" s="402">
        <f t="shared" si="135"/>
        <v>8.3456722118592074E-3</v>
      </c>
      <c r="R23" s="402">
        <f t="shared" si="135"/>
        <v>1.8577428803815164E-2</v>
      </c>
      <c r="S23" s="402">
        <f t="shared" ref="S23:V23" si="136">-S21/S5</f>
        <v>1.2239142695995487E-2</v>
      </c>
      <c r="T23" s="402">
        <f t="shared" si="136"/>
        <v>1.4483157037692696E-2</v>
      </c>
      <c r="U23" s="402">
        <f>-U21/U5</f>
        <v>1.3700184419046123E-3</v>
      </c>
      <c r="V23" s="402">
        <f t="shared" si="136"/>
        <v>9.2455196090234105E-3</v>
      </c>
      <c r="W23" s="402">
        <f t="shared" ref="W23" si="137">-W21/W5</f>
        <v>8.3558540656545593E-3</v>
      </c>
      <c r="X23" s="402">
        <f t="shared" ref="X23:AC23" si="138">-X21/X5</f>
        <v>9.47830098611494E-3</v>
      </c>
      <c r="Y23" s="402">
        <f t="shared" si="138"/>
        <v>8.8144194123763973E-3</v>
      </c>
      <c r="Z23" s="402">
        <f t="shared" si="138"/>
        <v>7.119799498746868E-3</v>
      </c>
      <c r="AA23" s="402">
        <f t="shared" ref="AA23" si="139">-AA21/AA5</f>
        <v>1.1760179306260986E-2</v>
      </c>
      <c r="AB23" s="832">
        <f t="shared" si="138"/>
        <v>9.0324428797012302E-3</v>
      </c>
      <c r="AC23" s="402">
        <f t="shared" si="138"/>
        <v>7.0838263402202605E-3</v>
      </c>
      <c r="AD23" s="402">
        <f t="shared" ref="AD23" si="140">-AD21/AD5</f>
        <v>1.2535330498831406E-2</v>
      </c>
      <c r="AE23" s="449">
        <v>9.2999999999999992E-3</v>
      </c>
      <c r="AF23" s="449">
        <v>6.4999999999999997E-3</v>
      </c>
      <c r="AG23" s="402">
        <f t="shared" ref="AG23" si="141">-AG21/AG5</f>
        <v>1.2665132044432632E-2</v>
      </c>
      <c r="AH23" s="449">
        <f>AE23-0.02%</f>
        <v>9.0999999999999987E-3</v>
      </c>
      <c r="AI23" s="449">
        <f>AF23</f>
        <v>6.4999999999999997E-3</v>
      </c>
      <c r="AJ23" s="402">
        <f t="shared" ref="AJ23" si="142">-AJ21/AJ5</f>
        <v>1.1296059844138217E-2</v>
      </c>
      <c r="AK23" s="449">
        <f>AH23-0.05%</f>
        <v>8.5999999999999983E-3</v>
      </c>
      <c r="AL23" s="449"/>
      <c r="AM23" s="449"/>
      <c r="AN23" s="449">
        <f>AK23-0.01%</f>
        <v>8.4999999999999989E-3</v>
      </c>
      <c r="AO23" s="449"/>
      <c r="AP23" s="449"/>
      <c r="AQ23" s="449">
        <f>AN23</f>
        <v>8.4999999999999989E-3</v>
      </c>
      <c r="AR23" s="449"/>
      <c r="AS23" s="449"/>
      <c r="AT23" s="449">
        <f>AQ23</f>
        <v>8.4999999999999989E-3</v>
      </c>
      <c r="AU23" s="449"/>
      <c r="AV23" s="449"/>
      <c r="AW23" s="449">
        <f>AT23</f>
        <v>8.4999999999999989E-3</v>
      </c>
      <c r="AX23" s="449"/>
      <c r="AY23" s="449"/>
      <c r="AZ23" s="449">
        <f>AW23</f>
        <v>8.4999999999999989E-3</v>
      </c>
      <c r="BA23" s="449"/>
      <c r="BB23" s="449"/>
      <c r="BC23" s="449">
        <f>AZ23</f>
        <v>8.4999999999999989E-3</v>
      </c>
      <c r="BD23" s="449"/>
      <c r="BE23" s="449"/>
      <c r="BF23" s="449">
        <f>BC23</f>
        <v>8.4999999999999989E-3</v>
      </c>
      <c r="BG23" s="449"/>
      <c r="BH23" s="449"/>
      <c r="BI23" s="449">
        <f t="shared" ref="BI23" si="143">BF23</f>
        <v>8.4999999999999989E-3</v>
      </c>
      <c r="BJ23" s="322"/>
    </row>
    <row r="24" spans="1:62" s="312" customFormat="1" outlineLevel="1">
      <c r="A24" s="344" t="s">
        <v>1601</v>
      </c>
      <c r="B24" s="498">
        <v>-12.063000000000001</v>
      </c>
      <c r="C24" s="409">
        <f>+D24-B24</f>
        <v>-9.2750000000000004</v>
      </c>
      <c r="D24" s="499">
        <v>-21.338000000000001</v>
      </c>
      <c r="E24" s="498">
        <v>-17.277999999999999</v>
      </c>
      <c r="F24" s="409">
        <f>+G24-E24</f>
        <v>-8.8990000000000009</v>
      </c>
      <c r="G24" s="499">
        <v>-26.177</v>
      </c>
      <c r="H24" s="498">
        <v>-19.213999999999999</v>
      </c>
      <c r="I24" s="409">
        <f>+J24-H24</f>
        <v>-13.006999999999998</v>
      </c>
      <c r="J24" s="499">
        <v>-32.220999999999997</v>
      </c>
      <c r="K24" s="498">
        <v>-22.751000000000001</v>
      </c>
      <c r="L24" s="409">
        <f>+M24-K24</f>
        <v>-15.601999999999993</v>
      </c>
      <c r="M24" s="499">
        <f>-35.053-3.3</f>
        <v>-38.352999999999994</v>
      </c>
      <c r="N24" s="498">
        <v>-33.427</v>
      </c>
      <c r="O24" s="409">
        <f>+P24-N24</f>
        <v>-33.000999999999998</v>
      </c>
      <c r="P24" s="500">
        <v>-66.427999999999997</v>
      </c>
      <c r="Q24" s="702">
        <v>-40.862000000000002</v>
      </c>
      <c r="R24" s="400">
        <f>S24-Q24</f>
        <v>-27.448</v>
      </c>
      <c r="S24" s="497">
        <v>-68.31</v>
      </c>
      <c r="T24" s="497">
        <v>-28.61</v>
      </c>
      <c r="U24" s="400">
        <f>V24-T24</f>
        <v>-24.110999999999997</v>
      </c>
      <c r="V24" s="497">
        <v>-52.720999999999997</v>
      </c>
      <c r="W24" s="497">
        <v>-30.041</v>
      </c>
      <c r="X24" s="400">
        <f>Y24-W24</f>
        <v>-24.864000000000001</v>
      </c>
      <c r="Y24" s="497">
        <v>-54.905000000000001</v>
      </c>
      <c r="Z24" s="497">
        <v>-36.305</v>
      </c>
      <c r="AA24" s="400">
        <f>AB24-Z24</f>
        <v>-26.535000000000004</v>
      </c>
      <c r="AB24" s="858">
        <v>-62.84</v>
      </c>
      <c r="AC24" s="497">
        <v>-41.216000000000001</v>
      </c>
      <c r="AD24" s="400">
        <f>AE24-AC24</f>
        <v>-29.133403131061975</v>
      </c>
      <c r="AE24" s="409">
        <f t="shared" ref="AE24:AT24" si="144">-AE26*AE$5</f>
        <v>-70.349403131061976</v>
      </c>
      <c r="AF24" s="409">
        <f>-AF26*AF$5</f>
        <v>-42.399325228468001</v>
      </c>
      <c r="AG24" s="400">
        <f>AH24-AF24</f>
        <v>-37.031269482957597</v>
      </c>
      <c r="AH24" s="409">
        <f>-AH26*AH$5</f>
        <v>-79.430594711425599</v>
      </c>
      <c r="AI24" s="409">
        <f>-AI26*AI$5</f>
        <v>-48.120602285866831</v>
      </c>
      <c r="AJ24" s="400">
        <f>AK24-AI24</f>
        <v>-41.987224316906683</v>
      </c>
      <c r="AK24" s="409">
        <f t="shared" si="144"/>
        <v>-90.107826602773514</v>
      </c>
      <c r="AL24" s="409"/>
      <c r="AM24" s="409"/>
      <c r="AN24" s="409">
        <f t="shared" si="144"/>
        <v>-99.741282846577278</v>
      </c>
      <c r="AO24" s="409"/>
      <c r="AP24" s="409"/>
      <c r="AQ24" s="409">
        <f t="shared" si="144"/>
        <v>-110.20619752908013</v>
      </c>
      <c r="AR24" s="409"/>
      <c r="AS24" s="409"/>
      <c r="AT24" s="409">
        <f t="shared" si="144"/>
        <v>-121.68278240028762</v>
      </c>
      <c r="AU24" s="409"/>
      <c r="AV24" s="409"/>
      <c r="AW24" s="409">
        <f t="shared" ref="AW24" si="145">-AW26*AW$5</f>
        <v>-134.45324810996175</v>
      </c>
      <c r="AX24" s="409"/>
      <c r="AY24" s="409"/>
      <c r="AZ24" s="409">
        <f t="shared" ref="AZ24:BC24" si="146">-AZ26*AZ$5</f>
        <v>-148.671250922159</v>
      </c>
      <c r="BA24" s="409"/>
      <c r="BB24" s="409"/>
      <c r="BC24" s="409">
        <f t="shared" si="146"/>
        <v>-164.5095229991984</v>
      </c>
      <c r="BD24" s="409"/>
      <c r="BE24" s="409"/>
      <c r="BF24" s="409">
        <f t="shared" ref="BF24" si="147">-BF26*BF$5</f>
        <v>-182.16233863361074</v>
      </c>
      <c r="BG24" s="409"/>
      <c r="BH24" s="409"/>
      <c r="BI24" s="409">
        <f t="shared" ref="BI24" si="148">-BI26*BI$5</f>
        <v>-201.84831096264199</v>
      </c>
      <c r="BJ24" s="322"/>
    </row>
    <row r="25" spans="1:62" s="312" customFormat="1" outlineLevel="1">
      <c r="A25" s="312" t="s">
        <v>1359</v>
      </c>
      <c r="B25" s="397">
        <f>B24/(-12.263)-1</f>
        <v>-1.6309222865530382E-2</v>
      </c>
      <c r="C25" s="397"/>
      <c r="D25" s="397">
        <f>D24/(-19.124)-1</f>
        <v>0.11577075925538605</v>
      </c>
      <c r="E25" s="397">
        <f>E24/B24-1</f>
        <v>0.43231368647931667</v>
      </c>
      <c r="F25" s="397">
        <f>F24/C24-1</f>
        <v>-4.0539083557951439E-2</v>
      </c>
      <c r="G25" s="397">
        <f>+G24/D24-1</f>
        <v>0.22677851719936259</v>
      </c>
      <c r="H25" s="397">
        <f>H24/E24-1</f>
        <v>0.11205000578770696</v>
      </c>
      <c r="I25" s="397">
        <f>I24/F24-1</f>
        <v>0.461624901674345</v>
      </c>
      <c r="J25" s="397">
        <f>+J24/G24-1</f>
        <v>0.23088971234289635</v>
      </c>
      <c r="K25" s="397">
        <f>K24/H24-1</f>
        <v>0.184084521702925</v>
      </c>
      <c r="L25" s="397">
        <f>L24/I24-1</f>
        <v>0.19950795725378612</v>
      </c>
      <c r="M25" s="397">
        <f>+M24/J24-1</f>
        <v>0.19031066695633281</v>
      </c>
      <c r="N25" s="397">
        <f>N24/K24-1</f>
        <v>0.46925409872093526</v>
      </c>
      <c r="O25" s="397">
        <f>O24/L24-1</f>
        <v>1.1151775413408545</v>
      </c>
      <c r="P25" s="397">
        <f>+P24/M24-1</f>
        <v>0.73201574844210371</v>
      </c>
      <c r="Q25" s="397">
        <f t="shared" ref="Q25:AC25" si="149">Q24/N24-1</f>
        <v>0.22242498578993031</v>
      </c>
      <c r="R25" s="397">
        <f t="shared" si="149"/>
        <v>-0.16826762825368924</v>
      </c>
      <c r="S25" s="397">
        <f>+S24/P24-1</f>
        <v>2.8331426506894797E-2</v>
      </c>
      <c r="T25" s="397">
        <f t="shared" si="149"/>
        <v>-0.29983848074005193</v>
      </c>
      <c r="U25" s="397">
        <f t="shared" si="149"/>
        <v>-0.12157534246575352</v>
      </c>
      <c r="V25" s="397">
        <f t="shared" si="149"/>
        <v>-0.22820963255745874</v>
      </c>
      <c r="W25" s="397">
        <f t="shared" si="149"/>
        <v>5.0017476406850836E-2</v>
      </c>
      <c r="X25" s="397">
        <f t="shared" ref="X25" si="150">X24/U24-1</f>
        <v>3.1230558666169195E-2</v>
      </c>
      <c r="Y25" s="397">
        <f t="shared" si="149"/>
        <v>4.1425617875230136E-2</v>
      </c>
      <c r="Z25" s="397">
        <f t="shared" si="149"/>
        <v>0.20851502945973843</v>
      </c>
      <c r="AA25" s="397">
        <f t="shared" si="149"/>
        <v>6.7205598455598592E-2</v>
      </c>
      <c r="AB25" s="828">
        <f t="shared" ref="AB25" si="151">AB24/Y24-1</f>
        <v>0.14452235679810577</v>
      </c>
      <c r="AC25" s="397">
        <f t="shared" si="149"/>
        <v>0.13527062388100819</v>
      </c>
      <c r="AD25" s="397">
        <f t="shared" ref="AD25" si="152">AD24/AA24-1</f>
        <v>9.7923615265195885E-2</v>
      </c>
      <c r="AE25" s="397">
        <f t="shared" ref="AE25" si="153">AE24/AB24-1</f>
        <v>0.11950036809455722</v>
      </c>
      <c r="AF25" s="397">
        <f t="shared" ref="AF25" si="154">AF24/AC24-1</f>
        <v>2.8710336482627996E-2</v>
      </c>
      <c r="AG25" s="397">
        <f t="shared" ref="AG25" si="155">AG24/AD24-1</f>
        <v>0.27109316121997895</v>
      </c>
      <c r="AH25" s="397">
        <f>AH24/AE24-1</f>
        <v>0.12908697410616599</v>
      </c>
      <c r="AI25" s="397">
        <f t="shared" ref="AI25" si="156">AI24/AF24-1</f>
        <v>0.1349379271148734</v>
      </c>
      <c r="AJ25" s="397">
        <f t="shared" ref="AJ25" si="157">AJ24/AG24-1</f>
        <v>0.13383162130668791</v>
      </c>
      <c r="AK25" s="397">
        <f t="shared" ref="AK25" si="158">AK24/AH24-1</f>
        <v>0.13442215723221906</v>
      </c>
      <c r="AL25" s="397"/>
      <c r="AM25" s="397"/>
      <c r="AN25" s="397">
        <f t="shared" ref="AN25" si="159">AN24/AK24-1</f>
        <v>0.10691031630661096</v>
      </c>
      <c r="AO25" s="397"/>
      <c r="AP25" s="397"/>
      <c r="AQ25" s="397">
        <f t="shared" ref="AQ25" si="160">AQ24/AN24-1</f>
        <v>0.10492059440021495</v>
      </c>
      <c r="AR25" s="397"/>
      <c r="AS25" s="397"/>
      <c r="AT25" s="397">
        <f>AT24/AQ24-1</f>
        <v>0.10413738182173615</v>
      </c>
      <c r="AU25" s="397"/>
      <c r="AV25" s="397"/>
      <c r="AW25" s="397">
        <f>AW24/AT24-1</f>
        <v>0.10494883053926563</v>
      </c>
      <c r="AX25" s="397"/>
      <c r="AY25" s="397"/>
      <c r="AZ25" s="397">
        <f>AZ24/AW24-1</f>
        <v>0.10574681543259667</v>
      </c>
      <c r="BA25" s="397"/>
      <c r="BB25" s="397"/>
      <c r="BC25" s="397">
        <f>BC24/AZ24-1</f>
        <v>0.10653217739677157</v>
      </c>
      <c r="BD25" s="397"/>
      <c r="BE25" s="397"/>
      <c r="BF25" s="397">
        <f>BF24/BC24-1</f>
        <v>0.10730573715479297</v>
      </c>
      <c r="BG25" s="397"/>
      <c r="BH25" s="397"/>
      <c r="BI25" s="397">
        <f t="shared" ref="BI25" si="161">BI24/BF24-1</f>
        <v>0.10806828939886581</v>
      </c>
      <c r="BJ25" s="322"/>
    </row>
    <row r="26" spans="1:62" s="312" customFormat="1" outlineLevel="1">
      <c r="A26" s="312" t="s">
        <v>1598</v>
      </c>
      <c r="B26" s="402">
        <f>-B24/B5</f>
        <v>3.5566444947636576E-2</v>
      </c>
      <c r="C26" s="402">
        <f t="shared" ref="C26:R26" si="162">-C24/C5</f>
        <v>3.4794515408999672E-2</v>
      </c>
      <c r="D26" s="402">
        <f t="shared" si="162"/>
        <v>3.5226741815288252E-2</v>
      </c>
      <c r="E26" s="402">
        <f t="shared" si="162"/>
        <v>4.4830180846371394E-2</v>
      </c>
      <c r="F26" s="402">
        <f t="shared" si="162"/>
        <v>3.3337329267470357E-2</v>
      </c>
      <c r="G26" s="402">
        <f t="shared" si="162"/>
        <v>4.012735533794845E-2</v>
      </c>
      <c r="H26" s="402">
        <f t="shared" si="162"/>
        <v>4.3631392621221642E-2</v>
      </c>
      <c r="I26" s="402">
        <f t="shared" si="162"/>
        <v>4.0698256548892968E-2</v>
      </c>
      <c r="J26" s="402">
        <f t="shared" si="162"/>
        <v>4.2397893592748093E-2</v>
      </c>
      <c r="K26" s="402">
        <f t="shared" si="162"/>
        <v>4.1213041225721607E-2</v>
      </c>
      <c r="L26" s="402">
        <f t="shared" si="162"/>
        <v>3.8984533120111922E-2</v>
      </c>
      <c r="M26" s="402">
        <f t="shared" si="162"/>
        <v>4.0276441752323977E-2</v>
      </c>
      <c r="N26" s="402">
        <f t="shared" si="162"/>
        <v>4.7016842063806866E-2</v>
      </c>
      <c r="O26" s="402">
        <f t="shared" si="162"/>
        <v>6.9227880789006102E-2</v>
      </c>
      <c r="P26" s="402">
        <f t="shared" si="162"/>
        <v>5.593187943677435E-2</v>
      </c>
      <c r="Q26" s="402">
        <f t="shared" si="162"/>
        <v>4.6504958123686206E-2</v>
      </c>
      <c r="R26" s="402">
        <f t="shared" si="162"/>
        <v>5.0854020724755027E-2</v>
      </c>
      <c r="S26" s="402">
        <f t="shared" ref="S26" si="163">-S24/S5</f>
        <v>4.8159898477157362E-2</v>
      </c>
      <c r="T26" s="402">
        <f>-T24/T5</f>
        <v>3.2218577315013451E-2</v>
      </c>
      <c r="U26" s="402">
        <f t="shared" ref="U26:V26" si="164">-U24/U5</f>
        <v>4.0831291288951951E-2</v>
      </c>
      <c r="V26" s="402">
        <f t="shared" si="164"/>
        <v>3.5657135282174339E-2</v>
      </c>
      <c r="W26" s="402">
        <f>-W24/W5</f>
        <v>3.3163986257937456E-2</v>
      </c>
      <c r="X26" s="402">
        <f t="shared" ref="X26:Y26" si="165">-X24/X5</f>
        <v>3.982904778076083E-2</v>
      </c>
      <c r="Y26" s="402">
        <f t="shared" si="165"/>
        <v>3.5885785098363196E-2</v>
      </c>
      <c r="Z26" s="402">
        <f>-Z24/Z5</f>
        <v>3.639598997493735E-2</v>
      </c>
      <c r="AA26" s="402">
        <f t="shared" ref="AA26" si="166">-AA24/AA5</f>
        <v>3.7953826063200601E-2</v>
      </c>
      <c r="AB26" s="832">
        <f t="shared" ref="AB26" si="167">-AB24/AB5</f>
        <v>3.7039853208067429E-2</v>
      </c>
      <c r="AC26" s="402">
        <f>-AC24/AC5</f>
        <v>3.7513424956767086E-2</v>
      </c>
      <c r="AD26" s="402">
        <f t="shared" ref="AD26" si="168">-AD24/AD5</f>
        <v>3.8710337418908822E-2</v>
      </c>
      <c r="AE26" s="449">
        <v>3.7999999999999999E-2</v>
      </c>
      <c r="AF26" s="449">
        <v>3.5999999999999997E-2</v>
      </c>
      <c r="AG26" s="1020">
        <f t="shared" ref="AG26" si="169">-AG24/AG5</f>
        <v>4.3113613897422277E-2</v>
      </c>
      <c r="AH26" s="449">
        <v>3.9E-2</v>
      </c>
      <c r="AI26" s="449">
        <v>3.7999999999999999E-2</v>
      </c>
      <c r="AJ26" s="1020">
        <f t="shared" ref="AJ26" si="170">-AJ24/AJ5</f>
        <v>4.2567676042036422E-2</v>
      </c>
      <c r="AK26" s="449">
        <v>0.04</v>
      </c>
      <c r="AL26" s="449"/>
      <c r="AM26" s="449"/>
      <c r="AN26" s="449">
        <v>0.04</v>
      </c>
      <c r="AO26" s="449"/>
      <c r="AP26" s="449"/>
      <c r="AQ26" s="449">
        <v>0.04</v>
      </c>
      <c r="AR26" s="449"/>
      <c r="AS26" s="449"/>
      <c r="AT26" s="449">
        <v>0.04</v>
      </c>
      <c r="AU26" s="449"/>
      <c r="AV26" s="449"/>
      <c r="AW26" s="449">
        <v>0.04</v>
      </c>
      <c r="AX26" s="449"/>
      <c r="AY26" s="449"/>
      <c r="AZ26" s="449">
        <v>0.04</v>
      </c>
      <c r="BA26" s="449">
        <v>0.04</v>
      </c>
      <c r="BB26" s="449">
        <v>0.04</v>
      </c>
      <c r="BC26" s="449">
        <v>0.04</v>
      </c>
      <c r="BD26" s="449">
        <v>0.04</v>
      </c>
      <c r="BE26" s="449">
        <v>0.04</v>
      </c>
      <c r="BF26" s="449">
        <v>0.04</v>
      </c>
      <c r="BG26" s="449">
        <v>0.04</v>
      </c>
      <c r="BH26" s="449">
        <v>0.04</v>
      </c>
      <c r="BI26" s="449">
        <v>0.04</v>
      </c>
      <c r="BJ26" s="322"/>
    </row>
    <row r="27" spans="1:62" s="312" customFormat="1" outlineLevel="1">
      <c r="A27" s="344" t="s">
        <v>1143</v>
      </c>
      <c r="B27" s="498">
        <v>-10.858000000000001</v>
      </c>
      <c r="C27" s="409">
        <f>+D27-B27</f>
        <v>-9.347999999999999</v>
      </c>
      <c r="D27" s="499">
        <v>-20.206</v>
      </c>
      <c r="E27" s="498">
        <v>-13.874000000000001</v>
      </c>
      <c r="F27" s="409">
        <f>+G27-E27</f>
        <v>-10.162000000000001</v>
      </c>
      <c r="G27" s="499">
        <v>-24.036000000000001</v>
      </c>
      <c r="H27" s="498">
        <v>-17.777000000000001</v>
      </c>
      <c r="I27" s="409">
        <f>+J27-H27</f>
        <v>-9.4399999999999977</v>
      </c>
      <c r="J27" s="499">
        <v>-27.216999999999999</v>
      </c>
      <c r="K27" s="498">
        <f>-19.699</f>
        <v>-19.699000000000002</v>
      </c>
      <c r="L27" s="409">
        <f>+M27-K27</f>
        <v>-21.005000000000063</v>
      </c>
      <c r="M27" s="499">
        <f>M30-(M15+M18+M21+M24)</f>
        <v>-40.704000000000065</v>
      </c>
      <c r="N27" s="498">
        <f>-27.472-8.523</f>
        <v>-35.995000000000005</v>
      </c>
      <c r="O27" s="409">
        <f>+P27-N27</f>
        <v>-18.053999999999995</v>
      </c>
      <c r="P27" s="500">
        <f>-1.517-52.532</f>
        <v>-54.048999999999999</v>
      </c>
      <c r="Q27" s="702">
        <f>-7.944-34.959</f>
        <v>-42.903000000000006</v>
      </c>
      <c r="R27" s="400">
        <f>S27-Q27</f>
        <v>-12.413999999999994</v>
      </c>
      <c r="S27" s="497">
        <v>-55.317</v>
      </c>
      <c r="T27" s="497">
        <v>-26.946999999999999</v>
      </c>
      <c r="U27" s="409">
        <f t="shared" ref="U27" si="171">U30-U15-U18-U21-U24</f>
        <v>-23.153000000000183</v>
      </c>
      <c r="V27" s="497">
        <v>-50.1</v>
      </c>
      <c r="W27" s="497">
        <v>-30.108000000000001</v>
      </c>
      <c r="X27" s="409">
        <f t="shared" ref="X27" si="172">X30-X15-X18-X21-X24</f>
        <v>-16.642999999999976</v>
      </c>
      <c r="Y27" s="497">
        <v>-46.750999999999998</v>
      </c>
      <c r="Z27" s="497">
        <v>-34.234999999999999</v>
      </c>
      <c r="AA27" s="409">
        <f t="shared" ref="AA27" si="173">AA30-AA15-AA18-AA21-AA24</f>
        <v>-23.816999999999865</v>
      </c>
      <c r="AB27" s="858">
        <v>-58.052</v>
      </c>
      <c r="AC27" s="497">
        <v>-35.790999999999997</v>
      </c>
      <c r="AD27" s="409">
        <f>AE27-AC27</f>
        <v>-25.30190271908014</v>
      </c>
      <c r="AE27" s="409">
        <f>-AE5*AE29</f>
        <v>-61.092902719080136</v>
      </c>
      <c r="AF27" s="409">
        <f>-AF5*AF29</f>
        <v>-36.510530057847447</v>
      </c>
      <c r="AG27" s="409">
        <f>AH27-AF27</f>
        <v>-26.626609328157514</v>
      </c>
      <c r="AH27" s="409">
        <f t="shared" ref="AH27:BF27" si="174">-AH5*AH29</f>
        <v>-63.137139386004961</v>
      </c>
      <c r="AI27" s="409">
        <f>-AI5*AI29</f>
        <v>-34.190954255747485</v>
      </c>
      <c r="AJ27" s="409">
        <f>AK27-AI27</f>
        <v>-33.38991569633265</v>
      </c>
      <c r="AK27" s="409">
        <f t="shared" si="174"/>
        <v>-67.580869952080135</v>
      </c>
      <c r="AL27" s="409"/>
      <c r="AM27" s="409"/>
      <c r="AN27" s="409">
        <f t="shared" si="174"/>
        <v>-72.312430063768517</v>
      </c>
      <c r="AO27" s="409"/>
      <c r="AP27" s="409"/>
      <c r="AQ27" s="409">
        <f t="shared" si="174"/>
        <v>-77.144338270356087</v>
      </c>
      <c r="AR27" s="409"/>
      <c r="AS27" s="409"/>
      <c r="AT27" s="409">
        <f t="shared" si="174"/>
        <v>-82.135878120194135</v>
      </c>
      <c r="AU27" s="409"/>
      <c r="AV27" s="409"/>
      <c r="AW27" s="409">
        <f t="shared" si="174"/>
        <v>-90.75594247422417</v>
      </c>
      <c r="AX27" s="409"/>
      <c r="AY27" s="409"/>
      <c r="AZ27" s="409">
        <f t="shared" si="174"/>
        <v>-100.35309437245732</v>
      </c>
      <c r="BA27" s="409"/>
      <c r="BB27" s="409"/>
      <c r="BC27" s="409">
        <f t="shared" si="174"/>
        <v>-111.04392802445891</v>
      </c>
      <c r="BD27" s="409"/>
      <c r="BE27" s="409"/>
      <c r="BF27" s="409">
        <f t="shared" si="174"/>
        <v>-122.95957857768725</v>
      </c>
      <c r="BG27" s="409"/>
      <c r="BH27" s="409"/>
      <c r="BI27" s="409">
        <f t="shared" ref="BI27" si="175">-BI5*BI29</f>
        <v>-136.24760989978333</v>
      </c>
      <c r="BJ27" s="322"/>
    </row>
    <row r="28" spans="1:62" s="312" customFormat="1" outlineLevel="1">
      <c r="A28" s="312" t="s">
        <v>1359</v>
      </c>
      <c r="B28" s="397">
        <f>B27/(-10.615)-1</f>
        <v>2.2892133772962842E-2</v>
      </c>
      <c r="C28" s="397"/>
      <c r="D28" s="397">
        <f>D27/(-18.167)-1</f>
        <v>0.11223647272527093</v>
      </c>
      <c r="E28" s="397">
        <f>E27/B27-1</f>
        <v>0.27776754466752629</v>
      </c>
      <c r="F28" s="397">
        <f>F27/C27-1</f>
        <v>8.7077449721865818E-2</v>
      </c>
      <c r="G28" s="397">
        <f>+G27/D27-1</f>
        <v>0.18954765911115512</v>
      </c>
      <c r="H28" s="397">
        <f>H27/E27-1</f>
        <v>0.2813175724376531</v>
      </c>
      <c r="I28" s="397">
        <f>I27/F27-1</f>
        <v>-7.1049006101161494E-2</v>
      </c>
      <c r="J28" s="397">
        <f>+J27/G27-1</f>
        <v>0.13234315193875834</v>
      </c>
      <c r="K28" s="397">
        <f>K27/H27-1</f>
        <v>0.10811723012881824</v>
      </c>
      <c r="L28" s="397">
        <f>L27/I27-1</f>
        <v>1.2251059322033973</v>
      </c>
      <c r="M28" s="397">
        <f>+M27/J27-1</f>
        <v>0.49553587831135193</v>
      </c>
      <c r="N28" s="397">
        <f>N27/K27-1</f>
        <v>0.82725011421899586</v>
      </c>
      <c r="O28" s="397">
        <f>O27/L27-1</f>
        <v>-0.14049035943823185</v>
      </c>
      <c r="P28" s="397">
        <f>+P27/M27-1</f>
        <v>0.32785475628930616</v>
      </c>
      <c r="Q28" s="397">
        <f t="shared" ref="Q28:Y28" si="176">+Q27/N27-1</f>
        <v>0.19191554382553133</v>
      </c>
      <c r="R28" s="397">
        <f t="shared" si="176"/>
        <v>-0.31239614489863754</v>
      </c>
      <c r="S28" s="397">
        <f>+S27/P27-1</f>
        <v>2.3460193528094919E-2</v>
      </c>
      <c r="T28" s="397">
        <f t="shared" si="176"/>
        <v>-0.37190872433163191</v>
      </c>
      <c r="U28" s="397">
        <f t="shared" si="176"/>
        <v>0.86507169324957256</v>
      </c>
      <c r="V28" s="397">
        <f t="shared" si="176"/>
        <v>-9.4310971310808567E-2</v>
      </c>
      <c r="W28" s="397">
        <f t="shared" si="176"/>
        <v>0.1173043381452481</v>
      </c>
      <c r="X28" s="397">
        <f t="shared" ref="X28:AC28" si="177">+X27/U27-1</f>
        <v>-0.28117306612534687</v>
      </c>
      <c r="Y28" s="397">
        <f t="shared" si="176"/>
        <v>-6.6846307385229564E-2</v>
      </c>
      <c r="Z28" s="397">
        <f t="shared" si="177"/>
        <v>0.13707320313537918</v>
      </c>
      <c r="AA28" s="397">
        <f t="shared" si="177"/>
        <v>0.43105209397343636</v>
      </c>
      <c r="AB28" s="828">
        <f t="shared" si="177"/>
        <v>0.24172744968022086</v>
      </c>
      <c r="AC28" s="397">
        <f t="shared" si="177"/>
        <v>4.5450562290054064E-2</v>
      </c>
      <c r="AD28" s="397">
        <f t="shared" ref="AD28" si="178">+AD27/AA27-1</f>
        <v>6.2346337451412159E-2</v>
      </c>
      <c r="AE28" s="397">
        <f>+AE27/AB27-1</f>
        <v>5.2382393700133312E-2</v>
      </c>
      <c r="AF28" s="397">
        <f t="shared" ref="AF28" si="179">+AF27/AC27-1</f>
        <v>2.0103658960281878E-2</v>
      </c>
      <c r="AG28" s="397">
        <f t="shared" ref="AG28" si="180">+AG27/AD27-1</f>
        <v>5.2356007521853876E-2</v>
      </c>
      <c r="AH28" s="397">
        <f>+AH27/AE27-1</f>
        <v>3.346111538233365E-2</v>
      </c>
      <c r="AI28" s="397">
        <f t="shared" ref="AI28" si="181">+AI27/AF27-1</f>
        <v>-6.3531693416250534E-2</v>
      </c>
      <c r="AJ28" s="397">
        <f t="shared" ref="AJ28" si="182">+AJ27/AG27-1</f>
        <v>0.25400554328271041</v>
      </c>
      <c r="AK28" s="397">
        <f>+AK27/AH27-1</f>
        <v>7.0382196743303371E-2</v>
      </c>
      <c r="AL28" s="397"/>
      <c r="AM28" s="397"/>
      <c r="AN28" s="397">
        <f>+AN27/AK27-1</f>
        <v>7.0013305763056977E-2</v>
      </c>
      <c r="AO28" s="397"/>
      <c r="AP28" s="397"/>
      <c r="AQ28" s="397">
        <f>+AQ27/AN27-1</f>
        <v>6.6819884248483508E-2</v>
      </c>
      <c r="AR28" s="397"/>
      <c r="AS28" s="397"/>
      <c r="AT28" s="397">
        <f>+AT27/AQ27-1</f>
        <v>6.4703903899531179E-2</v>
      </c>
      <c r="AU28" s="397"/>
      <c r="AV28" s="397"/>
      <c r="AW28" s="397">
        <f>+AW27/AT27-1</f>
        <v>0.10494883053926563</v>
      </c>
      <c r="AX28" s="397"/>
      <c r="AY28" s="397"/>
      <c r="AZ28" s="397">
        <f>+AZ27/AW27-1</f>
        <v>0.10574681543259667</v>
      </c>
      <c r="BA28" s="397"/>
      <c r="BB28" s="397"/>
      <c r="BC28" s="397">
        <f>+BC27/AZ27-1</f>
        <v>0.10653217739677157</v>
      </c>
      <c r="BD28" s="397"/>
      <c r="BE28" s="397"/>
      <c r="BF28" s="397">
        <f>+BF27/BC27-1</f>
        <v>0.10730573715479297</v>
      </c>
      <c r="BG28" s="397"/>
      <c r="BH28" s="397"/>
      <c r="BI28" s="397">
        <f t="shared" ref="BI28" si="183">+BI27/BF27-1</f>
        <v>0.10806828939886581</v>
      </c>
      <c r="BJ28" s="322"/>
    </row>
    <row r="29" spans="1:62" s="312" customFormat="1" outlineLevel="1">
      <c r="A29" s="312" t="s">
        <v>1598</v>
      </c>
      <c r="B29" s="402">
        <f>-B27/B5</f>
        <v>3.20136333616379E-2</v>
      </c>
      <c r="C29" s="402">
        <f t="shared" ref="C29:W29" si="184">-C27/C5</f>
        <v>3.5068369815992338E-2</v>
      </c>
      <c r="D29" s="402">
        <f t="shared" si="184"/>
        <v>3.3357931629942564E-2</v>
      </c>
      <c r="E29" s="402">
        <f t="shared" si="184"/>
        <v>3.5998028073999114E-2</v>
      </c>
      <c r="F29" s="402">
        <f t="shared" si="184"/>
        <v>3.8068765031580375E-2</v>
      </c>
      <c r="G29" s="402">
        <f t="shared" si="184"/>
        <v>3.6845364743971008E-2</v>
      </c>
      <c r="H29" s="402">
        <f t="shared" si="184"/>
        <v>4.036823496551771E-2</v>
      </c>
      <c r="I29" s="402">
        <f t="shared" si="184"/>
        <v>2.9537290829672453E-2</v>
      </c>
      <c r="J29" s="402">
        <f t="shared" si="184"/>
        <v>3.5813397160666179E-2</v>
      </c>
      <c r="K29" s="402">
        <f t="shared" si="184"/>
        <v>3.5684396250955562E-2</v>
      </c>
      <c r="L29" s="402">
        <f t="shared" si="184"/>
        <v>5.2484945403663226E-2</v>
      </c>
      <c r="M29" s="402">
        <f t="shared" si="184"/>
        <v>4.2745346780867152E-2</v>
      </c>
      <c r="N29" s="402">
        <f t="shared" si="184"/>
        <v>5.0628869778524196E-2</v>
      </c>
      <c r="O29" s="402">
        <f t="shared" si="184"/>
        <v>3.7872796574792152E-2</v>
      </c>
      <c r="P29" s="402">
        <f t="shared" si="184"/>
        <v>4.5508853972394431E-2</v>
      </c>
      <c r="Q29" s="402">
        <f t="shared" si="184"/>
        <v>4.8827816024191409E-2</v>
      </c>
      <c r="R29" s="402">
        <f t="shared" si="184"/>
        <v>2.2999920332159304E-2</v>
      </c>
      <c r="S29" s="402">
        <f t="shared" ref="S29:T29" si="185">-S27/S5</f>
        <v>3.8999576988155663E-2</v>
      </c>
      <c r="T29" s="402">
        <f t="shared" si="185"/>
        <v>3.0345823240393831E-2</v>
      </c>
      <c r="U29" s="402">
        <f t="shared" si="184"/>
        <v>3.9208945593841492E-2</v>
      </c>
      <c r="V29" s="402">
        <f t="shared" si="184"/>
        <v>3.3884457382009722E-2</v>
      </c>
      <c r="W29" s="402">
        <f t="shared" si="184"/>
        <v>3.3237951408208143E-2</v>
      </c>
      <c r="X29" s="402">
        <f t="shared" ref="X29:AB29" si="186">-X27/X5</f>
        <v>2.6660024220366858E-2</v>
      </c>
      <c r="Y29" s="402">
        <f t="shared" si="186"/>
        <v>3.0556348950616114E-2</v>
      </c>
      <c r="Z29" s="402">
        <f t="shared" si="186"/>
        <v>3.4320802005012536E-2</v>
      </c>
      <c r="AA29" s="402">
        <f t="shared" ref="AA29" si="187">-AA27/AA5</f>
        <v>3.4066187124448595E-2</v>
      </c>
      <c r="AB29" s="832">
        <f t="shared" si="186"/>
        <v>3.4217656881520217E-2</v>
      </c>
      <c r="AC29" s="402">
        <f t="shared" ref="AC29" si="188">-AC27/AC5</f>
        <v>3.2575771366160002E-2</v>
      </c>
      <c r="AD29" s="402">
        <v>2.5000000000000001E-2</v>
      </c>
      <c r="AE29" s="449">
        <v>3.3000000000000002E-2</v>
      </c>
      <c r="AF29" s="449">
        <v>3.1E-2</v>
      </c>
      <c r="AG29" s="449">
        <v>2.7E-2</v>
      </c>
      <c r="AH29" s="449">
        <v>3.1E-2</v>
      </c>
      <c r="AI29" s="449">
        <v>2.7E-2</v>
      </c>
      <c r="AJ29" s="449">
        <v>2.7E-2</v>
      </c>
      <c r="AK29" s="449">
        <f>AH29-0.1%</f>
        <v>0.03</v>
      </c>
      <c r="AL29" s="449">
        <v>2.7E-2</v>
      </c>
      <c r="AM29" s="449">
        <v>2.7E-2</v>
      </c>
      <c r="AN29" s="449">
        <f>AK29-0.1%</f>
        <v>2.8999999999999998E-2</v>
      </c>
      <c r="AO29" s="449">
        <v>2.7E-2</v>
      </c>
      <c r="AP29" s="449">
        <v>2.7E-2</v>
      </c>
      <c r="AQ29" s="449">
        <f>AN29-0.1%</f>
        <v>2.7999999999999997E-2</v>
      </c>
      <c r="AR29" s="449">
        <v>2.7E-2</v>
      </c>
      <c r="AS29" s="449">
        <v>2.7E-2</v>
      </c>
      <c r="AT29" s="449">
        <v>2.7E-2</v>
      </c>
      <c r="AU29" s="449">
        <v>2.7E-2</v>
      </c>
      <c r="AV29" s="449">
        <v>2.7E-2</v>
      </c>
      <c r="AW29" s="449">
        <v>2.7E-2</v>
      </c>
      <c r="AX29" s="449">
        <v>2.7E-2</v>
      </c>
      <c r="AY29" s="449">
        <v>2.7E-2</v>
      </c>
      <c r="AZ29" s="449">
        <v>2.7E-2</v>
      </c>
      <c r="BA29" s="449">
        <v>2.7E-2</v>
      </c>
      <c r="BB29" s="449">
        <v>2.7E-2</v>
      </c>
      <c r="BC29" s="449">
        <v>2.7E-2</v>
      </c>
      <c r="BD29" s="449">
        <v>2.7E-2</v>
      </c>
      <c r="BE29" s="449">
        <v>2.7E-2</v>
      </c>
      <c r="BF29" s="449">
        <v>2.7E-2</v>
      </c>
      <c r="BG29" s="449">
        <v>2.7E-2</v>
      </c>
      <c r="BH29" s="449">
        <v>2.7E-2</v>
      </c>
      <c r="BI29" s="449">
        <v>2.7E-2</v>
      </c>
      <c r="BJ29" s="322"/>
    </row>
    <row r="30" spans="1:62" s="312" customFormat="1" outlineLevel="1">
      <c r="A30" s="344" t="s">
        <v>1683</v>
      </c>
      <c r="B30" s="406">
        <f>+B27+B24+B21+B18+B15</f>
        <v>-57.492999999999995</v>
      </c>
      <c r="C30" s="406">
        <f t="shared" ref="C30:J30" si="189">+C27+C24+C21+C18+C15</f>
        <v>-49.394000000000005</v>
      </c>
      <c r="D30" s="406">
        <f t="shared" si="189"/>
        <v>-106.887</v>
      </c>
      <c r="E30" s="406">
        <f t="shared" si="189"/>
        <v>-76.207000000000008</v>
      </c>
      <c r="F30" s="406">
        <f t="shared" si="189"/>
        <v>-55.842000000000006</v>
      </c>
      <c r="G30" s="406">
        <f t="shared" si="189"/>
        <v>-132.04900000000001</v>
      </c>
      <c r="H30" s="406">
        <f t="shared" si="189"/>
        <v>-87.77300000000001</v>
      </c>
      <c r="I30" s="406">
        <f t="shared" si="189"/>
        <v>-69.466000000000008</v>
      </c>
      <c r="J30" s="406">
        <f t="shared" si="189"/>
        <v>-157.239</v>
      </c>
      <c r="K30" s="409">
        <f>K15+K18+K21+K24+K27</f>
        <v>-101.673</v>
      </c>
      <c r="L30" s="409">
        <f>L15+L18+L21+L24+L27</f>
        <v>-86.649000000000058</v>
      </c>
      <c r="M30" s="409">
        <f>M33-M11</f>
        <v>-188.32200000000006</v>
      </c>
      <c r="N30" s="409">
        <f>N15+N18+N21+N24+N27</f>
        <v>-136.52100000000002</v>
      </c>
      <c r="O30" s="409">
        <f>+P30-N30</f>
        <v>-113.84899999999999</v>
      </c>
      <c r="P30" s="409">
        <f>P15+P18+P21+P24+P27</f>
        <v>-250.37</v>
      </c>
      <c r="Q30" s="409">
        <f>Q15+Q18+Q21+Q24+Q27</f>
        <v>-174.49900000000002</v>
      </c>
      <c r="R30" s="400">
        <f t="shared" ref="R30:U30" si="190">R33-R11</f>
        <v>-124.53699999999996</v>
      </c>
      <c r="S30" s="409">
        <f>S15+S18+S21+S24+S27</f>
        <v>-299.11200000000002</v>
      </c>
      <c r="T30" s="409">
        <f>T15+T18+T21+T24+T27</f>
        <v>-169.38</v>
      </c>
      <c r="U30" s="488">
        <f t="shared" si="190"/>
        <v>-129.39900000000017</v>
      </c>
      <c r="V30" s="409">
        <f>V33-V11</f>
        <v>-298.77900000000011</v>
      </c>
      <c r="W30" s="409">
        <f>W15+W18+W21+W24+W27</f>
        <v>-172.803</v>
      </c>
      <c r="X30" s="488">
        <f t="shared" ref="X30" si="191">X33-X11</f>
        <v>-138.637</v>
      </c>
      <c r="Y30" s="409">
        <f>Y33-Y11</f>
        <v>-311.44</v>
      </c>
      <c r="Z30" s="409">
        <f>Z15+Z18+Z21+Z24+Z27</f>
        <v>-188.67599999999999</v>
      </c>
      <c r="AA30" s="400">
        <f t="shared" ref="AA30" si="192">AA33-AA11</f>
        <v>-159.90699999999987</v>
      </c>
      <c r="AB30" s="831">
        <f>AB33-AB11</f>
        <v>-348.58299999999986</v>
      </c>
      <c r="AC30" s="409">
        <f>AC15+AC18+AC21+AC24+AC27</f>
        <v>-206.69499999999999</v>
      </c>
      <c r="AD30" s="409">
        <f>AE30-AC30</f>
        <v>-170.3620721558658</v>
      </c>
      <c r="AE30" s="400">
        <f>AE15+AE18+AE21+AE24+AE27</f>
        <v>-377.0570721558658</v>
      </c>
      <c r="AF30" s="400">
        <f>AF15+AF18+AF21+AF24+AF27</f>
        <v>-215.98907597818561</v>
      </c>
      <c r="AG30" s="409">
        <f>AH30-AF30</f>
        <v>-194.34429276374107</v>
      </c>
      <c r="AH30" s="400">
        <f t="shared" ref="AH30:BF30" si="193">AH15+AH18+AH21+AH24+AH27</f>
        <v>-410.33336874192668</v>
      </c>
      <c r="AI30" s="400">
        <f>AI15+AI18+AI21+AI24+AI27</f>
        <v>-230.9660628378719</v>
      </c>
      <c r="AJ30" s="409">
        <f>AK30-AI30</f>
        <v>-220.63522521582428</v>
      </c>
      <c r="AK30" s="400">
        <f t="shared" si="193"/>
        <v>-451.60128805369618</v>
      </c>
      <c r="AL30" s="400"/>
      <c r="AM30" s="400"/>
      <c r="AN30" s="400">
        <f t="shared" si="193"/>
        <v>-495.89247329012665</v>
      </c>
      <c r="AO30" s="400"/>
      <c r="AP30" s="400"/>
      <c r="AQ30" s="400">
        <f t="shared" si="193"/>
        <v>-543.78907393897896</v>
      </c>
      <c r="AR30" s="400"/>
      <c r="AS30" s="400"/>
      <c r="AT30" s="400">
        <f t="shared" si="193"/>
        <v>-595.85474002223987</v>
      </c>
      <c r="AU30" s="400"/>
      <c r="AV30" s="400"/>
      <c r="AW30" s="400">
        <f t="shared" si="193"/>
        <v>-656.70833255747766</v>
      </c>
      <c r="AX30" s="400"/>
      <c r="AY30" s="400"/>
      <c r="AZ30" s="400">
        <f t="shared" si="193"/>
        <v>-724.2947567569546</v>
      </c>
      <c r="BA30" s="400"/>
      <c r="BB30" s="400"/>
      <c r="BC30" s="400">
        <f t="shared" si="193"/>
        <v>-799.39908523384793</v>
      </c>
      <c r="BD30" s="400"/>
      <c r="BE30" s="400"/>
      <c r="BF30" s="400">
        <f t="shared" si="193"/>
        <v>-882.90216412281313</v>
      </c>
      <c r="BG30" s="400"/>
      <c r="BH30" s="400"/>
      <c r="BI30" s="400">
        <f t="shared" ref="BI30" si="194">BI15+BI18+BI21+BI24+BI27</f>
        <v>-975.79278681908932</v>
      </c>
      <c r="BJ30" s="322"/>
    </row>
    <row r="31" spans="1:62" s="312" customFormat="1" outlineLevel="1">
      <c r="A31" s="312" t="s">
        <v>1682</v>
      </c>
      <c r="B31" s="409"/>
      <c r="C31" s="409"/>
      <c r="D31" s="400"/>
      <c r="E31" s="402">
        <f t="shared" ref="E31:Z31" si="195">E30/B30-1</f>
        <v>0.32550049571252182</v>
      </c>
      <c r="F31" s="402">
        <f t="shared" si="195"/>
        <v>0.13054217111390054</v>
      </c>
      <c r="G31" s="402">
        <f t="shared" si="195"/>
        <v>0.2354074864108826</v>
      </c>
      <c r="H31" s="402">
        <f t="shared" si="195"/>
        <v>0.15177083470022446</v>
      </c>
      <c r="I31" s="402">
        <f t="shared" si="195"/>
        <v>0.24397406969664415</v>
      </c>
      <c r="J31" s="402">
        <f t="shared" si="195"/>
        <v>0.19076251997364602</v>
      </c>
      <c r="K31" s="402">
        <f t="shared" si="195"/>
        <v>0.15836305014070384</v>
      </c>
      <c r="L31" s="402">
        <f t="shared" si="195"/>
        <v>0.24735841994644936</v>
      </c>
      <c r="M31" s="402">
        <f t="shared" si="195"/>
        <v>0.19767996489420603</v>
      </c>
      <c r="N31" s="402">
        <f t="shared" si="195"/>
        <v>0.34274586173320354</v>
      </c>
      <c r="O31" s="402">
        <f t="shared" si="195"/>
        <v>0.3139101432215019</v>
      </c>
      <c r="P31" s="402">
        <f t="shared" si="195"/>
        <v>0.32947823408842258</v>
      </c>
      <c r="Q31" s="402">
        <f t="shared" si="195"/>
        <v>0.2781843086411615</v>
      </c>
      <c r="R31" s="402">
        <f t="shared" si="195"/>
        <v>9.3878734112728068E-2</v>
      </c>
      <c r="S31" s="402">
        <f>S30/P30-1</f>
        <v>0.19467987378679563</v>
      </c>
      <c r="T31" s="402">
        <f t="shared" si="195"/>
        <v>-2.9335411664250355E-2</v>
      </c>
      <c r="U31" s="402">
        <f t="shared" si="195"/>
        <v>3.9040606406129941E-2</v>
      </c>
      <c r="V31" s="402">
        <f t="shared" si="195"/>
        <v>-1.1132953542483115E-3</v>
      </c>
      <c r="W31" s="402">
        <f t="shared" ref="W31" si="196">W30/T30-1</f>
        <v>2.020899752036831E-2</v>
      </c>
      <c r="X31" s="402">
        <f>X30/U30-1</f>
        <v>7.1391587261105727E-2</v>
      </c>
      <c r="Y31" s="402">
        <f t="shared" si="195"/>
        <v>4.2375802850936228E-2</v>
      </c>
      <c r="Z31" s="402">
        <f t="shared" si="195"/>
        <v>9.1856044165899764E-2</v>
      </c>
      <c r="AA31" s="402">
        <f>AA30/X30-1</f>
        <v>0.15342224658640813</v>
      </c>
      <c r="AB31" s="832">
        <f>AB30/Y30-1</f>
        <v>0.11926213716927769</v>
      </c>
      <c r="AC31" s="402">
        <f t="shared" ref="AC31" si="197">AC30/Z30-1</f>
        <v>9.5502342640293447E-2</v>
      </c>
      <c r="AD31" s="402">
        <f>AD30/AA30-1</f>
        <v>6.5382204380458386E-2</v>
      </c>
      <c r="AE31" s="402">
        <f>AE30/AB30-1</f>
        <v>8.1685200241738531E-2</v>
      </c>
      <c r="AF31" s="402">
        <f t="shared" ref="AF31" si="198">AF30/AC30-1</f>
        <v>4.4965170798449972E-2</v>
      </c>
      <c r="AG31" s="402">
        <f>AG30/AD30-1</f>
        <v>0.14077206448823731</v>
      </c>
      <c r="AH31" s="402">
        <f>AH30/AE30-1</f>
        <v>8.8252678555529984E-2</v>
      </c>
      <c r="AI31" s="402">
        <f t="shared" ref="AI31" si="199">AI30/AF30-1</f>
        <v>6.9341409012735999E-2</v>
      </c>
      <c r="AJ31" s="402">
        <f>AJ30/AG30-1</f>
        <v>0.13528018794997165</v>
      </c>
      <c r="AK31" s="402">
        <f t="shared" ref="AK31:BI31" si="200">AK30/AH30-1</f>
        <v>0.1005716874508551</v>
      </c>
      <c r="AL31" s="402">
        <f t="shared" si="200"/>
        <v>-1</v>
      </c>
      <c r="AM31" s="402">
        <f t="shared" si="200"/>
        <v>-1</v>
      </c>
      <c r="AN31" s="402">
        <f t="shared" si="200"/>
        <v>9.8075861181255553E-2</v>
      </c>
      <c r="AO31" s="402" t="e">
        <f t="shared" si="200"/>
        <v>#DIV/0!</v>
      </c>
      <c r="AP31" s="402" t="e">
        <f t="shared" si="200"/>
        <v>#DIV/0!</v>
      </c>
      <c r="AQ31" s="402">
        <f t="shared" si="200"/>
        <v>9.6586665917855141E-2</v>
      </c>
      <c r="AR31" s="402" t="e">
        <f t="shared" si="200"/>
        <v>#DIV/0!</v>
      </c>
      <c r="AS31" s="402" t="e">
        <f t="shared" si="200"/>
        <v>#DIV/0!</v>
      </c>
      <c r="AT31" s="402">
        <f t="shared" si="200"/>
        <v>9.5746068794871464E-2</v>
      </c>
      <c r="AU31" s="402" t="e">
        <f t="shared" si="200"/>
        <v>#DIV/0!</v>
      </c>
      <c r="AV31" s="402" t="e">
        <f t="shared" si="200"/>
        <v>#DIV/0!</v>
      </c>
      <c r="AW31" s="402">
        <f t="shared" si="200"/>
        <v>0.10212823436290264</v>
      </c>
      <c r="AX31" s="402" t="e">
        <f t="shared" si="200"/>
        <v>#DIV/0!</v>
      </c>
      <c r="AY31" s="402" t="e">
        <f t="shared" si="200"/>
        <v>#DIV/0!</v>
      </c>
      <c r="AZ31" s="402">
        <f t="shared" si="200"/>
        <v>0.10291695848637872</v>
      </c>
      <c r="BA31" s="402" t="e">
        <f t="shared" si="200"/>
        <v>#DIV/0!</v>
      </c>
      <c r="BB31" s="402" t="e">
        <f t="shared" si="200"/>
        <v>#DIV/0!</v>
      </c>
      <c r="BC31" s="402">
        <f t="shared" si="200"/>
        <v>0.10369304454608308</v>
      </c>
      <c r="BD31" s="402" t="e">
        <f t="shared" si="200"/>
        <v>#DIV/0!</v>
      </c>
      <c r="BE31" s="402" t="e">
        <f t="shared" si="200"/>
        <v>#DIV/0!</v>
      </c>
      <c r="BF31" s="402">
        <f t="shared" si="200"/>
        <v>0.10445731103699996</v>
      </c>
      <c r="BG31" s="402" t="e">
        <f t="shared" si="200"/>
        <v>#DIV/0!</v>
      </c>
      <c r="BH31" s="402" t="e">
        <f t="shared" si="200"/>
        <v>#DIV/0!</v>
      </c>
      <c r="BI31" s="402">
        <f t="shared" si="200"/>
        <v>0.10521055046746364</v>
      </c>
      <c r="BJ31" s="323"/>
    </row>
    <row r="32" spans="1:62" s="312" customFormat="1" outlineLevel="1">
      <c r="A32" s="344"/>
      <c r="B32" s="406"/>
      <c r="C32" s="406"/>
      <c r="D32" s="406"/>
      <c r="E32" s="363"/>
      <c r="F32" s="363"/>
      <c r="G32" s="363"/>
      <c r="H32" s="480">
        <f t="shared" ref="H32:I32" si="201">H30/H5</f>
        <v>-0.19931603125546415</v>
      </c>
      <c r="I32" s="480">
        <f t="shared" si="201"/>
        <v>-0.21735566152267238</v>
      </c>
      <c r="J32" s="363"/>
      <c r="K32" s="480">
        <f t="shared" ref="K32:L32" si="202">K30/K5</f>
        <v>-0.18417887304042868</v>
      </c>
      <c r="L32" s="480">
        <f t="shared" si="202"/>
        <v>-0.21650883286274719</v>
      </c>
      <c r="M32" s="363"/>
      <c r="N32" s="480">
        <f t="shared" ref="N32:O32" si="203">N30/N5</f>
        <v>-0.19202400141780529</v>
      </c>
      <c r="O32" s="480">
        <f t="shared" si="203"/>
        <v>-0.23882685373011592</v>
      </c>
      <c r="P32" s="363"/>
      <c r="Q32" s="480"/>
      <c r="R32" s="480"/>
      <c r="S32" s="363"/>
      <c r="T32" s="480"/>
      <c r="U32" s="480"/>
      <c r="V32" s="363"/>
      <c r="W32" s="480"/>
      <c r="X32" s="480"/>
      <c r="Y32" s="363"/>
      <c r="Z32" s="480"/>
      <c r="AA32" s="480"/>
      <c r="AB32" s="851"/>
      <c r="AC32" s="480"/>
      <c r="AD32" s="480"/>
      <c r="AE32" s="363"/>
      <c r="AF32" s="480"/>
      <c r="AG32" s="480"/>
      <c r="AH32" s="363"/>
      <c r="AI32" s="480"/>
      <c r="AJ32" s="480"/>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H32" s="363"/>
      <c r="BI32" s="363"/>
      <c r="BJ32" s="322"/>
    </row>
    <row r="33" spans="1:62" s="324" customFormat="1">
      <c r="A33" s="361" t="s">
        <v>1684</v>
      </c>
      <c r="B33" s="405">
        <f>B11+B30</f>
        <v>54.227999999999952</v>
      </c>
      <c r="C33" s="405">
        <f t="shared" ref="C33:Q33" si="204">C11+C30</f>
        <v>35.561000000000035</v>
      </c>
      <c r="D33" s="405">
        <f t="shared" si="204"/>
        <v>89.789000000000044</v>
      </c>
      <c r="E33" s="405">
        <f t="shared" si="204"/>
        <v>61.515000000000029</v>
      </c>
      <c r="F33" s="405">
        <f t="shared" si="204"/>
        <v>38.695999999999948</v>
      </c>
      <c r="G33" s="405">
        <f t="shared" si="204"/>
        <v>100.21100000000004</v>
      </c>
      <c r="H33" s="405">
        <f t="shared" si="204"/>
        <v>70.498000000000005</v>
      </c>
      <c r="I33" s="405">
        <f t="shared" si="204"/>
        <v>43.463000000000022</v>
      </c>
      <c r="J33" s="405">
        <f t="shared" si="204"/>
        <v>113.9610000000001</v>
      </c>
      <c r="K33" s="405">
        <f t="shared" si="204"/>
        <v>85.25</v>
      </c>
      <c r="L33" s="405">
        <f t="shared" si="204"/>
        <v>46.988</v>
      </c>
      <c r="M33" s="405">
        <f>M44-M36</f>
        <v>132.238</v>
      </c>
      <c r="N33" s="405">
        <f t="shared" si="204"/>
        <v>112.42099999999994</v>
      </c>
      <c r="O33" s="405">
        <f t="shared" si="204"/>
        <v>50.877000000000066</v>
      </c>
      <c r="P33" s="405">
        <f>P11+P30</f>
        <v>163.29800000000012</v>
      </c>
      <c r="Q33" s="405">
        <f t="shared" si="204"/>
        <v>125.50000000000011</v>
      </c>
      <c r="R33" s="405">
        <f t="shared" ref="R33:U33" si="205">R44-R36</f>
        <v>61.36399999999999</v>
      </c>
      <c r="S33" s="405">
        <f>S11+S30</f>
        <v>186.78800000000007</v>
      </c>
      <c r="T33" s="405">
        <f>T11+T30</f>
        <v>141.88599999999997</v>
      </c>
      <c r="U33" s="405">
        <f t="shared" si="205"/>
        <v>76.276999999999987</v>
      </c>
      <c r="V33" s="979">
        <f>V44-V36</f>
        <v>218.16299999999998</v>
      </c>
      <c r="W33" s="405">
        <f>W11+W30</f>
        <v>159.23799999999994</v>
      </c>
      <c r="X33" s="405">
        <f>Y33-W33</f>
        <v>86.260000000000048</v>
      </c>
      <c r="Y33" s="404">
        <f>Y44-Y36</f>
        <v>245.49799999999999</v>
      </c>
      <c r="Z33" s="405">
        <f>Z11+Z30</f>
        <v>177.57599999999985</v>
      </c>
      <c r="AA33" s="405">
        <f>AB33-Z33</f>
        <v>94.318000000000154</v>
      </c>
      <c r="AB33" s="868">
        <f>AB44-AB36</f>
        <v>271.89400000000001</v>
      </c>
      <c r="AC33" s="405">
        <f>AC11+AC30</f>
        <v>182.762</v>
      </c>
      <c r="AD33" s="405">
        <f>AE33-AC33</f>
        <v>97.594207465628415</v>
      </c>
      <c r="AE33" s="405">
        <f>AE11+AE30</f>
        <v>280.35620746562842</v>
      </c>
      <c r="AF33" s="405">
        <f>AF11+AF30</f>
        <v>196.02680803350148</v>
      </c>
      <c r="AG33" s="405">
        <f>AH33-AF33</f>
        <v>122.75106078417798</v>
      </c>
      <c r="AH33" s="405">
        <f t="shared" ref="AH33:BF33" si="206">AH11+AH30</f>
        <v>318.77786881767946</v>
      </c>
      <c r="AI33" s="405">
        <f>AI11+AI30</f>
        <v>227.44536747427009</v>
      </c>
      <c r="AJ33" s="405">
        <f>AK33-AI33</f>
        <v>130.78315076206462</v>
      </c>
      <c r="AK33" s="405">
        <f t="shared" si="206"/>
        <v>358.22851823633471</v>
      </c>
      <c r="AL33" s="405"/>
      <c r="AM33" s="405"/>
      <c r="AN33" s="405">
        <f t="shared" si="206"/>
        <v>406.34286200559256</v>
      </c>
      <c r="AO33" s="405"/>
      <c r="AP33" s="405"/>
      <c r="AQ33" s="405">
        <f>AQ11+AQ30</f>
        <v>458.9614204737095</v>
      </c>
      <c r="AR33" s="405"/>
      <c r="AS33" s="405"/>
      <c r="AT33" s="405">
        <f t="shared" si="206"/>
        <v>518.38636302953046</v>
      </c>
      <c r="AU33" s="405"/>
      <c r="AV33" s="405"/>
      <c r="AW33" s="405">
        <f t="shared" si="206"/>
        <v>582.25125375731591</v>
      </c>
      <c r="AX33" s="405"/>
      <c r="AY33" s="405"/>
      <c r="AZ33" s="405">
        <f t="shared" si="206"/>
        <v>654.24964681628546</v>
      </c>
      <c r="BA33" s="405"/>
      <c r="BB33" s="405"/>
      <c r="BC33" s="405">
        <f t="shared" si="206"/>
        <v>735.44565845341231</v>
      </c>
      <c r="BD33" s="405"/>
      <c r="BE33" s="405"/>
      <c r="BF33" s="405">
        <f t="shared" si="206"/>
        <v>827.04644416723374</v>
      </c>
      <c r="BG33" s="405"/>
      <c r="BH33" s="405"/>
      <c r="BI33" s="405">
        <f t="shared" ref="BI33" si="207">BI11+BI30</f>
        <v>928.7921385469017</v>
      </c>
      <c r="BJ33" s="352"/>
    </row>
    <row r="34" spans="1:62" s="312" customFormat="1">
      <c r="A34" s="344" t="s">
        <v>1616</v>
      </c>
      <c r="B34" s="408"/>
      <c r="C34" s="408"/>
      <c r="D34" s="402"/>
      <c r="E34" s="408"/>
      <c r="F34" s="408"/>
      <c r="G34" s="409"/>
      <c r="H34" s="408"/>
      <c r="I34" s="408"/>
      <c r="J34" s="409"/>
      <c r="K34" s="408"/>
      <c r="L34" s="408"/>
      <c r="M34" s="406">
        <f>+M33+7.7+3.3-13.6-9.6</f>
        <v>120.03800000000001</v>
      </c>
      <c r="N34" s="402">
        <f>(N11-N33)/N5</f>
        <v>0.19202400141780529</v>
      </c>
      <c r="O34" s="402">
        <f t="shared" ref="O34" si="208">(O11-O33)/O5</f>
        <v>0.23882685373011592</v>
      </c>
      <c r="P34" s="402"/>
      <c r="Q34" s="402"/>
      <c r="R34" s="402"/>
      <c r="S34" s="402"/>
      <c r="T34" s="402"/>
      <c r="U34" s="402"/>
      <c r="V34" s="402"/>
      <c r="W34" s="402">
        <f>W33/Y33</f>
        <v>0.64863257541812946</v>
      </c>
      <c r="X34" s="402"/>
      <c r="Y34" s="402"/>
      <c r="Z34" s="402"/>
      <c r="AA34" s="402"/>
      <c r="AB34" s="832"/>
      <c r="AC34" s="402"/>
      <c r="AD34" s="402"/>
      <c r="AE34" s="402"/>
      <c r="AF34" s="402"/>
      <c r="AG34" s="402"/>
      <c r="AH34" s="402"/>
      <c r="AI34" s="402">
        <f>AI33/AK33</f>
        <v>0.6349169758846982</v>
      </c>
      <c r="AJ34" s="402"/>
      <c r="AK34" s="402"/>
      <c r="AL34" s="402"/>
      <c r="AM34" s="402"/>
      <c r="AN34" s="402"/>
      <c r="AO34" s="402"/>
      <c r="AP34" s="402"/>
      <c r="AQ34" s="402"/>
      <c r="AR34" s="402"/>
      <c r="AS34" s="402"/>
      <c r="AT34" s="402"/>
      <c r="AU34" s="402"/>
      <c r="AV34" s="402"/>
      <c r="AW34" s="402"/>
      <c r="AX34" s="402"/>
      <c r="AY34" s="402"/>
      <c r="AZ34" s="402"/>
      <c r="BA34" s="402"/>
      <c r="BB34" s="402"/>
      <c r="BC34" s="402"/>
      <c r="BD34" s="402"/>
      <c r="BE34" s="402"/>
      <c r="BF34" s="402"/>
      <c r="BG34" s="402"/>
      <c r="BH34" s="402"/>
      <c r="BI34" s="402"/>
      <c r="BJ34" s="323"/>
    </row>
    <row r="35" spans="1:62" s="312" customFormat="1">
      <c r="B35" s="408"/>
      <c r="C35" s="408"/>
      <c r="D35" s="402"/>
      <c r="E35" s="408"/>
      <c r="F35" s="408"/>
      <c r="G35" s="409"/>
      <c r="H35" s="408"/>
      <c r="I35" s="408"/>
      <c r="J35" s="409"/>
      <c r="K35" s="408"/>
      <c r="L35" s="408"/>
      <c r="M35" s="406"/>
      <c r="N35" s="408"/>
      <c r="O35" s="408"/>
      <c r="P35" s="409"/>
      <c r="Q35" s="408"/>
      <c r="R35" s="409"/>
      <c r="S35" s="409"/>
      <c r="T35" s="408"/>
      <c r="U35" s="409"/>
      <c r="V35" s="409"/>
      <c r="W35" s="408"/>
      <c r="X35" s="409"/>
      <c r="Y35" s="409"/>
      <c r="Z35" s="408"/>
      <c r="AA35" s="409"/>
      <c r="AB35" s="831"/>
      <c r="AC35" s="408"/>
      <c r="AD35" s="402"/>
      <c r="AE35" s="402"/>
      <c r="AF35" s="402"/>
      <c r="AG35" s="402"/>
      <c r="AH35" s="402"/>
      <c r="AI35" s="402"/>
      <c r="AJ35" s="402"/>
      <c r="AK35" s="402"/>
      <c r="AL35" s="402"/>
      <c r="AM35" s="402"/>
      <c r="AN35" s="402"/>
      <c r="AO35" s="402"/>
      <c r="AP35" s="402"/>
      <c r="AQ35" s="402"/>
      <c r="AR35" s="402"/>
      <c r="AS35" s="402"/>
      <c r="AT35" s="402"/>
      <c r="AU35" s="402"/>
      <c r="AV35" s="402"/>
      <c r="AW35" s="402"/>
      <c r="AX35" s="402"/>
      <c r="AY35" s="402"/>
      <c r="AZ35" s="402"/>
      <c r="BA35" s="402"/>
      <c r="BB35" s="402"/>
      <c r="BC35" s="402"/>
      <c r="BD35" s="402"/>
      <c r="BE35" s="402"/>
      <c r="BF35" s="402"/>
      <c r="BG35" s="402"/>
      <c r="BH35" s="402"/>
      <c r="BI35" s="402"/>
      <c r="BJ35" s="323"/>
    </row>
    <row r="36" spans="1:62" s="312" customFormat="1">
      <c r="A36" s="312" t="s">
        <v>1581</v>
      </c>
      <c r="B36" s="500">
        <v>-5.0860000000000003</v>
      </c>
      <c r="C36" s="400" t="e">
        <f>+#REF!-#REF!</f>
        <v>#REF!</v>
      </c>
      <c r="D36" s="500">
        <v>-10.769</v>
      </c>
      <c r="E36" s="500">
        <v>-6.3159999999999998</v>
      </c>
      <c r="F36" s="400">
        <f>G36-E36</f>
        <v>-6.9859999999999998</v>
      </c>
      <c r="G36" s="500">
        <v>-13.302</v>
      </c>
      <c r="H36" s="500">
        <f>-8.16</f>
        <v>-8.16</v>
      </c>
      <c r="I36" s="400">
        <f>J36-H36</f>
        <v>-8.4559999999999995</v>
      </c>
      <c r="J36" s="500">
        <v>-16.616</v>
      </c>
      <c r="K36" s="500">
        <v>-12.163</v>
      </c>
      <c r="L36" s="400">
        <f>+M36-K36</f>
        <v>-10.175000000000001</v>
      </c>
      <c r="M36" s="500">
        <v>-22.338000000000001</v>
      </c>
      <c r="N36" s="500">
        <v>-17.815000000000001</v>
      </c>
      <c r="O36" s="400">
        <f>+P36-N36</f>
        <v>-9.0529999999999973</v>
      </c>
      <c r="P36" s="500">
        <v>-26.867999999999999</v>
      </c>
      <c r="Q36" s="500">
        <v>-12.989000000000001</v>
      </c>
      <c r="R36" s="400">
        <f>S36-Q36</f>
        <v>-17.474999999999998</v>
      </c>
      <c r="S36" s="500">
        <v>-30.463999999999999</v>
      </c>
      <c r="T36" s="500">
        <v>-20.777999999999999</v>
      </c>
      <c r="U36" s="400">
        <f>PPE_and_intangibles!U11+PPE_and_intangibles!U37+PPE_and_intangibles!U44</f>
        <v>-25.364000000000004</v>
      </c>
      <c r="V36" s="980">
        <f>PPE_and_intangibles!V11+PPE_and_intangibles!V37+PPE_and_intangibles!V44</f>
        <v>-46.141999999999996</v>
      </c>
      <c r="W36" s="500">
        <v>-28.227</v>
      </c>
      <c r="X36" s="400">
        <f>Y36-W36</f>
        <v>-31.557999999999996</v>
      </c>
      <c r="Y36" s="980">
        <v>-59.784999999999997</v>
      </c>
      <c r="Z36" s="500">
        <v>-32.792000000000002</v>
      </c>
      <c r="AA36" s="400">
        <f>AB36-Z36</f>
        <v>-34.536000000000001</v>
      </c>
      <c r="AB36" s="1156">
        <v>-67.328000000000003</v>
      </c>
      <c r="AC36" s="500">
        <v>-36.936999999999998</v>
      </c>
      <c r="AD36" s="400">
        <f>PPE_and_intangibles!AD11+PPE_and_intangibles!AD37+PPE_and_intangibles!AD44</f>
        <v>-38.135986826996444</v>
      </c>
      <c r="AE36" s="400">
        <f>PPE_and_intangibles!AE11+PPE_and_intangibles!AE37+PPE_and_intangibles!AE44</f>
        <v>-73.883378007412034</v>
      </c>
      <c r="AF36" s="400">
        <f>PPE_and_intangibles!AF11+PPE_and_intangibles!AF37+PPE_and_intangibles!AF44</f>
        <v>-40.029878361488699</v>
      </c>
      <c r="AG36" s="400">
        <f>PPE_and_intangibles!AG11+PPE_and_intangibles!AG37+PPE_and_intangibles!AG44</f>
        <v>-40.029878361488699</v>
      </c>
      <c r="AH36" s="400">
        <f>PPE_and_intangibles!AH11+PPE_and_intangibles!AH37+PPE_and_intangibles!AH44</f>
        <v>-80.059756722977397</v>
      </c>
      <c r="AI36" s="400">
        <f>PPE_and_intangibles!AI11+PPE_and_intangibles!AI37+PPE_and_intangibles!AI44</f>
        <v>-43.712337524201416</v>
      </c>
      <c r="AJ36" s="400">
        <f>PPE_and_intangibles!AJ11+PPE_and_intangibles!AJ37+PPE_and_intangibles!AJ44</f>
        <v>-43.712337524201416</v>
      </c>
      <c r="AK36" s="400">
        <f>PPE_and_intangibles!AK11+PPE_and_intangibles!AK37+PPE_and_intangibles!AK44</f>
        <v>-87.424675048402833</v>
      </c>
      <c r="AL36" s="400"/>
      <c r="AM36" s="400"/>
      <c r="AN36" s="400">
        <f>PPE_and_intangibles!AN11+PPE_and_intangibles!AN37+PPE_and_intangibles!AN44</f>
        <v>-95.524508675248029</v>
      </c>
      <c r="AO36" s="400"/>
      <c r="AP36" s="400"/>
      <c r="AQ36" s="400">
        <f>PPE_and_intangibles!AQ11+PPE_and_intangibles!AQ37+PPE_and_intangibles!AQ44</f>
        <v>-104.16941943613006</v>
      </c>
      <c r="AR36" s="400"/>
      <c r="AS36" s="400"/>
      <c r="AT36" s="400">
        <f>PPE_and_intangibles!AT11+PPE_and_intangibles!AT37+PPE_and_intangibles!AT44</f>
        <v>-113.49631526209532</v>
      </c>
      <c r="AU36" s="400"/>
      <c r="AV36" s="400"/>
      <c r="AW36" s="400">
        <f>PPE_and_intangibles!AW11+PPE_and_intangibles!AW37+PPE_and_intangibles!AW44</f>
        <v>-125.40762081936802</v>
      </c>
      <c r="AX36" s="400"/>
      <c r="AY36" s="400"/>
      <c r="AZ36" s="400">
        <f>PPE_and_intangibles!AZ11+PPE_and_intangibles!AZ37+PPE_and_intangibles!AZ44</f>
        <v>-138.66907735199482</v>
      </c>
      <c r="BA36" s="400"/>
      <c r="BB36" s="400"/>
      <c r="BC36" s="400">
        <f>PPE_and_intangibles!BC11+PPE_and_intangibles!BC37+PPE_and_intangibles!BC44</f>
        <v>-153.44179609990417</v>
      </c>
      <c r="BD36" s="400"/>
      <c r="BE36" s="400"/>
      <c r="BF36" s="400">
        <f>PPE_and_intangibles!BF11+PPE_and_intangibles!BF37+PPE_and_intangibles!BF44</f>
        <v>-169.90698114075985</v>
      </c>
      <c r="BG36" s="400"/>
      <c r="BH36" s="400"/>
      <c r="BI36" s="400">
        <f>PPE_and_intangibles!BI11+PPE_and_intangibles!BI37+PPE_and_intangibles!BI44</f>
        <v>-188.26853794956713</v>
      </c>
      <c r="BJ36" s="337"/>
    </row>
    <row r="37" spans="1:62" s="312" customFormat="1" outlineLevel="1">
      <c r="A37" s="312" t="s">
        <v>1682</v>
      </c>
      <c r="B37" s="409"/>
      <c r="C37" s="409"/>
      <c r="D37" s="400"/>
      <c r="E37" s="402">
        <f t="shared" ref="E37" si="209">E36/B36-1</f>
        <v>0.24184034604797477</v>
      </c>
      <c r="F37" s="402" t="e">
        <f t="shared" ref="F37" si="210">F36/C36-1</f>
        <v>#REF!</v>
      </c>
      <c r="G37" s="402">
        <f t="shared" ref="G37" si="211">G36/D36-1</f>
        <v>0.23521218311820968</v>
      </c>
      <c r="H37" s="402">
        <f t="shared" ref="H37" si="212">H36/E36-1</f>
        <v>0.2919569347688411</v>
      </c>
      <c r="I37" s="402">
        <f t="shared" ref="I37" si="213">I36/F36-1</f>
        <v>0.21042084168336661</v>
      </c>
      <c r="J37" s="402">
        <f t="shared" ref="J37" si="214">J36/G36-1</f>
        <v>0.24913546835062395</v>
      </c>
      <c r="K37" s="402">
        <f t="shared" ref="K37" si="215">K36/H36-1</f>
        <v>0.490563725490196</v>
      </c>
      <c r="L37" s="402">
        <f t="shared" ref="L37" si="216">L36/I36-1</f>
        <v>0.20328760643330201</v>
      </c>
      <c r="M37" s="402">
        <f t="shared" ref="M37" si="217">M36/J36-1</f>
        <v>0.34436687530091481</v>
      </c>
      <c r="N37" s="402">
        <f t="shared" ref="N37" si="218">N36/K36-1</f>
        <v>0.46468798816081569</v>
      </c>
      <c r="O37" s="402">
        <f t="shared" ref="O37" si="219">O36/L36-1</f>
        <v>-0.11027027027027059</v>
      </c>
      <c r="P37" s="402">
        <f t="shared" ref="P37" si="220">P36/M36-1</f>
        <v>0.20279344614558137</v>
      </c>
      <c r="Q37" s="402">
        <f t="shared" ref="Q37" si="221">Q36/N36-1</f>
        <v>-0.27089531293853497</v>
      </c>
      <c r="R37" s="402">
        <f t="shared" ref="R37" si="222">R36/O36-1</f>
        <v>0.93029934828233762</v>
      </c>
      <c r="S37" s="402">
        <f>S36/P36-1</f>
        <v>0.133839511686765</v>
      </c>
      <c r="T37" s="402">
        <f t="shared" ref="T37" si="223">T36/Q36-1</f>
        <v>0.59966125182847008</v>
      </c>
      <c r="U37" s="402">
        <f t="shared" ref="U37" si="224">U36/R36-1</f>
        <v>0.45144492131616643</v>
      </c>
      <c r="V37" s="402">
        <f t="shared" ref="V37" si="225">V36/S36-1</f>
        <v>0.51464023109243695</v>
      </c>
      <c r="W37" s="402">
        <f t="shared" ref="W37" si="226">W36/T36-1</f>
        <v>0.35850418712099352</v>
      </c>
      <c r="X37" s="402">
        <f>X36/U36-1</f>
        <v>0.24420438416653489</v>
      </c>
      <c r="Y37" s="402">
        <f t="shared" ref="Y37" si="227">Y36/V36-1</f>
        <v>0.29567422305058311</v>
      </c>
      <c r="Z37" s="402">
        <f t="shared" ref="Z37" si="228">Z36/W36-1</f>
        <v>0.16172458993162575</v>
      </c>
      <c r="AA37" s="402">
        <f>AA36/X36-1</f>
        <v>9.4365929399835347E-2</v>
      </c>
      <c r="AB37" s="832">
        <f>AB36/Y36-1</f>
        <v>0.12616877143096095</v>
      </c>
      <c r="AC37" s="402">
        <f t="shared" ref="AC37" si="229">AC36/Z36-1</f>
        <v>0.1264027811661379</v>
      </c>
      <c r="AD37" s="402">
        <f>AD36/AA36-1</f>
        <v>0.10423867347105742</v>
      </c>
      <c r="AE37" s="402">
        <f>AE36/AB36-1</f>
        <v>9.7364811184232902E-2</v>
      </c>
      <c r="AF37" s="402">
        <f t="shared" ref="AF37" si="230">AF36/AC36-1</f>
        <v>8.3733880972702179E-2</v>
      </c>
      <c r="AG37" s="402">
        <f>AG36/AD36-1</f>
        <v>4.9661532113588036E-2</v>
      </c>
      <c r="AH37" s="402">
        <f>AH36/AE36-1</f>
        <v>8.3596322774328824E-2</v>
      </c>
      <c r="AI37" s="402">
        <f t="shared" ref="AI37" si="231">AI36/AF36-1</f>
        <v>9.1992764241209279E-2</v>
      </c>
      <c r="AJ37" s="402">
        <f>AJ36/AG36-1</f>
        <v>9.1992764241209279E-2</v>
      </c>
      <c r="AK37" s="402">
        <f t="shared" ref="AK37" si="232">AK36/AH36-1</f>
        <v>9.1992764241209279E-2</v>
      </c>
      <c r="AL37" s="402">
        <f t="shared" ref="AL37" si="233">AL36/AI36-1</f>
        <v>-1</v>
      </c>
      <c r="AM37" s="402">
        <f t="shared" ref="AM37" si="234">AM36/AJ36-1</f>
        <v>-1</v>
      </c>
      <c r="AN37" s="402">
        <f t="shared" ref="AN37" si="235">AN36/AK36-1</f>
        <v>9.2649284911390462E-2</v>
      </c>
      <c r="AO37" s="402" t="e">
        <f t="shared" ref="AO37" si="236">AO36/AL36-1</f>
        <v>#DIV/0!</v>
      </c>
      <c r="AP37" s="402" t="e">
        <f t="shared" ref="AP37" si="237">AP36/AM36-1</f>
        <v>#DIV/0!</v>
      </c>
      <c r="AQ37" s="402">
        <f t="shared" ref="AQ37" si="238">AQ36/AN36-1</f>
        <v>9.0499400423737164E-2</v>
      </c>
      <c r="AR37" s="402" t="e">
        <f t="shared" ref="AR37" si="239">AR36/AO36-1</f>
        <v>#DIV/0!</v>
      </c>
      <c r="AS37" s="402" t="e">
        <f t="shared" ref="AS37" si="240">AS36/AP36-1</f>
        <v>#DIV/0!</v>
      </c>
      <c r="AT37" s="402">
        <f t="shared" ref="AT37" si="241">AT36/AQ36-1</f>
        <v>8.9535833802778519E-2</v>
      </c>
      <c r="AU37" s="402" t="e">
        <f t="shared" ref="AU37" si="242">AU36/AR36-1</f>
        <v>#DIV/0!</v>
      </c>
      <c r="AV37" s="402" t="e">
        <f t="shared" ref="AV37" si="243">AV36/AS36-1</f>
        <v>#DIV/0!</v>
      </c>
      <c r="AW37" s="402">
        <f t="shared" ref="AW37" si="244">AW36/AT36-1</f>
        <v>0.10494883053926563</v>
      </c>
      <c r="AX37" s="402" t="e">
        <f t="shared" ref="AX37" si="245">AX36/AU36-1</f>
        <v>#DIV/0!</v>
      </c>
      <c r="AY37" s="402" t="e">
        <f t="shared" ref="AY37" si="246">AY36/AV36-1</f>
        <v>#DIV/0!</v>
      </c>
      <c r="AZ37" s="402">
        <f t="shared" ref="AZ37" si="247">AZ36/AW36-1</f>
        <v>0.1057468154325969</v>
      </c>
      <c r="BA37" s="402" t="e">
        <f t="shared" ref="BA37" si="248">BA36/AX36-1</f>
        <v>#DIV/0!</v>
      </c>
      <c r="BB37" s="402" t="e">
        <f t="shared" ref="BB37" si="249">BB36/AY36-1</f>
        <v>#DIV/0!</v>
      </c>
      <c r="BC37" s="402">
        <f t="shared" ref="BC37" si="250">BC36/AZ36-1</f>
        <v>0.10653217739677157</v>
      </c>
      <c r="BD37" s="402" t="e">
        <f t="shared" ref="BD37" si="251">BD36/BA36-1</f>
        <v>#DIV/0!</v>
      </c>
      <c r="BE37" s="402" t="e">
        <f t="shared" ref="BE37" si="252">BE36/BB36-1</f>
        <v>#DIV/0!</v>
      </c>
      <c r="BF37" s="402">
        <f t="shared" ref="BF37" si="253">BF36/BC36-1</f>
        <v>0.10730573715479319</v>
      </c>
      <c r="BG37" s="402" t="e">
        <f t="shared" ref="BG37" si="254">BG36/BD36-1</f>
        <v>#DIV/0!</v>
      </c>
      <c r="BH37" s="402" t="e">
        <f t="shared" ref="BH37" si="255">BH36/BE36-1</f>
        <v>#DIV/0!</v>
      </c>
      <c r="BI37" s="402">
        <f t="shared" ref="BI37" si="256">BI36/BF36-1</f>
        <v>0.10806828939886581</v>
      </c>
      <c r="BJ37" s="323"/>
    </row>
    <row r="38" spans="1:62" s="312" customFormat="1" outlineLevel="1">
      <c r="A38" s="312" t="s">
        <v>1598</v>
      </c>
      <c r="B38" s="402" t="e">
        <f>-B36/B14</f>
        <v>#DIV/0!</v>
      </c>
      <c r="C38" s="402" t="e">
        <f t="shared" ref="C38" si="257">-C36/C14</f>
        <v>#REF!</v>
      </c>
      <c r="D38" s="402">
        <f>-D36/D$5</f>
        <v>1.7778460146632261E-2</v>
      </c>
      <c r="E38" s="402">
        <f t="shared" ref="E38:BI38" si="258">-E36/E5</f>
        <v>1.638774292312083E-2</v>
      </c>
      <c r="F38" s="402">
        <f t="shared" si="258"/>
        <v>2.6170871138616457E-2</v>
      </c>
      <c r="G38" s="402">
        <f t="shared" si="258"/>
        <v>2.0390956973885103E-2</v>
      </c>
      <c r="H38" s="402">
        <f t="shared" si="258"/>
        <v>1.8529830529258284E-2</v>
      </c>
      <c r="I38" s="402">
        <f t="shared" si="258"/>
        <v>2.6458403734715075E-2</v>
      </c>
      <c r="J38" s="402">
        <f t="shared" si="258"/>
        <v>2.1864107257288799E-2</v>
      </c>
      <c r="K38" s="402">
        <f t="shared" si="258"/>
        <v>2.2033063180891033E-2</v>
      </c>
      <c r="L38" s="402">
        <f t="shared" si="258"/>
        <v>2.5424152320031982E-2</v>
      </c>
      <c r="M38" s="402">
        <f t="shared" si="258"/>
        <v>2.3458273299700499E-2</v>
      </c>
      <c r="N38" s="402">
        <f t="shared" si="258"/>
        <v>2.5057738994427241E-2</v>
      </c>
      <c r="O38" s="402">
        <f t="shared" si="258"/>
        <v>1.8990939813426019E-2</v>
      </c>
      <c r="P38" s="402">
        <f t="shared" si="258"/>
        <v>2.2622655156067522E-2</v>
      </c>
      <c r="Q38" s="402">
        <f t="shared" si="258"/>
        <v>1.4782754174258728E-2</v>
      </c>
      <c r="R38" s="402">
        <f t="shared" si="258"/>
        <v>3.2376639906918317E-2</v>
      </c>
      <c r="S38" s="402">
        <f t="shared" si="258"/>
        <v>2.1477721376198532E-2</v>
      </c>
      <c r="T38" s="402">
        <f t="shared" si="258"/>
        <v>2.3398727698404388E-2</v>
      </c>
      <c r="U38" s="402">
        <f t="shared" si="258"/>
        <v>4.295321107598099E-2</v>
      </c>
      <c r="V38" s="402">
        <f t="shared" si="258"/>
        <v>3.1207517615183478E-2</v>
      </c>
      <c r="W38" s="402">
        <f t="shared" si="258"/>
        <v>3.1161407413295181E-2</v>
      </c>
      <c r="X38" s="402">
        <f t="shared" si="258"/>
        <v>5.055200651002454E-2</v>
      </c>
      <c r="Y38" s="402">
        <f t="shared" si="258"/>
        <v>3.9075342174768123E-2</v>
      </c>
      <c r="Z38" s="402">
        <f t="shared" si="258"/>
        <v>3.2874185463659153E-2</v>
      </c>
      <c r="AA38" s="402">
        <f t="shared" si="258"/>
        <v>4.9397902276943496E-2</v>
      </c>
      <c r="AB38" s="832">
        <f t="shared" si="258"/>
        <v>3.968522019084602E-2</v>
      </c>
      <c r="AC38" s="402">
        <f t="shared" ref="AC38" si="259">-AC36/AC5</f>
        <v>3.3618822244470735E-2</v>
      </c>
      <c r="AD38" s="402">
        <f t="shared" si="258"/>
        <v>5.0672312851158544E-2</v>
      </c>
      <c r="AE38" s="402">
        <f t="shared" si="258"/>
        <v>3.9908915205024785E-2</v>
      </c>
      <c r="AF38" s="402">
        <f t="shared" si="258"/>
        <v>3.3988173473242393E-2</v>
      </c>
      <c r="AG38" s="402">
        <f t="shared" si="258"/>
        <v>4.6604740915843004E-2</v>
      </c>
      <c r="AH38" s="402">
        <f t="shared" si="258"/>
        <v>3.9308915205024782E-2</v>
      </c>
      <c r="AI38" s="402">
        <f t="shared" si="258"/>
        <v>3.4518870234662768E-2</v>
      </c>
      <c r="AJ38" s="402">
        <f t="shared" si="258"/>
        <v>4.4316638049853439E-2</v>
      </c>
      <c r="AK38" s="402">
        <f t="shared" si="258"/>
        <v>3.8808915205024781E-2</v>
      </c>
      <c r="AL38" s="402" t="e">
        <f t="shared" si="258"/>
        <v>#DIV/0!</v>
      </c>
      <c r="AM38" s="402" t="e">
        <f t="shared" si="258"/>
        <v>#DIV/0!</v>
      </c>
      <c r="AN38" s="402">
        <f t="shared" si="258"/>
        <v>3.8308915205024781E-2</v>
      </c>
      <c r="AO38" s="402" t="e">
        <f t="shared" si="258"/>
        <v>#DIV/0!</v>
      </c>
      <c r="AP38" s="402" t="e">
        <f t="shared" si="258"/>
        <v>#DIV/0!</v>
      </c>
      <c r="AQ38" s="402">
        <f t="shared" si="258"/>
        <v>3.780891520502478E-2</v>
      </c>
      <c r="AR38" s="402" t="e">
        <f t="shared" si="258"/>
        <v>#DIV/0!</v>
      </c>
      <c r="AS38" s="402" t="e">
        <f t="shared" si="258"/>
        <v>#DIV/0!</v>
      </c>
      <c r="AT38" s="402">
        <f t="shared" si="258"/>
        <v>3.7308915205024787E-2</v>
      </c>
      <c r="AU38" s="402" t="e">
        <f t="shared" si="258"/>
        <v>#DIV/0!</v>
      </c>
      <c r="AV38" s="402" t="e">
        <f t="shared" si="258"/>
        <v>#DIV/0!</v>
      </c>
      <c r="AW38" s="402">
        <f t="shared" si="258"/>
        <v>3.730891520502478E-2</v>
      </c>
      <c r="AX38" s="402" t="e">
        <f t="shared" si="258"/>
        <v>#DIV/0!</v>
      </c>
      <c r="AY38" s="402" t="e">
        <f t="shared" si="258"/>
        <v>#DIV/0!</v>
      </c>
      <c r="AZ38" s="402">
        <f t="shared" si="258"/>
        <v>3.730891520502478E-2</v>
      </c>
      <c r="BA38" s="402" t="e">
        <f t="shared" si="258"/>
        <v>#DIV/0!</v>
      </c>
      <c r="BB38" s="402" t="e">
        <f t="shared" si="258"/>
        <v>#DIV/0!</v>
      </c>
      <c r="BC38" s="402">
        <f t="shared" si="258"/>
        <v>3.730891520502478E-2</v>
      </c>
      <c r="BD38" s="402" t="e">
        <f t="shared" si="258"/>
        <v>#DIV/0!</v>
      </c>
      <c r="BE38" s="402" t="e">
        <f t="shared" si="258"/>
        <v>#DIV/0!</v>
      </c>
      <c r="BF38" s="402">
        <f t="shared" si="258"/>
        <v>3.7308915205024787E-2</v>
      </c>
      <c r="BG38" s="402" t="e">
        <f t="shared" si="258"/>
        <v>#DIV/0!</v>
      </c>
      <c r="BH38" s="402" t="e">
        <f t="shared" si="258"/>
        <v>#DIV/0!</v>
      </c>
      <c r="BI38" s="402">
        <f t="shared" si="258"/>
        <v>3.7308915205024787E-2</v>
      </c>
      <c r="BJ38" s="322"/>
    </row>
    <row r="39" spans="1:62" s="312" customFormat="1">
      <c r="B39" s="500"/>
      <c r="C39" s="400"/>
      <c r="D39" s="500"/>
      <c r="E39" s="500"/>
      <c r="F39" s="400"/>
      <c r="G39" s="500"/>
      <c r="H39" s="500"/>
      <c r="I39" s="400"/>
      <c r="J39" s="500"/>
      <c r="K39" s="500"/>
      <c r="L39" s="400"/>
      <c r="M39" s="500"/>
      <c r="N39" s="500"/>
      <c r="O39" s="400"/>
      <c r="P39" s="500"/>
      <c r="Q39" s="500"/>
      <c r="R39" s="400"/>
      <c r="S39" s="500"/>
      <c r="T39" s="500"/>
      <c r="U39" s="400"/>
      <c r="V39" s="980"/>
      <c r="W39" s="500"/>
      <c r="X39" s="400"/>
      <c r="Y39" s="980"/>
      <c r="Z39" s="500"/>
      <c r="AA39" s="400"/>
      <c r="AB39" s="1156"/>
      <c r="AC39" s="500"/>
      <c r="AD39" s="400"/>
      <c r="AE39" s="400"/>
      <c r="AF39" s="400"/>
      <c r="AG39" s="400"/>
      <c r="AH39" s="400"/>
      <c r="AI39" s="400"/>
      <c r="AJ39" s="400"/>
      <c r="AK39" s="400"/>
      <c r="AL39" s="400"/>
      <c r="AM39" s="400"/>
      <c r="AN39" s="400"/>
      <c r="AO39" s="400"/>
      <c r="AP39" s="400"/>
      <c r="AQ39" s="400"/>
      <c r="AR39" s="400"/>
      <c r="AS39" s="400"/>
      <c r="AT39" s="400"/>
      <c r="AU39" s="400"/>
      <c r="AV39" s="400"/>
      <c r="AW39" s="400"/>
      <c r="AX39" s="400"/>
      <c r="AY39" s="400"/>
      <c r="AZ39" s="400"/>
      <c r="BA39" s="400"/>
      <c r="BB39" s="400"/>
      <c r="BC39" s="400"/>
      <c r="BD39" s="400"/>
      <c r="BE39" s="400"/>
      <c r="BF39" s="400"/>
      <c r="BG39" s="400"/>
      <c r="BH39" s="400"/>
      <c r="BI39" s="400"/>
      <c r="BJ39" s="337"/>
    </row>
    <row r="40" spans="1:62" s="312" customFormat="1">
      <c r="A40" s="312" t="s">
        <v>1877</v>
      </c>
      <c r="B40" s="500"/>
      <c r="C40" s="400"/>
      <c r="D40" s="500">
        <f>D36+D30</f>
        <v>-117.65600000000001</v>
      </c>
      <c r="E40" s="500"/>
      <c r="F40" s="400"/>
      <c r="G40" s="500">
        <f t="shared" ref="G40:BC40" si="260">G36+G30</f>
        <v>-145.351</v>
      </c>
      <c r="H40" s="500">
        <f t="shared" si="260"/>
        <v>-95.933000000000007</v>
      </c>
      <c r="I40" s="500">
        <f t="shared" si="260"/>
        <v>-77.922000000000011</v>
      </c>
      <c r="J40" s="500">
        <f t="shared" si="260"/>
        <v>-173.85500000000002</v>
      </c>
      <c r="K40" s="500">
        <f t="shared" si="260"/>
        <v>-113.836</v>
      </c>
      <c r="L40" s="500">
        <f t="shared" si="260"/>
        <v>-96.824000000000055</v>
      </c>
      <c r="M40" s="500">
        <f t="shared" si="260"/>
        <v>-210.66000000000005</v>
      </c>
      <c r="N40" s="500">
        <f t="shared" si="260"/>
        <v>-154.33600000000001</v>
      </c>
      <c r="O40" s="500">
        <f t="shared" si="260"/>
        <v>-122.90199999999999</v>
      </c>
      <c r="P40" s="500">
        <f t="shared" si="260"/>
        <v>-277.238</v>
      </c>
      <c r="Q40" s="500">
        <f t="shared" si="260"/>
        <v>-187.48800000000003</v>
      </c>
      <c r="R40" s="500">
        <f t="shared" si="260"/>
        <v>-142.01199999999997</v>
      </c>
      <c r="S40" s="500">
        <f t="shared" si="260"/>
        <v>-329.57600000000002</v>
      </c>
      <c r="T40" s="500">
        <f t="shared" si="260"/>
        <v>-190.15799999999999</v>
      </c>
      <c r="U40" s="500">
        <f t="shared" si="260"/>
        <v>-154.76300000000018</v>
      </c>
      <c r="V40" s="500">
        <f t="shared" si="260"/>
        <v>-344.92100000000011</v>
      </c>
      <c r="W40" s="500">
        <f t="shared" si="260"/>
        <v>-201.03</v>
      </c>
      <c r="X40" s="500">
        <f t="shared" si="260"/>
        <v>-170.19499999999999</v>
      </c>
      <c r="Y40" s="500">
        <f t="shared" si="260"/>
        <v>-371.22500000000002</v>
      </c>
      <c r="Z40" s="400">
        <f t="shared" si="260"/>
        <v>-221.46799999999999</v>
      </c>
      <c r="AA40" s="500">
        <f t="shared" ref="AA40" si="261">AA36+AA30</f>
        <v>-194.44299999999987</v>
      </c>
      <c r="AB40" s="859">
        <f t="shared" si="260"/>
        <v>-415.91099999999983</v>
      </c>
      <c r="AC40" s="400">
        <f t="shared" si="260"/>
        <v>-243.63200000000001</v>
      </c>
      <c r="AD40" s="400">
        <f t="shared" ref="AD40" si="262">AD36+AD30</f>
        <v>-208.49805898286223</v>
      </c>
      <c r="AE40" s="400">
        <f t="shared" si="260"/>
        <v>-450.94045016327783</v>
      </c>
      <c r="AF40" s="400">
        <f t="shared" si="260"/>
        <v>-256.01895433967434</v>
      </c>
      <c r="AG40" s="400">
        <f t="shared" si="260"/>
        <v>-234.37417112522976</v>
      </c>
      <c r="AH40" s="400">
        <f t="shared" si="260"/>
        <v>-490.39312546490407</v>
      </c>
      <c r="AI40" s="400">
        <f t="shared" ref="AI40:AJ40" si="263">AI36+AI30</f>
        <v>-274.67840036207332</v>
      </c>
      <c r="AJ40" s="400">
        <f t="shared" si="263"/>
        <v>-264.34756274002569</v>
      </c>
      <c r="AK40" s="400">
        <f t="shared" si="260"/>
        <v>-539.02596310209901</v>
      </c>
      <c r="AL40" s="400"/>
      <c r="AM40" s="400"/>
      <c r="AN40" s="400">
        <f t="shared" si="260"/>
        <v>-591.4169819653747</v>
      </c>
      <c r="AO40" s="400"/>
      <c r="AP40" s="400"/>
      <c r="AQ40" s="400">
        <f t="shared" si="260"/>
        <v>-647.95849337510901</v>
      </c>
      <c r="AR40" s="400"/>
      <c r="AS40" s="400"/>
      <c r="AT40" s="400">
        <f t="shared" si="260"/>
        <v>-709.35105528433519</v>
      </c>
      <c r="AU40" s="400"/>
      <c r="AV40" s="400"/>
      <c r="AW40" s="400">
        <f t="shared" si="260"/>
        <v>-782.11595337684571</v>
      </c>
      <c r="AX40" s="400"/>
      <c r="AY40" s="400"/>
      <c r="AZ40" s="400">
        <f t="shared" si="260"/>
        <v>-862.96383410894941</v>
      </c>
      <c r="BA40" s="400"/>
      <c r="BB40" s="400"/>
      <c r="BC40" s="400">
        <f t="shared" si="260"/>
        <v>-952.84088133375212</v>
      </c>
      <c r="BD40" s="400"/>
      <c r="BE40" s="400"/>
      <c r="BF40" s="400">
        <f t="shared" ref="BF40" si="264">BF36+BF30</f>
        <v>-1052.8091452635731</v>
      </c>
      <c r="BG40" s="400"/>
      <c r="BH40" s="400"/>
      <c r="BI40" s="400">
        <f t="shared" ref="BI40" si="265">BI36+BI30</f>
        <v>-1164.0613247686565</v>
      </c>
      <c r="BJ40" s="337"/>
    </row>
    <row r="41" spans="1:62" s="312" customFormat="1" outlineLevel="1">
      <c r="A41" s="312" t="s">
        <v>1682</v>
      </c>
      <c r="B41" s="409"/>
      <c r="C41" s="409"/>
      <c r="D41" s="400"/>
      <c r="E41" s="402" t="e">
        <f t="shared" ref="E41" si="266">E40/B40-1</f>
        <v>#DIV/0!</v>
      </c>
      <c r="F41" s="402" t="e">
        <f t="shared" ref="F41" si="267">F40/C40-1</f>
        <v>#DIV/0!</v>
      </c>
      <c r="G41" s="402">
        <f t="shared" ref="G41" si="268">G40/D40-1</f>
        <v>0.23538961038961026</v>
      </c>
      <c r="H41" s="402" t="e">
        <f t="shared" ref="H41" si="269">H40/E40-1</f>
        <v>#DIV/0!</v>
      </c>
      <c r="I41" s="402" t="e">
        <f t="shared" ref="I41" si="270">I40/F40-1</f>
        <v>#DIV/0!</v>
      </c>
      <c r="J41" s="402">
        <f t="shared" ref="J41" si="271">J40/G40-1</f>
        <v>0.19610460196352286</v>
      </c>
      <c r="K41" s="402">
        <f t="shared" ref="K41" si="272">K40/H40-1</f>
        <v>0.18661982842191938</v>
      </c>
      <c r="L41" s="402">
        <f t="shared" ref="L41" si="273">L40/I40-1</f>
        <v>0.24257590924257633</v>
      </c>
      <c r="M41" s="402">
        <f t="shared" ref="M41" si="274">M40/J40-1</f>
        <v>0.21169940467631099</v>
      </c>
      <c r="N41" s="402">
        <f t="shared" ref="N41" si="275">N40/K40-1</f>
        <v>0.35577497452475515</v>
      </c>
      <c r="O41" s="402">
        <f t="shared" ref="O41" si="276">O40/L40-1</f>
        <v>0.26933404940923644</v>
      </c>
      <c r="P41" s="402">
        <f t="shared" ref="P41" si="277">P40/M40-1</f>
        <v>0.31604481154466879</v>
      </c>
      <c r="Q41" s="402">
        <f t="shared" ref="Q41" si="278">Q40/N40-1</f>
        <v>0.21480406386066764</v>
      </c>
      <c r="R41" s="402">
        <f t="shared" ref="R41" si="279">R40/O40-1</f>
        <v>0.15548973979268021</v>
      </c>
      <c r="S41" s="402">
        <f>S40/P40-1</f>
        <v>0.18878364437775486</v>
      </c>
      <c r="T41" s="402">
        <f t="shared" ref="T41" si="280">T40/Q40-1</f>
        <v>1.4240911418330615E-2</v>
      </c>
      <c r="U41" s="402">
        <f t="shared" ref="U41" si="281">U40/R40-1</f>
        <v>8.9788186913783319E-2</v>
      </c>
      <c r="V41" s="402">
        <f t="shared" ref="V41" si="282">V40/S40-1</f>
        <v>4.6559822317159272E-2</v>
      </c>
      <c r="W41" s="402">
        <f t="shared" ref="W41" si="283">W40/T40-1</f>
        <v>5.7173508345691459E-2</v>
      </c>
      <c r="X41" s="402">
        <f>X40/U40-1</f>
        <v>9.9713755871880139E-2</v>
      </c>
      <c r="Y41" s="402">
        <f t="shared" ref="Y41" si="284">Y40/V40-1</f>
        <v>7.6260940911107022E-2</v>
      </c>
      <c r="Z41" s="402">
        <f t="shared" ref="Z41" si="285">Z40/W40-1</f>
        <v>0.10166641794756992</v>
      </c>
      <c r="AA41" s="402">
        <f>AA40/X40-1</f>
        <v>0.14247187050148291</v>
      </c>
      <c r="AB41" s="832">
        <f>AB40/Y40-1</f>
        <v>0.12037443598895492</v>
      </c>
      <c r="AC41" s="402">
        <f t="shared" ref="AC41" si="286">AC40/Z40-1</f>
        <v>0.10007766359022541</v>
      </c>
      <c r="AD41" s="402">
        <f>AD40/AA40-1</f>
        <v>7.2283697447901751E-2</v>
      </c>
      <c r="AE41" s="402">
        <f>AE40/AB40-1</f>
        <v>8.4223428000889555E-2</v>
      </c>
      <c r="AF41" s="402">
        <f t="shared" ref="AF41" si="287">AF40/AC40-1</f>
        <v>5.0842887386198576E-2</v>
      </c>
      <c r="AG41" s="402">
        <f>AG40/AD40-1</f>
        <v>0.12410720880856951</v>
      </c>
      <c r="AH41" s="402">
        <f>AH40/AE40-1</f>
        <v>8.7489767855913447E-2</v>
      </c>
      <c r="AI41" s="402">
        <f t="shared" ref="AI41" si="288">AI40/AF40-1</f>
        <v>7.2883064734505787E-2</v>
      </c>
      <c r="AJ41" s="402">
        <f>AJ40/AG40-1</f>
        <v>0.12788692316603734</v>
      </c>
      <c r="AK41" s="402">
        <f t="shared" ref="AK41" si="289">AK40/AH40-1</f>
        <v>9.9171124373103492E-2</v>
      </c>
      <c r="AL41" s="402">
        <f t="shared" ref="AL41" si="290">AL40/AI40-1</f>
        <v>-1</v>
      </c>
      <c r="AM41" s="402">
        <f t="shared" ref="AM41" si="291">AM40/AJ40-1</f>
        <v>-1</v>
      </c>
      <c r="AN41" s="402">
        <f t="shared" ref="AN41" si="292">AN40/AK40-1</f>
        <v>9.7195724231472935E-2</v>
      </c>
      <c r="AO41" s="402" t="e">
        <f t="shared" ref="AO41" si="293">AO40/AL40-1</f>
        <v>#DIV/0!</v>
      </c>
      <c r="AP41" s="402" t="e">
        <f t="shared" ref="AP41" si="294">AP40/AM40-1</f>
        <v>#DIV/0!</v>
      </c>
      <c r="AQ41" s="402">
        <f t="shared" ref="AQ41" si="295">AQ40/AN40-1</f>
        <v>9.5603462757930524E-2</v>
      </c>
      <c r="AR41" s="402" t="e">
        <f t="shared" ref="AR41" si="296">AR40/AO40-1</f>
        <v>#DIV/0!</v>
      </c>
      <c r="AS41" s="402" t="e">
        <f t="shared" ref="AS41" si="297">AS40/AP40-1</f>
        <v>#DIV/0!</v>
      </c>
      <c r="AT41" s="402">
        <f t="shared" ref="AT41" si="298">AT40/AQ40-1</f>
        <v>9.4747676798620839E-2</v>
      </c>
      <c r="AU41" s="402" t="e">
        <f t="shared" ref="AU41" si="299">AU40/AR40-1</f>
        <v>#DIV/0!</v>
      </c>
      <c r="AV41" s="402" t="e">
        <f t="shared" ref="AV41" si="300">AV40/AS40-1</f>
        <v>#DIV/0!</v>
      </c>
      <c r="AW41" s="402">
        <f t="shared" ref="AW41" si="301">AW40/AT40-1</f>
        <v>0.1025795303333179</v>
      </c>
      <c r="AX41" s="402" t="e">
        <f t="shared" ref="AX41" si="302">AX40/AU40-1</f>
        <v>#DIV/0!</v>
      </c>
      <c r="AY41" s="402" t="e">
        <f t="shared" ref="AY41" si="303">AY40/AV40-1</f>
        <v>#DIV/0!</v>
      </c>
      <c r="AZ41" s="402">
        <f t="shared" ref="AZ41" si="304">AZ40/AW40-1</f>
        <v>0.10337070914234237</v>
      </c>
      <c r="BA41" s="402" t="e">
        <f t="shared" ref="BA41" si="305">BA40/AX40-1</f>
        <v>#DIV/0!</v>
      </c>
      <c r="BB41" s="402" t="e">
        <f t="shared" ref="BB41" si="306">BB40/AY40-1</f>
        <v>#DIV/0!</v>
      </c>
      <c r="BC41" s="402">
        <f t="shared" ref="BC41" si="307">BC40/AZ40-1</f>
        <v>0.10414926289188586</v>
      </c>
      <c r="BD41" s="402" t="e">
        <f t="shared" ref="BD41" si="308">BD40/BA40-1</f>
        <v>#DIV/0!</v>
      </c>
      <c r="BE41" s="402" t="e">
        <f t="shared" ref="BE41" si="309">BE40/BB40-1</f>
        <v>#DIV/0!</v>
      </c>
      <c r="BF41" s="402">
        <f t="shared" ref="BF41" si="310">BF40/BC40-1</f>
        <v>0.10491601051991917</v>
      </c>
      <c r="BG41" s="402" t="e">
        <f t="shared" ref="BG41" si="311">BG40/BD40-1</f>
        <v>#DIV/0!</v>
      </c>
      <c r="BH41" s="402" t="e">
        <f t="shared" ref="BH41" si="312">BH40/BE40-1</f>
        <v>#DIV/0!</v>
      </c>
      <c r="BI41" s="402">
        <f t="shared" ref="BI41" si="313">BI40/BF40-1</f>
        <v>0.10567174497447129</v>
      </c>
      <c r="BJ41" s="323"/>
    </row>
    <row r="42" spans="1:62" s="312" customFormat="1" outlineLevel="1">
      <c r="A42" s="312" t="s">
        <v>1598</v>
      </c>
      <c r="B42" s="402">
        <f>-B40/B18</f>
        <v>0</v>
      </c>
      <c r="C42" s="402">
        <f t="shared" ref="C42" si="314">-C40/C18</f>
        <v>0</v>
      </c>
      <c r="D42" s="402">
        <f t="shared" ref="D42:BI42" si="315">-D40/D$5</f>
        <v>0.19423739502388015</v>
      </c>
      <c r="E42" s="402">
        <f t="shared" si="315"/>
        <v>0</v>
      </c>
      <c r="F42" s="402">
        <f t="shared" si="315"/>
        <v>0</v>
      </c>
      <c r="G42" s="402">
        <f t="shared" si="315"/>
        <v>0.22281205736815318</v>
      </c>
      <c r="H42" s="402">
        <f t="shared" si="315"/>
        <v>0.21784586178472243</v>
      </c>
      <c r="I42" s="402">
        <f t="shared" si="315"/>
        <v>0.2438140652573875</v>
      </c>
      <c r="J42" s="402">
        <f t="shared" si="315"/>
        <v>0.2287665122301363</v>
      </c>
      <c r="K42" s="402">
        <f t="shared" si="315"/>
        <v>0.2062119362213197</v>
      </c>
      <c r="L42" s="402">
        <f t="shared" si="315"/>
        <v>0.24193298518277917</v>
      </c>
      <c r="M42" s="402">
        <f t="shared" si="315"/>
        <v>0.22122481212798406</v>
      </c>
      <c r="N42" s="402">
        <f t="shared" si="315"/>
        <v>0.21708174041223255</v>
      </c>
      <c r="O42" s="402">
        <f t="shared" si="315"/>
        <v>0.25781779354354195</v>
      </c>
      <c r="P42" s="402">
        <f t="shared" si="315"/>
        <v>0.23343232358783117</v>
      </c>
      <c r="Q42" s="402">
        <f t="shared" si="315"/>
        <v>0.21337970703082768</v>
      </c>
      <c r="R42" s="402">
        <f t="shared" si="315"/>
        <v>0.26311138119950117</v>
      </c>
      <c r="S42" s="402">
        <f t="shared" si="315"/>
        <v>0.23235758601240836</v>
      </c>
      <c r="T42" s="402">
        <f t="shared" si="315"/>
        <v>0.21414261534667348</v>
      </c>
      <c r="U42" s="402">
        <f t="shared" si="315"/>
        <v>0.26208672944930028</v>
      </c>
      <c r="V42" s="402">
        <f t="shared" si="315"/>
        <v>0.23328265318682989</v>
      </c>
      <c r="W42" s="402">
        <f t="shared" si="315"/>
        <v>0.22192856953607293</v>
      </c>
      <c r="X42" s="402">
        <f t="shared" si="315"/>
        <v>0.27263130578533579</v>
      </c>
      <c r="Y42" s="402">
        <f t="shared" si="315"/>
        <v>0.24263182903451194</v>
      </c>
      <c r="Z42" s="402">
        <f t="shared" si="315"/>
        <v>0.22202305764411029</v>
      </c>
      <c r="AA42" s="402">
        <f t="shared" si="315"/>
        <v>0.27811779917870388</v>
      </c>
      <c r="AB42" s="832">
        <f t="shared" si="315"/>
        <v>0.24515089732050485</v>
      </c>
      <c r="AC42" s="402">
        <f t="shared" ref="AC42" si="316">-AC40/AC$5</f>
        <v>0.22174569946300171</v>
      </c>
      <c r="AD42" s="402">
        <f t="shared" si="315"/>
        <v>0.27703698665429288</v>
      </c>
      <c r="AE42" s="402">
        <f t="shared" si="315"/>
        <v>0.24358041921521958</v>
      </c>
      <c r="AF42" s="402">
        <f t="shared" si="315"/>
        <v>0.21737804331942429</v>
      </c>
      <c r="AG42" s="402">
        <f t="shared" si="315"/>
        <v>0.27286986545443415</v>
      </c>
      <c r="AH42" s="402">
        <f t="shared" si="315"/>
        <v>0.24078041921521959</v>
      </c>
      <c r="AI42" s="402">
        <f t="shared" si="315"/>
        <v>0.2169087400808446</v>
      </c>
      <c r="AJ42" s="402">
        <f t="shared" si="315"/>
        <v>0.26800203148194979</v>
      </c>
      <c r="AK42" s="402">
        <f t="shared" si="315"/>
        <v>0.23928041921521959</v>
      </c>
      <c r="AL42" s="402" t="e">
        <f t="shared" si="315"/>
        <v>#DIV/0!</v>
      </c>
      <c r="AM42" s="402" t="e">
        <f t="shared" si="315"/>
        <v>#DIV/0!</v>
      </c>
      <c r="AN42" s="402">
        <f t="shared" si="315"/>
        <v>0.2371804192152196</v>
      </c>
      <c r="AO42" s="402" t="e">
        <f t="shared" si="315"/>
        <v>#DIV/0!</v>
      </c>
      <c r="AP42" s="402" t="e">
        <f t="shared" si="315"/>
        <v>#DIV/0!</v>
      </c>
      <c r="AQ42" s="402">
        <f t="shared" si="315"/>
        <v>0.23518041921521959</v>
      </c>
      <c r="AR42" s="402" t="e">
        <f t="shared" si="315"/>
        <v>#DIV/0!</v>
      </c>
      <c r="AS42" s="402" t="e">
        <f t="shared" si="315"/>
        <v>#DIV/0!</v>
      </c>
      <c r="AT42" s="402">
        <f t="shared" si="315"/>
        <v>0.23318041921521956</v>
      </c>
      <c r="AU42" s="402" t="e">
        <f t="shared" si="315"/>
        <v>#DIV/0!</v>
      </c>
      <c r="AV42" s="402" t="e">
        <f t="shared" si="315"/>
        <v>#DIV/0!</v>
      </c>
      <c r="AW42" s="402">
        <f t="shared" si="315"/>
        <v>0.23268041921521959</v>
      </c>
      <c r="AX42" s="402" t="e">
        <f t="shared" si="315"/>
        <v>#DIV/0!</v>
      </c>
      <c r="AY42" s="402" t="e">
        <f t="shared" si="315"/>
        <v>#DIV/0!</v>
      </c>
      <c r="AZ42" s="402">
        <f t="shared" si="315"/>
        <v>0.23218041921521959</v>
      </c>
      <c r="BA42" s="402" t="e">
        <f t="shared" si="315"/>
        <v>#DIV/0!</v>
      </c>
      <c r="BB42" s="402" t="e">
        <f t="shared" si="315"/>
        <v>#DIV/0!</v>
      </c>
      <c r="BC42" s="402">
        <f t="shared" si="315"/>
        <v>0.23168041921521956</v>
      </c>
      <c r="BD42" s="402" t="e">
        <f t="shared" si="315"/>
        <v>#DIV/0!</v>
      </c>
      <c r="BE42" s="402" t="e">
        <f t="shared" si="315"/>
        <v>#DIV/0!</v>
      </c>
      <c r="BF42" s="402">
        <f t="shared" si="315"/>
        <v>0.23118041921521959</v>
      </c>
      <c r="BG42" s="402" t="e">
        <f t="shared" si="315"/>
        <v>#DIV/0!</v>
      </c>
      <c r="BH42" s="402" t="e">
        <f t="shared" si="315"/>
        <v>#DIV/0!</v>
      </c>
      <c r="BI42" s="402">
        <f t="shared" si="315"/>
        <v>0.23068041921521959</v>
      </c>
      <c r="BJ42" s="322"/>
    </row>
    <row r="43" spans="1:62" s="312" customFormat="1">
      <c r="B43" s="408"/>
      <c r="C43" s="408"/>
      <c r="D43" s="400"/>
      <c r="E43" s="408"/>
      <c r="F43" s="408"/>
      <c r="G43" s="400"/>
      <c r="H43" s="408"/>
      <c r="I43" s="408"/>
      <c r="J43" s="402"/>
      <c r="K43" s="408"/>
      <c r="L43" s="408"/>
      <c r="M43" s="400"/>
      <c r="N43" s="699"/>
      <c r="O43" s="699"/>
      <c r="P43" s="699"/>
      <c r="Q43" s="699"/>
      <c r="R43" s="699"/>
      <c r="S43" s="699"/>
      <c r="T43" s="699"/>
      <c r="U43" s="699"/>
      <c r="V43" s="699"/>
      <c r="W43" s="699"/>
      <c r="X43" s="699">
        <f>X44/U44-1</f>
        <v>7.4421071239173298E-2</v>
      </c>
      <c r="Y43" s="699"/>
      <c r="Z43" s="699"/>
      <c r="AA43" s="699">
        <f>AA44/X44-1</f>
        <v>9.2574311725348135E-2</v>
      </c>
      <c r="AB43" s="865"/>
      <c r="AC43" s="699"/>
      <c r="AD43" s="699"/>
      <c r="AE43" s="699"/>
      <c r="AF43" s="699"/>
      <c r="AG43" s="699"/>
      <c r="AH43" s="699"/>
      <c r="AI43" s="699"/>
      <c r="AJ43" s="699"/>
      <c r="AK43" s="699"/>
      <c r="AL43" s="699"/>
      <c r="AM43" s="699"/>
      <c r="AN43" s="400"/>
      <c r="AO43" s="400"/>
      <c r="AP43" s="400"/>
      <c r="AQ43" s="400"/>
      <c r="AR43" s="400"/>
      <c r="AS43" s="400"/>
      <c r="AT43" s="400"/>
      <c r="AU43" s="400"/>
      <c r="AV43" s="400"/>
      <c r="AW43" s="400"/>
      <c r="AX43" s="400"/>
      <c r="AY43" s="400"/>
      <c r="AZ43" s="400"/>
      <c r="BA43" s="400"/>
      <c r="BB43" s="400"/>
      <c r="BC43" s="400"/>
      <c r="BD43" s="400"/>
      <c r="BE43" s="400"/>
      <c r="BF43" s="400"/>
      <c r="BG43" s="400"/>
      <c r="BH43" s="400"/>
      <c r="BI43" s="400"/>
      <c r="BJ43" s="337"/>
    </row>
    <row r="44" spans="1:62" s="344" customFormat="1">
      <c r="A44" s="389" t="s">
        <v>1107</v>
      </c>
      <c r="B44" s="1161">
        <f>Segments!B110</f>
        <v>49.142000000000003</v>
      </c>
      <c r="C44" s="1161">
        <f>Segments!C110</f>
        <v>29.877999999999993</v>
      </c>
      <c r="D44" s="1161">
        <f>Segments!D110</f>
        <v>79.02</v>
      </c>
      <c r="E44" s="1161">
        <f>Segments!E110</f>
        <v>55.198999999999998</v>
      </c>
      <c r="F44" s="1161">
        <f>Segments!F110</f>
        <v>31.710000000000008</v>
      </c>
      <c r="G44" s="1161">
        <f>Segments!G110</f>
        <v>86.909000000000006</v>
      </c>
      <c r="H44" s="1161">
        <f>Segments!H110</f>
        <v>62.337999999999994</v>
      </c>
      <c r="I44" s="1161">
        <f>Segments!I110</f>
        <v>35.007000000000005</v>
      </c>
      <c r="J44" s="1161">
        <f>Segments!J110</f>
        <v>97.344999999999999</v>
      </c>
      <c r="K44" s="1161">
        <f>Segments!K110</f>
        <v>72.988</v>
      </c>
      <c r="L44" s="1161">
        <f>Segments!L110</f>
        <v>36.911999999999999</v>
      </c>
      <c r="M44" s="1161">
        <f>Segments!M110</f>
        <v>109.9</v>
      </c>
      <c r="N44" s="1161">
        <f>Segments!N110</f>
        <v>94.605999999999995</v>
      </c>
      <c r="O44" s="1161">
        <f>Segments!O110</f>
        <v>41.823999999999998</v>
      </c>
      <c r="P44" s="1161">
        <f>Segments!P110</f>
        <v>136.43</v>
      </c>
      <c r="Q44" s="1161">
        <f>Segments!Q110</f>
        <v>112.511</v>
      </c>
      <c r="R44" s="1161">
        <f>Segments!R110</f>
        <v>43.888999999999996</v>
      </c>
      <c r="S44" s="1161">
        <f>Segments!S110</f>
        <v>156.4</v>
      </c>
      <c r="T44" s="1161">
        <f>Segments!T110</f>
        <v>121.108</v>
      </c>
      <c r="U44" s="1161">
        <f>Segments!U110</f>
        <v>50.912999999999982</v>
      </c>
      <c r="V44" s="1161">
        <f>Segments!V110</f>
        <v>172.02099999999999</v>
      </c>
      <c r="W44" s="1161">
        <f>Segments!W110</f>
        <v>131.011</v>
      </c>
      <c r="X44" s="1162">
        <f>Segments!X110</f>
        <v>54.702000000000012</v>
      </c>
      <c r="Y44" s="1161">
        <f>Segments!Y110</f>
        <v>185.71299999999999</v>
      </c>
      <c r="Z44" s="1161">
        <f>Z33+Z36</f>
        <v>144.78399999999985</v>
      </c>
      <c r="AA44" s="1162">
        <f>Segments!AA110</f>
        <v>59.766000000000005</v>
      </c>
      <c r="AB44" s="1163">
        <f>Segments!AB110</f>
        <v>204.566</v>
      </c>
      <c r="AC44" s="1161">
        <f>AC33+AC36</f>
        <v>145.82499999999999</v>
      </c>
      <c r="AD44" s="1161">
        <f>AE44-AC44</f>
        <v>60.647829458216393</v>
      </c>
      <c r="AE44" s="1161">
        <f>AE33+AE36</f>
        <v>206.47282945821638</v>
      </c>
      <c r="AF44" s="1161">
        <f>AF33+AF36</f>
        <v>155.99692967201278</v>
      </c>
      <c r="AG44" s="1161">
        <f>AH44-AF44</f>
        <v>82.721182422689282</v>
      </c>
      <c r="AH44" s="1161">
        <f t="shared" ref="AH44:BF44" si="317">AH33+AH36</f>
        <v>238.71811209470206</v>
      </c>
      <c r="AI44" s="1161">
        <f>AI33+AI36</f>
        <v>183.73302995006867</v>
      </c>
      <c r="AJ44" s="1161">
        <f>AK44-AI44</f>
        <v>87.070813237863206</v>
      </c>
      <c r="AK44" s="1161">
        <f t="shared" si="317"/>
        <v>270.80384318793188</v>
      </c>
      <c r="AL44" s="1161"/>
      <c r="AM44" s="1161"/>
      <c r="AN44" s="1161">
        <f t="shared" si="317"/>
        <v>310.81835333034451</v>
      </c>
      <c r="AO44" s="1161"/>
      <c r="AP44" s="1161"/>
      <c r="AQ44" s="1161">
        <f t="shared" si="317"/>
        <v>354.79200103757944</v>
      </c>
      <c r="AR44" s="1161"/>
      <c r="AS44" s="1161"/>
      <c r="AT44" s="1161">
        <f t="shared" si="317"/>
        <v>404.89004776743514</v>
      </c>
      <c r="AU44" s="1161"/>
      <c r="AV44" s="1161"/>
      <c r="AW44" s="1161">
        <f t="shared" si="317"/>
        <v>456.84363293794786</v>
      </c>
      <c r="AX44" s="1161"/>
      <c r="AY44" s="1161"/>
      <c r="AZ44" s="1161">
        <f t="shared" si="317"/>
        <v>515.58056946429065</v>
      </c>
      <c r="BA44" s="1161"/>
      <c r="BB44" s="1161"/>
      <c r="BC44" s="1161">
        <f t="shared" si="317"/>
        <v>582.00386235350811</v>
      </c>
      <c r="BD44" s="1161"/>
      <c r="BE44" s="1161"/>
      <c r="BF44" s="1161">
        <f t="shared" si="317"/>
        <v>657.13946302647389</v>
      </c>
      <c r="BG44" s="1161"/>
      <c r="BH44" s="1161"/>
      <c r="BI44" s="1161">
        <f t="shared" ref="BI44" si="318">BI33+BI36</f>
        <v>740.52360059733451</v>
      </c>
      <c r="BJ44" s="322"/>
    </row>
    <row r="45" spans="1:62" s="375" customFormat="1">
      <c r="A45" s="705" t="s">
        <v>2012</v>
      </c>
      <c r="B45" s="414"/>
      <c r="C45" s="402"/>
      <c r="D45" s="402">
        <f>D44/D5</f>
        <v>0.13045351664842428</v>
      </c>
      <c r="E45" s="402">
        <f t="shared" ref="E45:AW45" si="319">E44/E5</f>
        <v>0.14322150437196751</v>
      </c>
      <c r="F45" s="402">
        <f t="shared" si="319"/>
        <v>0.11879162951696652</v>
      </c>
      <c r="G45" s="402">
        <f t="shared" si="319"/>
        <v>0.13322490449882576</v>
      </c>
      <c r="H45" s="402">
        <f t="shared" si="319"/>
        <v>0.14155791366824788</v>
      </c>
      <c r="I45" s="402">
        <f t="shared" si="319"/>
        <v>0.10953516314346864</v>
      </c>
      <c r="J45" s="402">
        <f>J44/J5</f>
        <v>0.12809108816567033</v>
      </c>
      <c r="K45" s="402">
        <f t="shared" si="319"/>
        <v>0.13221649391160689</v>
      </c>
      <c r="L45" s="402">
        <f t="shared" si="319"/>
        <v>9.2231578421328786E-2</v>
      </c>
      <c r="M45" s="402">
        <f t="shared" si="319"/>
        <v>0.11541159618753177</v>
      </c>
      <c r="N45" s="402">
        <f t="shared" si="319"/>
        <v>0.13306833877669286</v>
      </c>
      <c r="O45" s="402">
        <f t="shared" si="319"/>
        <v>8.7736337872167239E-2</v>
      </c>
      <c r="P45" s="402">
        <f t="shared" si="319"/>
        <v>0.11487304015714948</v>
      </c>
      <c r="Q45" s="402">
        <f>Q44/Q5</f>
        <v>0.12804853760104884</v>
      </c>
      <c r="R45" s="402">
        <f t="shared" si="319"/>
        <v>8.1314926974233939E-2</v>
      </c>
      <c r="S45" s="402">
        <f t="shared" ref="S45" si="320">S44/S5</f>
        <v>0.11026508742244782</v>
      </c>
      <c r="T45" s="402">
        <f>T44/T5</f>
        <v>0.13638334363742222</v>
      </c>
      <c r="U45" s="402">
        <f t="shared" si="319"/>
        <v>8.6219714379097104E-2</v>
      </c>
      <c r="V45" s="402">
        <f t="shared" si="319"/>
        <v>0.11634407671278829</v>
      </c>
      <c r="W45" s="402">
        <f t="shared" ref="W45:X45" si="321">W44/W5</f>
        <v>0.14463057167333457</v>
      </c>
      <c r="X45" s="402">
        <f t="shared" si="321"/>
        <v>8.7625827369014628E-2</v>
      </c>
      <c r="Y45" s="402">
        <f t="shared" si="319"/>
        <v>0.12138160109229258</v>
      </c>
      <c r="Z45" s="402">
        <f t="shared" si="319"/>
        <v>0.14514686716791966</v>
      </c>
      <c r="AA45" s="402">
        <f t="shared" si="319"/>
        <v>8.5485146730478495E-2</v>
      </c>
      <c r="AB45" s="832">
        <f t="shared" si="319"/>
        <v>0.12057757179124</v>
      </c>
      <c r="AC45" s="402">
        <f t="shared" ref="AC45:AD45" si="322">AC44/AC5</f>
        <v>0.1327250386820788</v>
      </c>
      <c r="AD45" s="402">
        <f t="shared" si="322"/>
        <v>8.058440448891066E-2</v>
      </c>
      <c r="AE45" s="402">
        <f t="shared" si="319"/>
        <v>0.1115285584555006</v>
      </c>
      <c r="AF45" s="402">
        <f t="shared" si="319"/>
        <v>0.13245233120884214</v>
      </c>
      <c r="AG45" s="402">
        <f t="shared" si="319"/>
        <v>9.6308043712932404E-2</v>
      </c>
      <c r="AH45" s="402">
        <f t="shared" si="319"/>
        <v>0.11720932476354975</v>
      </c>
      <c r="AI45" s="402">
        <f t="shared" ref="AI45:AJ45" si="323">AI44/AI5</f>
        <v>0.14509076791321046</v>
      </c>
      <c r="AJ45" s="402">
        <f t="shared" si="323"/>
        <v>8.8274522332108238E-2</v>
      </c>
      <c r="AK45" s="402">
        <f t="shared" si="319"/>
        <v>0.12021323935898663</v>
      </c>
      <c r="AL45" s="402"/>
      <c r="AM45" s="402"/>
      <c r="AN45" s="402">
        <f t="shared" si="319"/>
        <v>0.12464983182879147</v>
      </c>
      <c r="AO45" s="402"/>
      <c r="AP45" s="402"/>
      <c r="AQ45" s="402">
        <f t="shared" si="319"/>
        <v>0.12877388349923258</v>
      </c>
      <c r="AR45" s="402"/>
      <c r="AS45" s="402"/>
      <c r="AT45" s="402">
        <f t="shared" si="319"/>
        <v>0.13309690649101336</v>
      </c>
      <c r="AU45" s="402"/>
      <c r="AV45" s="402"/>
      <c r="AW45" s="402">
        <f t="shared" si="319"/>
        <v>0.13591151998479686</v>
      </c>
      <c r="AX45" s="402"/>
      <c r="AY45" s="402"/>
      <c r="AZ45" s="402">
        <f t="shared" ref="AZ45:BC45" si="324">AZ44/AZ5</f>
        <v>0.13871695200418738</v>
      </c>
      <c r="BA45" s="402"/>
      <c r="BB45" s="402"/>
      <c r="BC45" s="402">
        <f t="shared" si="324"/>
        <v>0.14151250377313271</v>
      </c>
      <c r="BD45" s="402"/>
      <c r="BE45" s="402"/>
      <c r="BF45" s="402">
        <f t="shared" ref="BF45" si="325">BF44/BF5</f>
        <v>0.14429754645348525</v>
      </c>
      <c r="BG45" s="402"/>
      <c r="BH45" s="402"/>
      <c r="BI45" s="402">
        <f t="shared" ref="BI45" si="326">BI44/BI5</f>
        <v>0.14674853548502376</v>
      </c>
    </row>
    <row r="46" spans="1:62" s="375" customFormat="1">
      <c r="A46" s="705" t="s">
        <v>1682</v>
      </c>
      <c r="B46" s="414"/>
      <c r="C46" s="402"/>
      <c r="D46" s="402"/>
      <c r="E46" s="402"/>
      <c r="F46" s="402"/>
      <c r="G46" s="402">
        <f t="shared" ref="G46:AA46" si="327">G44/D44-1</f>
        <v>9.9835484687420983E-2</v>
      </c>
      <c r="H46" s="402">
        <f t="shared" si="327"/>
        <v>0.12933205311690421</v>
      </c>
      <c r="I46" s="402">
        <f t="shared" si="327"/>
        <v>0.10397350993377463</v>
      </c>
      <c r="J46" s="402">
        <f t="shared" si="327"/>
        <v>0.1200796235142505</v>
      </c>
      <c r="K46" s="402">
        <f t="shared" si="327"/>
        <v>0.1708428246013669</v>
      </c>
      <c r="L46" s="402">
        <f t="shared" si="327"/>
        <v>5.4417687890992994E-2</v>
      </c>
      <c r="M46" s="402">
        <f t="shared" si="327"/>
        <v>0.1289742667830911</v>
      </c>
      <c r="N46" s="402">
        <f t="shared" si="327"/>
        <v>0.29618567435742849</v>
      </c>
      <c r="O46" s="402">
        <f t="shared" si="327"/>
        <v>0.13307325530992631</v>
      </c>
      <c r="P46" s="402">
        <f t="shared" si="327"/>
        <v>0.24140127388535038</v>
      </c>
      <c r="Q46" s="402">
        <f t="shared" si="327"/>
        <v>0.18925860939052486</v>
      </c>
      <c r="R46" s="402">
        <f t="shared" si="327"/>
        <v>4.9373565416985343E-2</v>
      </c>
      <c r="S46" s="402">
        <f t="shared" si="327"/>
        <v>0.14637543062376301</v>
      </c>
      <c r="T46" s="402">
        <f t="shared" si="327"/>
        <v>7.6410306547804341E-2</v>
      </c>
      <c r="U46" s="402">
        <f t="shared" si="327"/>
        <v>0.16004010116430045</v>
      </c>
      <c r="V46" s="402">
        <f t="shared" si="327"/>
        <v>9.9878516624040792E-2</v>
      </c>
      <c r="W46" s="402">
        <f t="shared" si="327"/>
        <v>8.1769990421772132E-2</v>
      </c>
      <c r="X46" s="402">
        <f t="shared" si="327"/>
        <v>7.4421071239173298E-2</v>
      </c>
      <c r="Y46" s="402">
        <f t="shared" si="327"/>
        <v>7.9594933176763361E-2</v>
      </c>
      <c r="Z46" s="402">
        <f t="shared" si="327"/>
        <v>0.10512857698971723</v>
      </c>
      <c r="AA46" s="402">
        <f t="shared" si="327"/>
        <v>9.2574311725348135E-2</v>
      </c>
      <c r="AB46" s="832">
        <f>AB44/Y44-1</f>
        <v>0.10151685665516141</v>
      </c>
      <c r="AC46" s="402">
        <f t="shared" ref="AC46:AE46" si="328">AC44/Z44-1</f>
        <v>7.1900209967961093E-3</v>
      </c>
      <c r="AD46" s="402">
        <f t="shared" si="328"/>
        <v>1.475470097072562E-2</v>
      </c>
      <c r="AE46" s="402">
        <f t="shared" si="328"/>
        <v>9.32134107435445E-3</v>
      </c>
      <c r="AF46" s="402">
        <f t="shared" ref="AF46" si="329">AF44/AC44-1</f>
        <v>6.9754360857279485E-2</v>
      </c>
      <c r="AG46" s="402">
        <f t="shared" ref="AG46" si="330">AG44/AD44-1</f>
        <v>0.36395948810798617</v>
      </c>
      <c r="AH46" s="402">
        <f>AH44/AE44-1</f>
        <v>0.15617203833113114</v>
      </c>
      <c r="AI46" s="402">
        <f t="shared" ref="AI46" si="331">AI44/AF44-1</f>
        <v>0.17779901397015752</v>
      </c>
      <c r="AJ46" s="402">
        <f t="shared" ref="AJ46" si="332">AJ44/AG44-1</f>
        <v>5.2581825933630366E-2</v>
      </c>
      <c r="AK46" s="402">
        <f>AK44/AH44-1</f>
        <v>0.13440844857427936</v>
      </c>
      <c r="AL46" s="402"/>
      <c r="AM46" s="402"/>
      <c r="AN46" s="402">
        <f>AN44/AK44-1</f>
        <v>0.14776197291499837</v>
      </c>
      <c r="AO46" s="402"/>
      <c r="AP46" s="402"/>
      <c r="AQ46" s="402">
        <f>AQ44/AN44-1</f>
        <v>0.14147699849789364</v>
      </c>
      <c r="AR46" s="402"/>
      <c r="AS46" s="402"/>
      <c r="AT46" s="402">
        <f>AT44/AQ44-1</f>
        <v>0.14120399158759311</v>
      </c>
      <c r="AU46" s="402"/>
      <c r="AV46" s="402"/>
      <c r="AW46" s="402">
        <f>AW44/AT44-1</f>
        <v>0.12831529314436096</v>
      </c>
      <c r="AX46" s="402"/>
      <c r="AY46" s="402"/>
      <c r="AZ46" s="402">
        <f>AZ44/AW44-1</f>
        <v>0.12857120531287114</v>
      </c>
      <c r="BA46" s="402"/>
      <c r="BB46" s="402"/>
      <c r="BC46" s="402">
        <f>BC44/AZ44-1</f>
        <v>0.12883203290270218</v>
      </c>
      <c r="BD46" s="402"/>
      <c r="BE46" s="402"/>
      <c r="BF46" s="402">
        <f>BF44/BC44-1</f>
        <v>0.12909811348868439</v>
      </c>
      <c r="BG46" s="402"/>
      <c r="BH46" s="402"/>
      <c r="BI46" s="402">
        <f t="shared" ref="BI46" si="333">BI44/BF44-1</f>
        <v>0.12688956037860311</v>
      </c>
    </row>
    <row r="47" spans="1:62" s="375" customFormat="1">
      <c r="A47" s="705"/>
      <c r="B47" s="414"/>
      <c r="C47" s="402"/>
      <c r="D47" s="402"/>
      <c r="E47" s="402"/>
      <c r="F47" s="402"/>
      <c r="G47" s="402"/>
      <c r="H47" s="402"/>
      <c r="I47" s="402"/>
      <c r="J47" s="402"/>
      <c r="K47" s="402"/>
      <c r="L47" s="402"/>
      <c r="M47" s="402"/>
      <c r="N47" s="402"/>
      <c r="O47" s="402"/>
      <c r="P47" s="402"/>
      <c r="Q47" s="402"/>
      <c r="R47" s="402"/>
      <c r="S47" s="402"/>
      <c r="T47" s="402"/>
      <c r="U47" s="402"/>
      <c r="V47" s="402"/>
      <c r="W47" s="402"/>
      <c r="X47" s="402"/>
      <c r="Y47" s="402"/>
      <c r="Z47" s="402"/>
      <c r="AA47" s="402"/>
      <c r="AB47" s="832"/>
      <c r="AC47" s="402"/>
      <c r="AD47" s="402"/>
      <c r="AE47" s="402"/>
      <c r="AF47" s="402"/>
      <c r="AG47" s="402"/>
      <c r="AH47" s="402"/>
      <c r="AI47" s="402"/>
      <c r="AJ47" s="402"/>
      <c r="AK47" s="402"/>
      <c r="AL47" s="402"/>
      <c r="AM47" s="402"/>
      <c r="AN47" s="402"/>
      <c r="AO47" s="402"/>
      <c r="AP47" s="402"/>
      <c r="AQ47" s="402"/>
      <c r="AR47" s="402"/>
      <c r="AS47" s="402"/>
      <c r="AT47" s="402"/>
      <c r="AU47" s="402"/>
      <c r="AV47" s="402"/>
      <c r="AW47" s="402"/>
      <c r="AX47" s="402"/>
      <c r="AY47" s="402"/>
      <c r="AZ47" s="402"/>
      <c r="BA47" s="402"/>
      <c r="BB47" s="402"/>
      <c r="BC47" s="402"/>
      <c r="BD47" s="402"/>
      <c r="BE47" s="402"/>
      <c r="BF47" s="402"/>
      <c r="BG47" s="402"/>
      <c r="BH47" s="402"/>
      <c r="BI47" s="402"/>
    </row>
    <row r="48" spans="1:62" s="312" customFormat="1">
      <c r="A48" s="312" t="s">
        <v>1783</v>
      </c>
      <c r="B48" s="500">
        <f>-1.24+0.233</f>
        <v>-1.0069999999999999</v>
      </c>
      <c r="C48" s="400">
        <f>D48-B48</f>
        <v>-0.78999999999999981</v>
      </c>
      <c r="D48" s="500">
        <f>-2.421+0.624</f>
        <v>-1.7969999999999997</v>
      </c>
      <c r="E48" s="500">
        <f>0.428-2.058</f>
        <v>-1.63</v>
      </c>
      <c r="F48" s="400">
        <f>G48-E48</f>
        <v>-0.90600000000000014</v>
      </c>
      <c r="G48" s="500">
        <f>1.044-3.58</f>
        <v>-2.536</v>
      </c>
      <c r="H48" s="500">
        <f>0.249-1.745</f>
        <v>-1.496</v>
      </c>
      <c r="I48" s="400">
        <f>J48-H48</f>
        <v>-1.5380000000000003</v>
      </c>
      <c r="J48" s="500">
        <f>-3.483+0.449</f>
        <v>-3.0340000000000003</v>
      </c>
      <c r="K48" s="500">
        <f>-4.297+0.097</f>
        <v>-4.1999999999999993</v>
      </c>
      <c r="L48" s="400">
        <f>M48-K48</f>
        <v>-3.9760000000000009</v>
      </c>
      <c r="M48" s="500">
        <f>-8.368+0.192</f>
        <v>-8.1760000000000002</v>
      </c>
      <c r="N48" s="500">
        <f>-4.566+0.058</f>
        <v>-4.508</v>
      </c>
      <c r="O48" s="400">
        <f>P48-N48</f>
        <v>-4.5189999999999992</v>
      </c>
      <c r="P48" s="500">
        <f>-9.157+0.13</f>
        <v>-9.0269999999999992</v>
      </c>
      <c r="Q48" s="500">
        <f>-3.586+0.084</f>
        <v>-3.5019999999999998</v>
      </c>
      <c r="R48" s="400">
        <f>S48-Q48</f>
        <v>-5.0249999999999995</v>
      </c>
      <c r="S48" s="500">
        <f>-8.844+0.317</f>
        <v>-8.5269999999999992</v>
      </c>
      <c r="T48" s="500">
        <f>-10.687+0.208</f>
        <v>-10.478999999999999</v>
      </c>
      <c r="U48" s="400">
        <f t="shared" ref="U48:AT48" si="334">U120</f>
        <v>-11.850000000000001</v>
      </c>
      <c r="V48" s="400">
        <f>V120</f>
        <v>-21.03</v>
      </c>
      <c r="W48" s="500">
        <f>-13.683+0.842</f>
        <v>-12.840999999999999</v>
      </c>
      <c r="X48" s="400">
        <f t="shared" ref="X48" si="335">X120</f>
        <v>-8.7740000000000009</v>
      </c>
      <c r="Y48" s="400">
        <f>Y120</f>
        <v>-20.026</v>
      </c>
      <c r="Z48" s="500">
        <f>-9.269+0.853</f>
        <v>-8.4160000000000004</v>
      </c>
      <c r="AA48" s="400">
        <f t="shared" ref="AA48" si="336">AA120</f>
        <v>-7.2439999999999998</v>
      </c>
      <c r="AB48" s="835">
        <f>AB120</f>
        <v>-14.667999999999999</v>
      </c>
      <c r="AC48" s="500">
        <f>-9.148+0.758</f>
        <v>-8.39</v>
      </c>
      <c r="AD48" s="400">
        <f t="shared" ref="AD48" si="337">AD120</f>
        <v>-8.3934880710004247</v>
      </c>
      <c r="AE48" s="400">
        <f t="shared" si="334"/>
        <v>-16.690134071000426</v>
      </c>
      <c r="AF48" s="400">
        <f>AF120</f>
        <v>-9.6279620873122393</v>
      </c>
      <c r="AG48" s="400">
        <f t="shared" ref="AG48" si="338">AG120</f>
        <v>-4.78449316411682</v>
      </c>
      <c r="AH48" s="400">
        <f t="shared" si="334"/>
        <v>-14.412455251429058</v>
      </c>
      <c r="AI48" s="400">
        <f>AI120</f>
        <v>-2.2954001778735105</v>
      </c>
      <c r="AJ48" s="400">
        <f t="shared" ref="AJ48" si="339">AJ120</f>
        <v>-10.518362292763161</v>
      </c>
      <c r="AK48" s="400">
        <f t="shared" si="334"/>
        <v>-10.968762470636673</v>
      </c>
      <c r="AL48" s="400"/>
      <c r="AM48" s="400"/>
      <c r="AN48" s="400">
        <f t="shared" si="334"/>
        <v>-10.713830719444774</v>
      </c>
      <c r="AO48" s="400"/>
      <c r="AP48" s="400"/>
      <c r="AQ48" s="400">
        <f t="shared" si="334"/>
        <v>-9.5104647317693427</v>
      </c>
      <c r="AR48" s="400"/>
      <c r="AS48" s="400"/>
      <c r="AT48" s="400">
        <f t="shared" si="334"/>
        <v>-9.0200172927568865</v>
      </c>
      <c r="AU48" s="400"/>
      <c r="AV48" s="400"/>
      <c r="AW48" s="400">
        <f t="shared" ref="AW48" si="340">AW120</f>
        <v>-7.3671056946831497</v>
      </c>
      <c r="AX48" s="400"/>
      <c r="AY48" s="400"/>
      <c r="AZ48" s="400">
        <f t="shared" ref="AZ48:BC48" si="341">AZ120</f>
        <v>-6.2366263167081692</v>
      </c>
      <c r="BA48" s="400"/>
      <c r="BB48" s="400"/>
      <c r="BC48" s="400">
        <f t="shared" si="341"/>
        <v>-5.3182626727439528</v>
      </c>
      <c r="BD48" s="400"/>
      <c r="BE48" s="400"/>
      <c r="BF48" s="400">
        <f t="shared" ref="BF48" si="342">BF120</f>
        <v>-4.0993595595580299</v>
      </c>
      <c r="BG48" s="400"/>
      <c r="BH48" s="400"/>
      <c r="BI48" s="400">
        <f t="shared" ref="BI48" si="343">BI120</f>
        <v>-2.6099242245655603</v>
      </c>
      <c r="BJ48" s="337"/>
    </row>
    <row r="49" spans="1:62" s="312" customFormat="1">
      <c r="B49" s="400"/>
      <c r="C49" s="400"/>
      <c r="D49" s="400"/>
      <c r="E49" s="400"/>
      <c r="F49" s="400"/>
      <c r="G49" s="400"/>
      <c r="H49" s="400"/>
      <c r="I49" s="400"/>
      <c r="J49" s="402"/>
      <c r="K49" s="402"/>
      <c r="L49" s="402"/>
      <c r="M49" s="402"/>
      <c r="N49" s="402"/>
      <c r="O49" s="402"/>
      <c r="P49" s="402"/>
      <c r="Q49" s="402"/>
      <c r="R49" s="402"/>
      <c r="S49" s="402"/>
      <c r="T49" s="402"/>
      <c r="U49" s="402"/>
      <c r="V49" s="402"/>
      <c r="W49" s="402"/>
      <c r="X49" s="402"/>
      <c r="Y49" s="402"/>
      <c r="Z49" s="402"/>
      <c r="AA49" s="402"/>
      <c r="AB49" s="832"/>
      <c r="AC49" s="402"/>
      <c r="AD49" s="402"/>
      <c r="AE49" s="402"/>
      <c r="AF49" s="402"/>
      <c r="AG49" s="402"/>
      <c r="AH49" s="402"/>
      <c r="AI49" s="402"/>
      <c r="AJ49" s="402"/>
      <c r="AK49" s="400"/>
      <c r="AL49" s="400"/>
      <c r="AM49" s="400"/>
      <c r="AN49" s="400"/>
      <c r="AO49" s="400"/>
      <c r="AP49" s="400"/>
      <c r="AQ49" s="400"/>
      <c r="AR49" s="400"/>
      <c r="AS49" s="400"/>
      <c r="AT49" s="400"/>
      <c r="AU49" s="400"/>
      <c r="AV49" s="400"/>
      <c r="AW49" s="400"/>
      <c r="AX49" s="400"/>
      <c r="AY49" s="400"/>
      <c r="AZ49" s="400"/>
      <c r="BA49" s="400"/>
      <c r="BB49" s="400"/>
      <c r="BC49" s="400"/>
      <c r="BD49" s="400"/>
      <c r="BE49" s="400"/>
      <c r="BF49" s="400"/>
      <c r="BG49" s="400"/>
      <c r="BH49" s="400"/>
      <c r="BI49" s="400"/>
      <c r="BJ49" s="337"/>
    </row>
    <row r="50" spans="1:62" s="312" customFormat="1">
      <c r="A50" s="344" t="s">
        <v>399</v>
      </c>
      <c r="B50" s="403">
        <f t="shared" ref="B50:Q50" si="344">B44+B48</f>
        <v>48.135000000000005</v>
      </c>
      <c r="C50" s="403">
        <f t="shared" si="344"/>
        <v>29.087999999999994</v>
      </c>
      <c r="D50" s="403">
        <f t="shared" si="344"/>
        <v>77.222999999999999</v>
      </c>
      <c r="E50" s="403">
        <f t="shared" si="344"/>
        <v>53.568999999999996</v>
      </c>
      <c r="F50" s="403">
        <f t="shared" si="344"/>
        <v>30.804000000000009</v>
      </c>
      <c r="G50" s="403">
        <f t="shared" si="344"/>
        <v>84.373000000000005</v>
      </c>
      <c r="H50" s="403">
        <f t="shared" si="344"/>
        <v>60.841999999999992</v>
      </c>
      <c r="I50" s="403">
        <f t="shared" si="344"/>
        <v>33.469000000000008</v>
      </c>
      <c r="J50" s="403">
        <f t="shared" si="344"/>
        <v>94.310999999999993</v>
      </c>
      <c r="K50" s="403">
        <f t="shared" si="344"/>
        <v>68.787999999999997</v>
      </c>
      <c r="L50" s="403">
        <f t="shared" si="344"/>
        <v>32.936</v>
      </c>
      <c r="M50" s="403">
        <f t="shared" si="344"/>
        <v>101.724</v>
      </c>
      <c r="N50" s="403">
        <f t="shared" si="344"/>
        <v>90.097999999999999</v>
      </c>
      <c r="O50" s="403">
        <f t="shared" si="344"/>
        <v>37.305</v>
      </c>
      <c r="P50" s="403">
        <f t="shared" si="344"/>
        <v>127.40300000000001</v>
      </c>
      <c r="Q50" s="403">
        <f t="shared" si="344"/>
        <v>109.009</v>
      </c>
      <c r="R50" s="403">
        <f>R44+R48</f>
        <v>38.863999999999997</v>
      </c>
      <c r="S50" s="403">
        <f>S44+S48</f>
        <v>147.87300000000002</v>
      </c>
      <c r="T50" s="403">
        <f t="shared" ref="T50" si="345">T44+T48</f>
        <v>110.629</v>
      </c>
      <c r="U50" s="403">
        <f t="shared" ref="U50:AT50" si="346">U44+U48</f>
        <v>39.062999999999981</v>
      </c>
      <c r="V50" s="403">
        <f t="shared" si="346"/>
        <v>150.99099999999999</v>
      </c>
      <c r="W50" s="403">
        <f t="shared" ref="W50:X50" si="347">W44+W48</f>
        <v>118.17</v>
      </c>
      <c r="X50" s="403">
        <f t="shared" si="347"/>
        <v>45.928000000000011</v>
      </c>
      <c r="Y50" s="403">
        <f t="shared" si="346"/>
        <v>165.68699999999998</v>
      </c>
      <c r="Z50" s="403">
        <f t="shared" si="346"/>
        <v>136.36799999999985</v>
      </c>
      <c r="AA50" s="403">
        <f t="shared" si="346"/>
        <v>52.522000000000006</v>
      </c>
      <c r="AB50" s="827">
        <f t="shared" si="346"/>
        <v>189.898</v>
      </c>
      <c r="AC50" s="403">
        <f t="shared" si="346"/>
        <v>137.435</v>
      </c>
      <c r="AD50" s="403">
        <f t="shared" ref="AD50" si="348">AD44+AD48</f>
        <v>52.254341387215966</v>
      </c>
      <c r="AE50" s="403">
        <f t="shared" si="346"/>
        <v>189.78269538721597</v>
      </c>
      <c r="AF50" s="403">
        <f t="shared" si="346"/>
        <v>146.36896758470056</v>
      </c>
      <c r="AG50" s="403">
        <f t="shared" si="346"/>
        <v>77.936689258572457</v>
      </c>
      <c r="AH50" s="403">
        <f t="shared" si="346"/>
        <v>224.305656843273</v>
      </c>
      <c r="AI50" s="403">
        <f t="shared" ref="AI50:AJ50" si="349">AI44+AI48</f>
        <v>181.43762977219515</v>
      </c>
      <c r="AJ50" s="403">
        <f t="shared" si="349"/>
        <v>76.552450945100048</v>
      </c>
      <c r="AK50" s="403">
        <f t="shared" si="346"/>
        <v>259.83508071729523</v>
      </c>
      <c r="AL50" s="403"/>
      <c r="AM50" s="403"/>
      <c r="AN50" s="403">
        <f t="shared" si="346"/>
        <v>300.10452261089972</v>
      </c>
      <c r="AO50" s="403"/>
      <c r="AP50" s="403"/>
      <c r="AQ50" s="403">
        <f t="shared" si="346"/>
        <v>345.28153630581011</v>
      </c>
      <c r="AR50" s="403"/>
      <c r="AS50" s="403"/>
      <c r="AT50" s="403">
        <f t="shared" si="346"/>
        <v>395.87003047467823</v>
      </c>
      <c r="AU50" s="403"/>
      <c r="AV50" s="403"/>
      <c r="AW50" s="403">
        <f t="shared" ref="AW50" si="350">AW44+AW48</f>
        <v>449.47652724326468</v>
      </c>
      <c r="AX50" s="403"/>
      <c r="AY50" s="403"/>
      <c r="AZ50" s="403">
        <f t="shared" ref="AZ50:BC50" si="351">AZ44+AZ48</f>
        <v>509.34394314758248</v>
      </c>
      <c r="BA50" s="403"/>
      <c r="BB50" s="403"/>
      <c r="BC50" s="403">
        <f t="shared" si="351"/>
        <v>576.6855996807642</v>
      </c>
      <c r="BD50" s="403"/>
      <c r="BE50" s="403"/>
      <c r="BF50" s="403">
        <f t="shared" ref="BF50" si="352">BF44+BF48</f>
        <v>653.04010346691587</v>
      </c>
      <c r="BG50" s="403"/>
      <c r="BH50" s="403"/>
      <c r="BI50" s="403">
        <f t="shared" ref="BI50" si="353">BI44+BI48</f>
        <v>737.91367637276892</v>
      </c>
      <c r="BJ50" s="347"/>
    </row>
    <row r="51" spans="1:62" s="312" customFormat="1">
      <c r="A51" s="344"/>
      <c r="B51" s="400"/>
      <c r="C51" s="400"/>
      <c r="D51" s="400"/>
      <c r="E51" s="400"/>
      <c r="F51" s="400"/>
      <c r="G51" s="400"/>
      <c r="H51" s="400"/>
      <c r="I51" s="400"/>
      <c r="J51" s="400"/>
      <c r="K51" s="400"/>
      <c r="L51" s="400"/>
      <c r="M51" s="400"/>
      <c r="N51" s="400"/>
      <c r="O51" s="400"/>
      <c r="P51" s="400"/>
      <c r="Q51" s="400"/>
      <c r="R51" s="400"/>
      <c r="S51" s="400"/>
      <c r="T51" s="400"/>
      <c r="U51" s="400"/>
      <c r="V51" s="400"/>
      <c r="W51" s="400"/>
      <c r="X51" s="408"/>
      <c r="Y51" s="400"/>
      <c r="Z51" s="400"/>
      <c r="AA51" s="408"/>
      <c r="AB51" s="835"/>
      <c r="AC51" s="400"/>
      <c r="AD51" s="400"/>
      <c r="AE51" s="400"/>
      <c r="AF51" s="400"/>
      <c r="AG51" s="400"/>
      <c r="AH51" s="400"/>
      <c r="AI51" s="400"/>
      <c r="AJ51" s="400"/>
      <c r="AK51" s="400"/>
      <c r="AL51" s="400"/>
      <c r="AM51" s="400"/>
      <c r="AN51" s="400"/>
      <c r="AO51" s="400"/>
      <c r="AP51" s="400"/>
      <c r="AQ51" s="400"/>
      <c r="AR51" s="400"/>
      <c r="AS51" s="400"/>
      <c r="AT51" s="400"/>
      <c r="AU51" s="400"/>
      <c r="AV51" s="400"/>
      <c r="AW51" s="400"/>
      <c r="AX51" s="400"/>
      <c r="AY51" s="400"/>
      <c r="AZ51" s="400"/>
      <c r="BA51" s="400"/>
      <c r="BB51" s="400"/>
      <c r="BC51" s="400"/>
      <c r="BD51" s="400"/>
      <c r="BE51" s="400"/>
      <c r="BF51" s="400"/>
      <c r="BG51" s="400"/>
      <c r="BH51" s="400"/>
      <c r="BI51" s="400"/>
      <c r="BJ51" s="337"/>
    </row>
    <row r="52" spans="1:62" s="312" customFormat="1">
      <c r="A52" s="312" t="s">
        <v>400</v>
      </c>
      <c r="B52" s="500">
        <v>-14.409000000000001</v>
      </c>
      <c r="C52" s="400">
        <f>D52-B52</f>
        <v>-8.9799999999999986</v>
      </c>
      <c r="D52" s="500">
        <v>-23.388999999999999</v>
      </c>
      <c r="E52" s="500">
        <f>-17.223+1.571</f>
        <v>-15.651999999999999</v>
      </c>
      <c r="F52" s="400">
        <f>+G52-E52</f>
        <v>-8.6309999999999985</v>
      </c>
      <c r="G52" s="500">
        <f>-25.854+1.571</f>
        <v>-24.282999999999998</v>
      </c>
      <c r="H52" s="500">
        <v>-17.324000000000002</v>
      </c>
      <c r="I52" s="400">
        <f>J52-H52</f>
        <v>-9.6019999999999968</v>
      </c>
      <c r="J52" s="500">
        <v>-26.925999999999998</v>
      </c>
      <c r="K52" s="500">
        <v>-19.119</v>
      </c>
      <c r="L52" s="400">
        <f>M52-K52</f>
        <v>-9.9050000000000011</v>
      </c>
      <c r="M52" s="500">
        <f>M57-M50</f>
        <v>-29.024000000000001</v>
      </c>
      <c r="N52" s="500">
        <v>-25.937999999999999</v>
      </c>
      <c r="O52" s="400">
        <f>P52-N52</f>
        <v>-10.497000000000003</v>
      </c>
      <c r="P52" s="500">
        <v>-36.435000000000002</v>
      </c>
      <c r="Q52" s="500">
        <v>-31.312999999999999</v>
      </c>
      <c r="R52" s="400">
        <f>S52-Q52</f>
        <v>-10.803999999999998</v>
      </c>
      <c r="S52" s="500">
        <v>-42.116999999999997</v>
      </c>
      <c r="T52" s="500">
        <v>-31.91</v>
      </c>
      <c r="U52" s="400">
        <f>V52-T52</f>
        <v>-8.8730000000000011</v>
      </c>
      <c r="V52" s="500">
        <v>-40.783000000000001</v>
      </c>
      <c r="W52" s="500">
        <v>-34.200000000000003</v>
      </c>
      <c r="X52" s="400">
        <f>Y52-W52</f>
        <v>-12.979999999999997</v>
      </c>
      <c r="Y52" s="500">
        <v>-47.18</v>
      </c>
      <c r="Z52" s="500">
        <v>-38.871000000000002</v>
      </c>
      <c r="AA52" s="400">
        <f>AB52-Z52</f>
        <v>-15.172999999999995</v>
      </c>
      <c r="AB52" s="859">
        <v>-54.043999999999997</v>
      </c>
      <c r="AC52" s="500">
        <v>-39.215000000000003</v>
      </c>
      <c r="AD52" s="400">
        <f>AE52-AC52</f>
        <v>-14.796184896663988</v>
      </c>
      <c r="AE52" s="400">
        <f t="shared" ref="AE52:AT52" si="354">AE53*-AE50</f>
        <v>-54.011184896663991</v>
      </c>
      <c r="AF52" s="400">
        <f>AF53*-AF50</f>
        <v>-41.655859904514827</v>
      </c>
      <c r="AG52" s="400">
        <f>AH52-AF52</f>
        <v>-22.180383333633259</v>
      </c>
      <c r="AH52" s="400">
        <f t="shared" si="354"/>
        <v>-63.836243238148086</v>
      </c>
      <c r="AI52" s="400">
        <f>AI53*-AI50</f>
        <v>-51.63622188442487</v>
      </c>
      <c r="AJ52" s="400">
        <f>AK52-AI52</f>
        <v>-22.311513754104766</v>
      </c>
      <c r="AK52" s="400">
        <f t="shared" si="354"/>
        <v>-73.947735638529636</v>
      </c>
      <c r="AL52" s="400"/>
      <c r="AM52" s="400"/>
      <c r="AN52" s="400">
        <f t="shared" si="354"/>
        <v>-85.408212935278215</v>
      </c>
      <c r="AO52" s="400"/>
      <c r="AP52" s="400"/>
      <c r="AQ52" s="400">
        <f t="shared" si="354"/>
        <v>-98.265360078100869</v>
      </c>
      <c r="AR52" s="400"/>
      <c r="AS52" s="400"/>
      <c r="AT52" s="400">
        <f t="shared" si="354"/>
        <v>-112.66258689914326</v>
      </c>
      <c r="AU52" s="400"/>
      <c r="AV52" s="400"/>
      <c r="AW52" s="400">
        <f t="shared" ref="AW52" si="355">AW53*-AW50</f>
        <v>-127.91872183137787</v>
      </c>
      <c r="AX52" s="400"/>
      <c r="AY52" s="400"/>
      <c r="AZ52" s="400">
        <f t="shared" ref="AZ52:BC52" si="356">AZ53*-AZ50</f>
        <v>-144.95668234245724</v>
      </c>
      <c r="BA52" s="400"/>
      <c r="BB52" s="400"/>
      <c r="BC52" s="400">
        <f t="shared" si="356"/>
        <v>-164.12177352656278</v>
      </c>
      <c r="BD52" s="400"/>
      <c r="BE52" s="400"/>
      <c r="BF52" s="400">
        <f t="shared" ref="BF52" si="357">BF53*-BF50</f>
        <v>-185.85187496322234</v>
      </c>
      <c r="BG52" s="400"/>
      <c r="BH52" s="400"/>
      <c r="BI52" s="400">
        <f t="shared" ref="BI52" si="358">BI53*-BI50</f>
        <v>-210.00645992000926</v>
      </c>
      <c r="BJ52" s="337"/>
    </row>
    <row r="53" spans="1:62" s="375" customFormat="1">
      <c r="A53" s="375" t="s">
        <v>430</v>
      </c>
      <c r="B53" s="410">
        <f>-B52/(B50+B90)</f>
        <v>0.29934559052664378</v>
      </c>
      <c r="C53" s="410">
        <f t="shared" ref="C53:D53" si="359">-C52/(C50+C90)</f>
        <v>0.30871837183718376</v>
      </c>
      <c r="D53" s="410">
        <f t="shared" si="359"/>
        <v>0.30287608614013961</v>
      </c>
      <c r="E53" s="410">
        <f>-E52/E50</f>
        <v>0.2921839123373593</v>
      </c>
      <c r="F53" s="410">
        <f>-F52/F50</f>
        <v>0.28019088430074002</v>
      </c>
      <c r="G53" s="410">
        <f t="shared" ref="G53:H53" si="360">-G52/G50</f>
        <v>0.28780534057103574</v>
      </c>
      <c r="H53" s="410">
        <f t="shared" si="360"/>
        <v>0.28473751684691501</v>
      </c>
      <c r="I53" s="410">
        <f>-I52/I50</f>
        <v>0.28689234814305759</v>
      </c>
      <c r="J53" s="410">
        <f t="shared" ref="J53" si="361">-J52/J50</f>
        <v>0.28550222137396486</v>
      </c>
      <c r="K53" s="410">
        <f t="shared" ref="K53" si="362">-K52/K50</f>
        <v>0.27794091992789444</v>
      </c>
      <c r="L53" s="410">
        <f t="shared" ref="L53" si="363">-L52/L50</f>
        <v>0.30073475831916446</v>
      </c>
      <c r="M53" s="410">
        <f t="shared" ref="M53" si="364">-M52/M50</f>
        <v>0.28532106484212183</v>
      </c>
      <c r="N53" s="410">
        <f t="shared" ref="N53" si="365">-N52/N50</f>
        <v>0.28788652356323113</v>
      </c>
      <c r="O53" s="410">
        <f>-O52/O50</f>
        <v>0.28138319260152805</v>
      </c>
      <c r="P53" s="410">
        <f t="shared" ref="P53:Q53" si="366">-P52/P50</f>
        <v>0.28598227671247928</v>
      </c>
      <c r="Q53" s="410">
        <f t="shared" si="366"/>
        <v>0.28725151134310012</v>
      </c>
      <c r="R53" s="410">
        <f>-R52/R50</f>
        <v>0.27799505969534788</v>
      </c>
      <c r="S53" s="410">
        <f>-S52/S50</f>
        <v>0.28481872958552268</v>
      </c>
      <c r="T53" s="410">
        <f t="shared" ref="T53" si="367">-T52/T50</f>
        <v>0.28844154787623499</v>
      </c>
      <c r="U53" s="410">
        <f>-U52/U50</f>
        <v>0.22714589253257572</v>
      </c>
      <c r="V53" s="410">
        <f>-V52/V50</f>
        <v>0.27010219152134901</v>
      </c>
      <c r="W53" s="410">
        <f t="shared" ref="W53" si="368">-W52/W50</f>
        <v>0.28941355674028946</v>
      </c>
      <c r="X53" s="981">
        <f>-X52/X50</f>
        <v>0.28261626894269276</v>
      </c>
      <c r="Y53" s="410">
        <f>-Y52/Y50</f>
        <v>0.28475378273491586</v>
      </c>
      <c r="Z53" s="410">
        <f t="shared" ref="Z53" si="369">-Z52/Z50</f>
        <v>0.28504487856388627</v>
      </c>
      <c r="AA53" s="981">
        <f>-AA52/AA50</f>
        <v>0.28888846578576582</v>
      </c>
      <c r="AB53" s="997">
        <f>-AB52/AB50</f>
        <v>0.28459488778186182</v>
      </c>
      <c r="AC53" s="410">
        <f t="shared" ref="AC53" si="370">-AC52/AC50</f>
        <v>0.28533488558227527</v>
      </c>
      <c r="AD53" s="981">
        <f>-AD52/AD50</f>
        <v>0.28315704501987804</v>
      </c>
      <c r="AE53" s="981">
        <f>AB53</f>
        <v>0.28459488778186182</v>
      </c>
      <c r="AF53" s="981">
        <f>AH53</f>
        <v>0.28459488778186182</v>
      </c>
      <c r="AG53" s="981">
        <f>-AG52/AG50</f>
        <v>0.28459488778186176</v>
      </c>
      <c r="AH53" s="981">
        <f>AE53</f>
        <v>0.28459488778186182</v>
      </c>
      <c r="AI53" s="981">
        <f>AK53</f>
        <v>0.28459488778186182</v>
      </c>
      <c r="AJ53" s="981">
        <f>-AJ52/AJ50</f>
        <v>0.29145394404296177</v>
      </c>
      <c r="AK53" s="981">
        <f>AH53</f>
        <v>0.28459488778186182</v>
      </c>
      <c r="AL53" s="981"/>
      <c r="AM53" s="981"/>
      <c r="AN53" s="981">
        <f>AK53</f>
        <v>0.28459488778186182</v>
      </c>
      <c r="AO53" s="981"/>
      <c r="AP53" s="981"/>
      <c r="AQ53" s="981">
        <f>AN53</f>
        <v>0.28459488778186182</v>
      </c>
      <c r="AR53" s="981"/>
      <c r="AS53" s="981"/>
      <c r="AT53" s="981">
        <f>AQ53</f>
        <v>0.28459488778186182</v>
      </c>
      <c r="AU53" s="981"/>
      <c r="AV53" s="981"/>
      <c r="AW53" s="981">
        <f>AT53</f>
        <v>0.28459488778186182</v>
      </c>
      <c r="AX53" s="981"/>
      <c r="AY53" s="981"/>
      <c r="AZ53" s="981">
        <f>AW53</f>
        <v>0.28459488778186182</v>
      </c>
      <c r="BA53" s="981"/>
      <c r="BB53" s="981"/>
      <c r="BC53" s="981">
        <f>AZ53</f>
        <v>0.28459488778186182</v>
      </c>
      <c r="BD53" s="981"/>
      <c r="BE53" s="981"/>
      <c r="BF53" s="981">
        <f>BC53</f>
        <v>0.28459488778186182</v>
      </c>
      <c r="BG53" s="981"/>
      <c r="BH53" s="981"/>
      <c r="BI53" s="981">
        <f t="shared" ref="BI53" si="371">BF53</f>
        <v>0.28459488778186182</v>
      </c>
      <c r="BJ53" s="330"/>
    </row>
    <row r="54" spans="1:62" s="312" customFormat="1">
      <c r="B54" s="400"/>
      <c r="C54" s="400"/>
      <c r="D54" s="400"/>
      <c r="E54" s="400"/>
      <c r="F54" s="400"/>
      <c r="G54" s="400"/>
      <c r="H54" s="400"/>
      <c r="I54" s="400"/>
      <c r="J54" s="400"/>
      <c r="K54" s="400"/>
      <c r="L54" s="400"/>
      <c r="M54" s="400"/>
      <c r="N54" s="400"/>
      <c r="O54" s="400"/>
      <c r="P54" s="400"/>
      <c r="Q54" s="400"/>
      <c r="R54" s="400"/>
      <c r="S54" s="400"/>
      <c r="T54" s="400"/>
      <c r="U54" s="400"/>
      <c r="V54" s="400"/>
      <c r="W54" s="400"/>
      <c r="X54" s="400"/>
      <c r="Y54" s="400"/>
      <c r="Z54" s="400"/>
      <c r="AA54" s="400"/>
      <c r="AB54" s="835"/>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0"/>
      <c r="BC54" s="400"/>
      <c r="BD54" s="400"/>
      <c r="BE54" s="400"/>
      <c r="BF54" s="400"/>
      <c r="BG54" s="400"/>
      <c r="BH54" s="400"/>
      <c r="BI54" s="400"/>
      <c r="BJ54" s="337"/>
    </row>
    <row r="55" spans="1:62" s="312" customFormat="1">
      <c r="A55" s="312" t="s">
        <v>1251</v>
      </c>
      <c r="B55" s="411"/>
      <c r="C55" s="411"/>
      <c r="D55" s="411"/>
      <c r="E55" s="411"/>
      <c r="F55" s="411"/>
      <c r="G55" s="411"/>
      <c r="H55" s="411"/>
      <c r="I55" s="411"/>
      <c r="J55" s="411"/>
      <c r="K55" s="411"/>
      <c r="L55" s="411"/>
      <c r="M55" s="411"/>
      <c r="N55" s="411"/>
      <c r="O55" s="411"/>
      <c r="P55" s="411"/>
      <c r="Q55" s="411"/>
      <c r="R55" s="411"/>
      <c r="S55" s="411"/>
      <c r="T55" s="411"/>
      <c r="U55" s="411"/>
      <c r="V55" s="411"/>
      <c r="W55" s="411"/>
      <c r="X55" s="411"/>
      <c r="Y55" s="411"/>
      <c r="Z55" s="411"/>
      <c r="AA55" s="411"/>
      <c r="AB55" s="836"/>
      <c r="AC55" s="411"/>
      <c r="AD55" s="411"/>
      <c r="AE55" s="411"/>
      <c r="AF55" s="411"/>
      <c r="AG55" s="411"/>
      <c r="AH55" s="411"/>
      <c r="AI55" s="411"/>
      <c r="AJ55" s="411"/>
      <c r="AK55" s="411"/>
      <c r="AL55" s="411"/>
      <c r="AM55" s="411"/>
      <c r="AN55" s="411"/>
      <c r="AO55" s="411"/>
      <c r="AP55" s="411"/>
      <c r="AQ55" s="411"/>
      <c r="AR55" s="411"/>
      <c r="AS55" s="411"/>
      <c r="AT55" s="411"/>
      <c r="AU55" s="411"/>
      <c r="AV55" s="411"/>
      <c r="AW55" s="411"/>
      <c r="AX55" s="411"/>
      <c r="AY55" s="411"/>
      <c r="AZ55" s="411"/>
      <c r="BA55" s="411"/>
      <c r="BB55" s="411"/>
      <c r="BC55" s="411"/>
      <c r="BD55" s="411"/>
      <c r="BE55" s="411"/>
      <c r="BF55" s="411"/>
      <c r="BG55" s="411"/>
      <c r="BH55" s="411"/>
      <c r="BI55" s="411"/>
      <c r="BJ55" s="328"/>
    </row>
    <row r="56" spans="1:62" s="312" customFormat="1" outlineLevel="1">
      <c r="A56" s="312" t="s">
        <v>401</v>
      </c>
      <c r="B56" s="411"/>
      <c r="C56" s="411"/>
      <c r="D56" s="411"/>
      <c r="E56" s="411"/>
      <c r="F56" s="411"/>
      <c r="G56" s="411"/>
      <c r="H56" s="411"/>
      <c r="I56" s="411"/>
      <c r="J56" s="411"/>
      <c r="K56" s="411"/>
      <c r="L56" s="411"/>
      <c r="M56" s="411"/>
      <c r="N56" s="411"/>
      <c r="O56" s="411"/>
      <c r="P56" s="411"/>
      <c r="Q56" s="411"/>
      <c r="R56" s="411"/>
      <c r="S56" s="411"/>
      <c r="T56" s="411"/>
      <c r="U56" s="411"/>
      <c r="V56" s="411"/>
      <c r="W56" s="411"/>
      <c r="X56" s="402"/>
      <c r="Y56" s="402"/>
      <c r="Z56" s="411"/>
      <c r="AA56" s="402"/>
      <c r="AB56" s="832"/>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1"/>
      <c r="BC56" s="411"/>
      <c r="BD56" s="411"/>
      <c r="BE56" s="411"/>
      <c r="BF56" s="411"/>
      <c r="BG56" s="411"/>
      <c r="BH56" s="411"/>
      <c r="BI56" s="411"/>
      <c r="BJ56" s="328"/>
    </row>
    <row r="57" spans="1:62" s="344" customFormat="1" ht="15.75" thickBot="1">
      <c r="A57" s="378" t="s">
        <v>527</v>
      </c>
      <c r="B57" s="412">
        <f>B50+B52</f>
        <v>33.726000000000006</v>
      </c>
      <c r="C57" s="412">
        <f t="shared" ref="C57:D57" si="372">C50+C52</f>
        <v>20.107999999999997</v>
      </c>
      <c r="D57" s="412">
        <f t="shared" si="372"/>
        <v>53.834000000000003</v>
      </c>
      <c r="E57" s="412">
        <f>E50+E52</f>
        <v>37.916999999999994</v>
      </c>
      <c r="F57" s="412">
        <f t="shared" ref="F57:G57" si="373">F50+F52</f>
        <v>22.173000000000009</v>
      </c>
      <c r="G57" s="412">
        <f t="shared" si="373"/>
        <v>60.09</v>
      </c>
      <c r="H57" s="412">
        <f>H50+H52</f>
        <v>43.517999999999986</v>
      </c>
      <c r="I57" s="412">
        <f t="shared" ref="I57:Q57" si="374">I50+I52</f>
        <v>23.867000000000012</v>
      </c>
      <c r="J57" s="412">
        <f t="shared" si="374"/>
        <v>67.384999999999991</v>
      </c>
      <c r="K57" s="412">
        <f t="shared" si="374"/>
        <v>49.668999999999997</v>
      </c>
      <c r="L57" s="412">
        <f t="shared" si="374"/>
        <v>23.030999999999999</v>
      </c>
      <c r="M57" s="412">
        <v>72.7</v>
      </c>
      <c r="N57" s="412">
        <f t="shared" si="374"/>
        <v>64.16</v>
      </c>
      <c r="O57" s="412">
        <f t="shared" si="374"/>
        <v>26.807999999999996</v>
      </c>
      <c r="P57" s="412">
        <f t="shared" si="374"/>
        <v>90.968000000000004</v>
      </c>
      <c r="Q57" s="412">
        <f t="shared" si="374"/>
        <v>77.695999999999998</v>
      </c>
      <c r="R57" s="412">
        <f>S57-Q57</f>
        <v>28.060000000000031</v>
      </c>
      <c r="S57" s="412">
        <f>S50+S52+S55-S56</f>
        <v>105.75600000000003</v>
      </c>
      <c r="T57" s="412">
        <f>T50+T52+T55-T56</f>
        <v>78.719000000000008</v>
      </c>
      <c r="U57" s="412">
        <f>V57-T57</f>
        <v>31.488999999999976</v>
      </c>
      <c r="V57" s="412">
        <f>V50+V52+V55-V56</f>
        <v>110.20799999999998</v>
      </c>
      <c r="W57" s="412">
        <f>W50+W52+W55-W56</f>
        <v>83.97</v>
      </c>
      <c r="X57" s="412">
        <f>Y57-W57</f>
        <v>34.536999999999978</v>
      </c>
      <c r="Y57" s="412">
        <f t="shared" ref="Y57:AT57" si="375">Y50+Y52+Y55-Y56</f>
        <v>118.50699999999998</v>
      </c>
      <c r="Z57" s="412">
        <f>Z50+Z52+Z55-Z56</f>
        <v>97.496999999999844</v>
      </c>
      <c r="AA57" s="412">
        <f>AB57-Z57</f>
        <v>38.357000000000141</v>
      </c>
      <c r="AB57" s="837">
        <f t="shared" si="375"/>
        <v>135.85399999999998</v>
      </c>
      <c r="AC57" s="412">
        <f>AC50+AC52+AC55-AC56</f>
        <v>98.22</v>
      </c>
      <c r="AD57" s="412">
        <f>AE57-AC57</f>
        <v>37.551510490551976</v>
      </c>
      <c r="AE57" s="412">
        <f t="shared" si="375"/>
        <v>135.77151049055198</v>
      </c>
      <c r="AF57" s="412">
        <f>AF50+AF52+AF55-AF56</f>
        <v>104.71310768018573</v>
      </c>
      <c r="AG57" s="412">
        <f>AH57-AF57</f>
        <v>55.756305924939184</v>
      </c>
      <c r="AH57" s="412">
        <f t="shared" si="375"/>
        <v>160.46941360512491</v>
      </c>
      <c r="AI57" s="412">
        <f>AI50+AI52+AI55-AI56</f>
        <v>129.80140788777027</v>
      </c>
      <c r="AJ57" s="412">
        <f>AK57-AI57</f>
        <v>56.08593719099531</v>
      </c>
      <c r="AK57" s="412">
        <f t="shared" si="375"/>
        <v>185.88734507876558</v>
      </c>
      <c r="AL57" s="412"/>
      <c r="AM57" s="412"/>
      <c r="AN57" s="412">
        <f t="shared" si="375"/>
        <v>214.69630967562151</v>
      </c>
      <c r="AO57" s="412"/>
      <c r="AP57" s="412"/>
      <c r="AQ57" s="412">
        <f t="shared" si="375"/>
        <v>247.01617622770925</v>
      </c>
      <c r="AR57" s="412"/>
      <c r="AS57" s="412"/>
      <c r="AT57" s="412">
        <f t="shared" si="375"/>
        <v>283.20744357553497</v>
      </c>
      <c r="AU57" s="412"/>
      <c r="AV57" s="412"/>
      <c r="AW57" s="412">
        <f t="shared" ref="AW57" si="376">AW50+AW52+AW55-AW56</f>
        <v>321.55780541188682</v>
      </c>
      <c r="AX57" s="412"/>
      <c r="AY57" s="412"/>
      <c r="AZ57" s="412">
        <f t="shared" ref="AZ57:BC57" si="377">AZ50+AZ52+AZ55-AZ56</f>
        <v>364.38726080512527</v>
      </c>
      <c r="BA57" s="412"/>
      <c r="BB57" s="412"/>
      <c r="BC57" s="412">
        <f t="shared" si="377"/>
        <v>412.56382615420142</v>
      </c>
      <c r="BD57" s="412"/>
      <c r="BE57" s="412"/>
      <c r="BF57" s="412">
        <f t="shared" ref="BF57" si="378">BF50+BF52+BF55-BF56</f>
        <v>467.18822850369349</v>
      </c>
      <c r="BG57" s="412"/>
      <c r="BH57" s="412"/>
      <c r="BI57" s="412">
        <f t="shared" ref="BI57" si="379">BI50+BI52+BI55-BI56</f>
        <v>527.90721645275971</v>
      </c>
      <c r="BJ57" s="379"/>
    </row>
    <row r="58" spans="1:62" s="344" customFormat="1" ht="13.5" thickTop="1">
      <c r="A58" s="344" t="s">
        <v>1359</v>
      </c>
      <c r="B58" s="502">
        <f>B57/30.833-1</f>
        <v>9.3828041384231398E-2</v>
      </c>
      <c r="C58" s="413"/>
      <c r="D58" s="502">
        <f>D57/50.172-1</f>
        <v>7.2988918121661639E-2</v>
      </c>
      <c r="E58" s="413">
        <f>E57/B57-1</f>
        <v>0.1242661448140896</v>
      </c>
      <c r="F58" s="413">
        <f t="shared" ref="F58:I58" si="380">+F57/C57-1</f>
        <v>0.10269544459916502</v>
      </c>
      <c r="G58" s="413">
        <f t="shared" si="380"/>
        <v>0.11620908719396672</v>
      </c>
      <c r="H58" s="413">
        <f t="shared" si="380"/>
        <v>0.14771738270432766</v>
      </c>
      <c r="I58" s="413">
        <f t="shared" si="380"/>
        <v>7.6399224281784139E-2</v>
      </c>
      <c r="J58" s="413">
        <f>+J57/G57-1</f>
        <v>0.12140123148610393</v>
      </c>
      <c r="K58" s="413">
        <f>+K57/H57-1</f>
        <v>0.14134381175605526</v>
      </c>
      <c r="L58" s="413">
        <f t="shared" ref="L58:R58" si="381">+L57/I57-1</f>
        <v>-3.5027443750786147E-2</v>
      </c>
      <c r="M58" s="413">
        <f t="shared" si="381"/>
        <v>7.8875120575796043E-2</v>
      </c>
      <c r="N58" s="413">
        <f t="shared" si="381"/>
        <v>0.29175139422980134</v>
      </c>
      <c r="O58" s="413">
        <f t="shared" si="381"/>
        <v>0.16399635274195634</v>
      </c>
      <c r="P58" s="451">
        <f t="shared" si="381"/>
        <v>0.25127922971114169</v>
      </c>
      <c r="Q58" s="451">
        <f t="shared" si="381"/>
        <v>0.21097256857855373</v>
      </c>
      <c r="R58" s="451">
        <f t="shared" si="381"/>
        <v>4.6702476872576559E-2</v>
      </c>
      <c r="S58" s="451">
        <f>+S57/P57-1</f>
        <v>0.16256265939671111</v>
      </c>
      <c r="T58" s="451">
        <f t="shared" ref="T58" si="382">+T57/Q57-1</f>
        <v>1.316670098846795E-2</v>
      </c>
      <c r="U58" s="451">
        <f t="shared" ref="U58" si="383">+U57/R57-1</f>
        <v>0.12220242337847265</v>
      </c>
      <c r="V58" s="451">
        <f>+V57/S57-1</f>
        <v>4.2096902303415007E-2</v>
      </c>
      <c r="W58" s="451">
        <f t="shared" ref="W58" si="384">+W57/T57-1</f>
        <v>6.6705623801115221E-2</v>
      </c>
      <c r="X58" s="451">
        <f t="shared" ref="X58" si="385">+X57/U57-1</f>
        <v>9.6795706437168727E-2</v>
      </c>
      <c r="Y58" s="451">
        <f>+Y57/V57-1</f>
        <v>7.5303063298490125E-2</v>
      </c>
      <c r="Z58" s="451">
        <f t="shared" ref="Z58:AC58" si="386">+Z57/W57-1</f>
        <v>0.16109324758842258</v>
      </c>
      <c r="AA58" s="451">
        <f t="shared" si="386"/>
        <v>0.11060601673567949</v>
      </c>
      <c r="AB58" s="838">
        <f>+AB57/Y57-1</f>
        <v>0.14637953876142351</v>
      </c>
      <c r="AC58" s="451">
        <f t="shared" si="386"/>
        <v>7.4156127880873335E-3</v>
      </c>
      <c r="AD58" s="451">
        <f t="shared" ref="AD58" si="387">+AD57/AA57-1</f>
        <v>-2.0999804714867176E-2</v>
      </c>
      <c r="AE58" s="451">
        <f>+AE57/AB57-1</f>
        <v>-6.0719234949291323E-4</v>
      </c>
      <c r="AF58" s="451">
        <f t="shared" ref="AF58" si="388">+AF57/AC57-1</f>
        <v>6.6107795562876603E-2</v>
      </c>
      <c r="AG58" s="451">
        <f t="shared" ref="AG58" si="389">+AG57/AD57-1</f>
        <v>0.4847952904309285</v>
      </c>
      <c r="AH58" s="451">
        <f>+AH57/AE57-1</f>
        <v>0.18190784668549154</v>
      </c>
      <c r="AI58" s="451">
        <f t="shared" ref="AI58" si="390">+AI57/AF57-1</f>
        <v>0.23959082834413725</v>
      </c>
      <c r="AJ58" s="451">
        <f t="shared" ref="AJ58" si="391">+AJ57/AG57-1</f>
        <v>5.9119997386463119E-3</v>
      </c>
      <c r="AK58" s="451">
        <f>+AK57/AH57-1</f>
        <v>0.15839735998654447</v>
      </c>
      <c r="AL58" s="451"/>
      <c r="AM58" s="451"/>
      <c r="AN58" s="451">
        <f>+AN57/AK57-1</f>
        <v>0.15498077389102938</v>
      </c>
      <c r="AO58" s="451"/>
      <c r="AP58" s="451"/>
      <c r="AQ58" s="451">
        <f>+AQ57/AN57-1</f>
        <v>0.15053759704076386</v>
      </c>
      <c r="AR58" s="451"/>
      <c r="AS58" s="451"/>
      <c r="AT58" s="451">
        <f>+AT57/AQ57-1</f>
        <v>0.14651375428329505</v>
      </c>
      <c r="AU58" s="451"/>
      <c r="AV58" s="451"/>
      <c r="AW58" s="451">
        <f>+AW57/AT57-1</f>
        <v>0.13541438513117088</v>
      </c>
      <c r="AX58" s="451"/>
      <c r="AY58" s="451"/>
      <c r="AZ58" s="451">
        <f>+AZ57/AW57-1</f>
        <v>0.13319364255014032</v>
      </c>
      <c r="BA58" s="451"/>
      <c r="BB58" s="451"/>
      <c r="BC58" s="451">
        <f>+BC57/AZ57-1</f>
        <v>0.13221254014925909</v>
      </c>
      <c r="BD58" s="451"/>
      <c r="BE58" s="451"/>
      <c r="BF58" s="451">
        <f>+BF57/BC57-1</f>
        <v>0.13240230695619792</v>
      </c>
      <c r="BG58" s="451"/>
      <c r="BH58" s="451"/>
      <c r="BI58" s="451">
        <f t="shared" ref="BI58" si="392">+BI57/BF57-1</f>
        <v>0.12996686184396489</v>
      </c>
      <c r="BJ58" s="380"/>
    </row>
    <row r="59" spans="1:62" s="344" customFormat="1">
      <c r="A59" s="312"/>
      <c r="B59" s="413"/>
      <c r="C59" s="413"/>
      <c r="D59" s="413"/>
      <c r="E59" s="413"/>
      <c r="F59" s="413"/>
      <c r="G59" s="413"/>
      <c r="H59" s="413"/>
      <c r="I59" s="413"/>
      <c r="J59" s="413"/>
      <c r="K59" s="413"/>
      <c r="L59" s="413"/>
      <c r="M59" s="413"/>
      <c r="N59" s="413"/>
      <c r="O59" s="413"/>
      <c r="P59" s="413"/>
      <c r="Q59" s="413"/>
      <c r="R59" s="413"/>
      <c r="S59" s="413"/>
      <c r="T59" s="413"/>
      <c r="U59" s="413"/>
      <c r="V59" s="413">
        <f>(V57/G57)^(1/5)-1</f>
        <v>0.12896943277984407</v>
      </c>
      <c r="W59" s="413"/>
      <c r="X59" s="413"/>
      <c r="Y59" s="413"/>
      <c r="Z59" s="413"/>
      <c r="AA59" s="413"/>
      <c r="AB59" s="839"/>
      <c r="AC59" s="413"/>
      <c r="AD59" s="413"/>
      <c r="AE59" s="413"/>
      <c r="AF59" s="413"/>
      <c r="AG59" s="413"/>
      <c r="AH59" s="413"/>
      <c r="AI59" s="413"/>
      <c r="AJ59" s="413"/>
      <c r="AK59" s="413"/>
      <c r="AL59" s="413"/>
      <c r="AM59" s="413"/>
      <c r="AN59" s="413"/>
      <c r="AO59" s="413"/>
      <c r="AP59" s="413"/>
      <c r="AQ59" s="413"/>
      <c r="AR59" s="413"/>
      <c r="AS59" s="413"/>
      <c r="AT59" s="413"/>
      <c r="AU59" s="413"/>
      <c r="AV59" s="413"/>
      <c r="AW59" s="413"/>
      <c r="AX59" s="413"/>
      <c r="AY59" s="413"/>
      <c r="AZ59" s="413"/>
      <c r="BA59" s="413"/>
      <c r="BB59" s="413"/>
      <c r="BC59" s="413"/>
      <c r="BD59" s="413"/>
      <c r="BE59" s="413"/>
      <c r="BF59" s="413"/>
      <c r="BG59" s="413"/>
      <c r="BH59" s="413"/>
      <c r="BI59" s="413"/>
      <c r="BJ59" s="380"/>
    </row>
    <row r="60" spans="1:62" s="312" customFormat="1">
      <c r="A60" s="312" t="s">
        <v>937</v>
      </c>
      <c r="B60" s="411"/>
      <c r="C60" s="411"/>
      <c r="D60" s="411"/>
      <c r="E60" s="411"/>
      <c r="F60" s="411"/>
      <c r="G60" s="411"/>
      <c r="H60" s="411"/>
      <c r="I60" s="411"/>
      <c r="J60" s="411"/>
      <c r="K60" s="411"/>
      <c r="L60" s="411">
        <f>M60</f>
        <v>-12.213999999999999</v>
      </c>
      <c r="M60" s="500">
        <f>-13.57-9.644+7.7+3.3</f>
        <v>-12.213999999999999</v>
      </c>
      <c r="N60" s="402"/>
      <c r="O60" s="411"/>
      <c r="P60" s="411"/>
      <c r="Q60" s="411"/>
      <c r="R60" s="411"/>
      <c r="S60" s="411"/>
      <c r="T60" s="411"/>
      <c r="U60" s="411"/>
      <c r="V60" s="411"/>
      <c r="W60" s="411"/>
      <c r="X60" s="411"/>
      <c r="Y60" s="411"/>
      <c r="Z60" s="411"/>
      <c r="AA60" s="411"/>
      <c r="AB60" s="836"/>
      <c r="AC60" s="411"/>
      <c r="AD60" s="411"/>
      <c r="AE60" s="411"/>
      <c r="AF60" s="411"/>
      <c r="AG60" s="411"/>
      <c r="AH60" s="411"/>
      <c r="AI60" s="411"/>
      <c r="AJ60" s="411"/>
      <c r="AK60" s="411"/>
      <c r="AL60" s="411"/>
      <c r="AM60" s="411"/>
      <c r="AN60" s="411"/>
      <c r="AO60" s="411"/>
      <c r="AP60" s="411"/>
      <c r="AQ60" s="411"/>
      <c r="AR60" s="411"/>
      <c r="AS60" s="411"/>
      <c r="AT60" s="411"/>
      <c r="AU60" s="411"/>
      <c r="AV60" s="411"/>
      <c r="AW60" s="411"/>
      <c r="AX60" s="411"/>
      <c r="AY60" s="411"/>
      <c r="AZ60" s="411"/>
      <c r="BA60" s="411"/>
      <c r="BB60" s="411"/>
      <c r="BC60" s="411"/>
      <c r="BD60" s="411"/>
      <c r="BE60" s="411"/>
      <c r="BF60" s="411"/>
      <c r="BG60" s="411"/>
      <c r="BH60" s="411"/>
      <c r="BI60" s="411"/>
      <c r="BJ60" s="328"/>
    </row>
    <row r="61" spans="1:62" s="312" customFormat="1">
      <c r="A61" s="312" t="s">
        <v>938</v>
      </c>
      <c r="B61" s="411"/>
      <c r="C61" s="411"/>
      <c r="D61" s="411"/>
      <c r="E61" s="411">
        <f>1.6</f>
        <v>1.6</v>
      </c>
      <c r="F61" s="411"/>
      <c r="G61" s="411">
        <f>E61</f>
        <v>1.6</v>
      </c>
      <c r="H61" s="411"/>
      <c r="I61" s="411"/>
      <c r="J61" s="411"/>
      <c r="K61" s="411"/>
      <c r="L61" s="411">
        <f t="shared" ref="L61:L62" si="393">M61</f>
        <v>3.4139999999999944</v>
      </c>
      <c r="M61" s="411">
        <f>M62-M60</f>
        <v>3.4139999999999944</v>
      </c>
      <c r="N61" s="411"/>
      <c r="O61" s="411"/>
      <c r="P61" s="411"/>
      <c r="Q61" s="411"/>
      <c r="R61" s="411"/>
      <c r="S61" s="411"/>
      <c r="T61" s="411"/>
      <c r="U61" s="411"/>
      <c r="V61" s="411"/>
      <c r="W61" s="411"/>
      <c r="X61" s="411"/>
      <c r="Y61" s="411"/>
      <c r="Z61" s="411"/>
      <c r="AA61" s="411"/>
      <c r="AB61" s="836"/>
      <c r="AC61" s="411"/>
      <c r="AD61" s="411"/>
      <c r="AE61" s="411"/>
      <c r="AF61" s="411"/>
      <c r="AG61" s="411"/>
      <c r="AH61" s="411"/>
      <c r="AI61" s="411"/>
      <c r="AJ61" s="411"/>
      <c r="AK61" s="411"/>
      <c r="AL61" s="411"/>
      <c r="AM61" s="411"/>
      <c r="AN61" s="411"/>
      <c r="AO61" s="411"/>
      <c r="AP61" s="411"/>
      <c r="AQ61" s="411"/>
      <c r="AR61" s="411"/>
      <c r="AS61" s="411"/>
      <c r="AT61" s="411"/>
      <c r="AU61" s="411"/>
      <c r="AV61" s="411"/>
      <c r="AW61" s="411"/>
      <c r="AX61" s="411"/>
      <c r="AY61" s="411"/>
      <c r="AZ61" s="411"/>
      <c r="BA61" s="411"/>
      <c r="BB61" s="411"/>
      <c r="BC61" s="411"/>
      <c r="BD61" s="411"/>
      <c r="BE61" s="411"/>
      <c r="BF61" s="411"/>
      <c r="BG61" s="411"/>
      <c r="BH61" s="411"/>
      <c r="BI61" s="411"/>
      <c r="BJ61" s="328"/>
    </row>
    <row r="62" spans="1:62" s="312" customFormat="1">
      <c r="A62" s="312" t="s">
        <v>528</v>
      </c>
      <c r="B62" s="411"/>
      <c r="C62" s="411"/>
      <c r="D62" s="411"/>
      <c r="E62" s="411">
        <v>-1.6</v>
      </c>
      <c r="F62" s="411"/>
      <c r="G62" s="411">
        <f t="shared" ref="G62" si="394">E62</f>
        <v>-1.6</v>
      </c>
      <c r="H62" s="411"/>
      <c r="I62" s="411"/>
      <c r="J62" s="411"/>
      <c r="K62" s="411"/>
      <c r="L62" s="411">
        <f t="shared" si="393"/>
        <v>-8.8000000000000043</v>
      </c>
      <c r="M62" s="411">
        <f>M63-M57</f>
        <v>-8.8000000000000043</v>
      </c>
      <c r="N62" s="411"/>
      <c r="O62" s="411"/>
      <c r="P62" s="411"/>
      <c r="Q62" s="411"/>
      <c r="R62" s="411"/>
      <c r="S62" s="411"/>
      <c r="T62" s="411"/>
      <c r="U62" s="411"/>
      <c r="V62" s="411"/>
      <c r="W62" s="411"/>
      <c r="X62" s="411"/>
      <c r="Y62" s="411"/>
      <c r="Z62" s="411"/>
      <c r="AA62" s="411"/>
      <c r="AB62" s="836"/>
      <c r="AC62" s="411"/>
      <c r="AD62" s="411"/>
      <c r="AE62" s="411"/>
      <c r="AF62" s="411"/>
      <c r="AG62" s="411"/>
      <c r="AH62" s="411"/>
      <c r="AI62" s="411"/>
      <c r="AJ62" s="411"/>
      <c r="AK62" s="411"/>
      <c r="AL62" s="411"/>
      <c r="AM62" s="411"/>
      <c r="AN62" s="411"/>
      <c r="AO62" s="411"/>
      <c r="AP62" s="411"/>
      <c r="AQ62" s="411"/>
      <c r="AR62" s="411"/>
      <c r="AS62" s="411"/>
      <c r="AT62" s="411"/>
      <c r="AU62" s="411"/>
      <c r="AV62" s="411"/>
      <c r="AW62" s="411"/>
      <c r="AX62" s="411"/>
      <c r="AY62" s="411"/>
      <c r="AZ62" s="411"/>
      <c r="BA62" s="411"/>
      <c r="BB62" s="411"/>
      <c r="BC62" s="411"/>
      <c r="BD62" s="411"/>
      <c r="BE62" s="411"/>
      <c r="BF62" s="411"/>
      <c r="BG62" s="411"/>
      <c r="BH62" s="411"/>
      <c r="BI62" s="411"/>
      <c r="BJ62" s="328"/>
    </row>
    <row r="63" spans="1:62" s="344" customFormat="1">
      <c r="A63" s="344" t="s">
        <v>1615</v>
      </c>
      <c r="B63" s="407">
        <f t="shared" ref="B63:AA63" si="395">B57+B62</f>
        <v>33.726000000000006</v>
      </c>
      <c r="C63" s="407">
        <f t="shared" si="395"/>
        <v>20.107999999999997</v>
      </c>
      <c r="D63" s="407">
        <f>D57+D62</f>
        <v>53.834000000000003</v>
      </c>
      <c r="E63" s="407">
        <f t="shared" si="395"/>
        <v>36.316999999999993</v>
      </c>
      <c r="F63" s="407">
        <f t="shared" si="395"/>
        <v>22.173000000000009</v>
      </c>
      <c r="G63" s="407">
        <f t="shared" si="395"/>
        <v>58.49</v>
      </c>
      <c r="H63" s="407">
        <f t="shared" si="395"/>
        <v>43.517999999999986</v>
      </c>
      <c r="I63" s="407">
        <f t="shared" si="395"/>
        <v>23.867000000000012</v>
      </c>
      <c r="J63" s="407">
        <f>J57+J62</f>
        <v>67.384999999999991</v>
      </c>
      <c r="K63" s="407">
        <f>K57+K62</f>
        <v>49.668999999999997</v>
      </c>
      <c r="L63" s="407">
        <f>L57+L62</f>
        <v>14.230999999999995</v>
      </c>
      <c r="M63" s="516">
        <v>63.9</v>
      </c>
      <c r="N63" s="407">
        <f t="shared" si="395"/>
        <v>64.16</v>
      </c>
      <c r="O63" s="407">
        <f t="shared" si="395"/>
        <v>26.807999999999996</v>
      </c>
      <c r="P63" s="407">
        <f t="shared" si="395"/>
        <v>90.968000000000004</v>
      </c>
      <c r="Q63" s="407">
        <f t="shared" ref="Q63:R63" si="396">Q57+Q62</f>
        <v>77.695999999999998</v>
      </c>
      <c r="R63" s="407">
        <f t="shared" si="396"/>
        <v>28.060000000000031</v>
      </c>
      <c r="S63" s="407">
        <f t="shared" si="395"/>
        <v>105.75600000000003</v>
      </c>
      <c r="T63" s="407">
        <f t="shared" si="395"/>
        <v>78.719000000000008</v>
      </c>
      <c r="U63" s="407">
        <f t="shared" si="395"/>
        <v>31.488999999999976</v>
      </c>
      <c r="V63" s="407">
        <f t="shared" si="395"/>
        <v>110.20799999999998</v>
      </c>
      <c r="W63" s="407">
        <f t="shared" ref="W63:X63" si="397">W57+W62</f>
        <v>83.97</v>
      </c>
      <c r="X63" s="407">
        <f t="shared" si="397"/>
        <v>34.536999999999978</v>
      </c>
      <c r="Y63" s="407">
        <f t="shared" si="395"/>
        <v>118.50699999999998</v>
      </c>
      <c r="Z63" s="407">
        <f t="shared" si="395"/>
        <v>97.496999999999844</v>
      </c>
      <c r="AA63" s="407">
        <f t="shared" si="395"/>
        <v>38.357000000000141</v>
      </c>
      <c r="AB63" s="840">
        <f t="shared" ref="AB63:AT63" si="398">AB57+AB62</f>
        <v>135.85399999999998</v>
      </c>
      <c r="AC63" s="407">
        <f t="shared" si="398"/>
        <v>98.22</v>
      </c>
      <c r="AD63" s="407">
        <f t="shared" si="398"/>
        <v>37.551510490551976</v>
      </c>
      <c r="AE63" s="407">
        <f t="shared" si="398"/>
        <v>135.77151049055198</v>
      </c>
      <c r="AF63" s="407">
        <f t="shared" ref="AF63:AG63" si="399">AF57+AF62</f>
        <v>104.71310768018573</v>
      </c>
      <c r="AG63" s="407">
        <f t="shared" si="399"/>
        <v>55.756305924939184</v>
      </c>
      <c r="AH63" s="407">
        <f t="shared" si="398"/>
        <v>160.46941360512491</v>
      </c>
      <c r="AI63" s="407">
        <f t="shared" si="398"/>
        <v>129.80140788777027</v>
      </c>
      <c r="AJ63" s="407">
        <f t="shared" si="398"/>
        <v>56.08593719099531</v>
      </c>
      <c r="AK63" s="407">
        <f t="shared" si="398"/>
        <v>185.88734507876558</v>
      </c>
      <c r="AL63" s="407"/>
      <c r="AM63" s="407"/>
      <c r="AN63" s="407">
        <f t="shared" si="398"/>
        <v>214.69630967562151</v>
      </c>
      <c r="AO63" s="407"/>
      <c r="AP63" s="407"/>
      <c r="AQ63" s="407">
        <f t="shared" si="398"/>
        <v>247.01617622770925</v>
      </c>
      <c r="AR63" s="407"/>
      <c r="AS63" s="407"/>
      <c r="AT63" s="407">
        <f t="shared" si="398"/>
        <v>283.20744357553497</v>
      </c>
      <c r="AU63" s="407"/>
      <c r="AV63" s="407"/>
      <c r="AW63" s="407">
        <f t="shared" ref="AW63" si="400">AW57+AW62</f>
        <v>321.55780541188682</v>
      </c>
      <c r="AX63" s="407"/>
      <c r="AY63" s="407"/>
      <c r="AZ63" s="407">
        <f t="shared" ref="AZ63:BC63" si="401">AZ57+AZ62</f>
        <v>364.38726080512527</v>
      </c>
      <c r="BA63" s="407"/>
      <c r="BB63" s="407"/>
      <c r="BC63" s="407">
        <f t="shared" si="401"/>
        <v>412.56382615420142</v>
      </c>
      <c r="BD63" s="407"/>
      <c r="BE63" s="407"/>
      <c r="BF63" s="407">
        <f t="shared" ref="BF63" si="402">BF57+BF62</f>
        <v>467.18822850369349</v>
      </c>
      <c r="BG63" s="407"/>
      <c r="BH63" s="407"/>
      <c r="BI63" s="407">
        <f t="shared" ref="BI63" si="403">BI57+BI62</f>
        <v>527.90721645275971</v>
      </c>
      <c r="BJ63" s="324"/>
    </row>
    <row r="64" spans="1:62" s="312" customFormat="1">
      <c r="A64" s="312" t="s">
        <v>1008</v>
      </c>
      <c r="B64" s="413">
        <f>B58</f>
        <v>9.3828041384231398E-2</v>
      </c>
      <c r="C64" s="413"/>
      <c r="D64" s="413">
        <f>D63/50.172-1</f>
        <v>7.2988918121661639E-2</v>
      </c>
      <c r="E64" s="413">
        <f>E63/B63-1</f>
        <v>7.6825001482535349E-2</v>
      </c>
      <c r="F64" s="413">
        <f t="shared" ref="F64:G64" si="404">F63/C63-1</f>
        <v>0.10269544459916502</v>
      </c>
      <c r="G64" s="413">
        <f t="shared" si="404"/>
        <v>8.6488093026711788E-2</v>
      </c>
      <c r="H64" s="413">
        <f t="shared" ref="H64:J64" si="405">H57/E57-1</f>
        <v>0.14771738270432766</v>
      </c>
      <c r="I64" s="413">
        <f t="shared" si="405"/>
        <v>7.6399224281784139E-2</v>
      </c>
      <c r="J64" s="413">
        <f t="shared" si="405"/>
        <v>0.12140123148610393</v>
      </c>
      <c r="K64" s="413">
        <f t="shared" ref="K64" si="406">K57/H57-1</f>
        <v>0.14134381175605526</v>
      </c>
      <c r="L64" s="413">
        <f t="shared" ref="L64" si="407">L63/I63-1</f>
        <v>-0.40373737796958198</v>
      </c>
      <c r="M64" s="413">
        <f>M63/J63-1</f>
        <v>-5.1717741337092726E-2</v>
      </c>
      <c r="N64" s="413">
        <f t="shared" ref="N64:P64" si="408">N63/K63-1</f>
        <v>0.29175139422980134</v>
      </c>
      <c r="O64" s="413">
        <f t="shared" si="408"/>
        <v>0.88377485770501063</v>
      </c>
      <c r="P64" s="413">
        <f t="shared" si="408"/>
        <v>0.42359937402190928</v>
      </c>
      <c r="Q64" s="413">
        <f t="shared" ref="Q64" si="409">Q57/N57-1</f>
        <v>0.21097256857855373</v>
      </c>
      <c r="R64" s="413">
        <f t="shared" ref="R64" si="410">R57/O57-1</f>
        <v>4.6702476872576559E-2</v>
      </c>
      <c r="S64" s="413">
        <f>S57/P57-1</f>
        <v>0.16256265939671111</v>
      </c>
      <c r="T64" s="413">
        <f t="shared" ref="T64" si="411">T57/Q57-1</f>
        <v>1.316670098846795E-2</v>
      </c>
      <c r="U64" s="413">
        <f t="shared" ref="U64" si="412">U57/R57-1</f>
        <v>0.12220242337847265</v>
      </c>
      <c r="V64" s="413">
        <f>V57/S57-1</f>
        <v>4.2096902303415007E-2</v>
      </c>
      <c r="W64" s="413">
        <f t="shared" ref="W64" si="413">W57/T57-1</f>
        <v>6.6705623801115221E-2</v>
      </c>
      <c r="X64" s="413">
        <f t="shared" ref="X64" si="414">X57/U57-1</f>
        <v>9.6795706437168727E-2</v>
      </c>
      <c r="Y64" s="413">
        <f>Y57/V57-1</f>
        <v>7.5303063298490125E-2</v>
      </c>
      <c r="Z64" s="413">
        <f t="shared" ref="Z64:AC64" si="415">Z57/W57-1</f>
        <v>0.16109324758842258</v>
      </c>
      <c r="AA64" s="413">
        <f t="shared" si="415"/>
        <v>0.11060601673567949</v>
      </c>
      <c r="AB64" s="839">
        <f>AB57/Y57-1</f>
        <v>0.14637953876142351</v>
      </c>
      <c r="AC64" s="413">
        <f t="shared" si="415"/>
        <v>7.4156127880873335E-3</v>
      </c>
      <c r="AD64" s="413">
        <f t="shared" ref="AD64" si="416">AD57/AA57-1</f>
        <v>-2.0999804714867176E-2</v>
      </c>
      <c r="AE64" s="413">
        <f>AE57/AB57-1</f>
        <v>-6.0719234949291323E-4</v>
      </c>
      <c r="AF64" s="413">
        <f t="shared" ref="AF64" si="417">AF57/AC57-1</f>
        <v>6.6107795562876603E-2</v>
      </c>
      <c r="AG64" s="413">
        <f t="shared" ref="AG64" si="418">AG57/AD57-1</f>
        <v>0.4847952904309285</v>
      </c>
      <c r="AH64" s="413">
        <f>AH57/AE57-1</f>
        <v>0.18190784668549154</v>
      </c>
      <c r="AI64" s="413">
        <f t="shared" ref="AI64" si="419">AI57/AF57-1</f>
        <v>0.23959082834413725</v>
      </c>
      <c r="AJ64" s="413">
        <f t="shared" ref="AJ64" si="420">AJ57/AG57-1</f>
        <v>5.9119997386463119E-3</v>
      </c>
      <c r="AK64" s="413">
        <f>AK57/AH57-1</f>
        <v>0.15839735998654447</v>
      </c>
      <c r="AL64" s="413"/>
      <c r="AM64" s="413"/>
      <c r="AN64" s="413">
        <f>AN57/AK57-1</f>
        <v>0.15498077389102938</v>
      </c>
      <c r="AO64" s="413"/>
      <c r="AP64" s="413"/>
      <c r="AQ64" s="413">
        <f>AQ57/AN57-1</f>
        <v>0.15053759704076386</v>
      </c>
      <c r="AR64" s="413"/>
      <c r="AS64" s="413"/>
      <c r="AT64" s="413">
        <f>AT57/AQ57-1</f>
        <v>0.14651375428329505</v>
      </c>
      <c r="AU64" s="413"/>
      <c r="AV64" s="413"/>
      <c r="AW64" s="413">
        <f>AW57/AT57-1</f>
        <v>0.13541438513117088</v>
      </c>
      <c r="AX64" s="413"/>
      <c r="AY64" s="413"/>
      <c r="AZ64" s="413">
        <f>AZ57/AW57-1</f>
        <v>0.13319364255014032</v>
      </c>
      <c r="BA64" s="413"/>
      <c r="BB64" s="413"/>
      <c r="BC64" s="413">
        <f>BC57/AZ57-1</f>
        <v>0.13221254014925909</v>
      </c>
      <c r="BD64" s="413"/>
      <c r="BE64" s="413"/>
      <c r="BF64" s="413">
        <f>BF57/BC57-1</f>
        <v>0.13240230695619792</v>
      </c>
      <c r="BG64" s="413"/>
      <c r="BH64" s="413"/>
      <c r="BI64" s="413">
        <f t="shared" ref="BI64" si="421">BI57/BF57-1</f>
        <v>0.12996686184396489</v>
      </c>
      <c r="BJ64" s="380"/>
    </row>
    <row r="65" spans="1:62" s="312" customFormat="1">
      <c r="B65" s="411"/>
      <c r="C65" s="411"/>
      <c r="D65" s="411"/>
      <c r="E65" s="411"/>
      <c r="F65" s="411"/>
      <c r="G65" s="411"/>
      <c r="H65" s="411"/>
      <c r="I65" s="411"/>
      <c r="J65" s="411"/>
      <c r="K65" s="411"/>
      <c r="L65" s="411"/>
      <c r="M65" s="411"/>
      <c r="N65" s="411"/>
      <c r="O65" s="411"/>
      <c r="P65" s="411"/>
      <c r="Q65" s="411"/>
      <c r="R65" s="411"/>
      <c r="S65" s="411"/>
      <c r="T65" s="411"/>
      <c r="U65" s="411"/>
      <c r="V65" s="402">
        <f>(V66/G66)^(1/5)-1</f>
        <v>0.10828624864703928</v>
      </c>
      <c r="W65" s="411"/>
      <c r="X65" s="411"/>
      <c r="Y65" s="402"/>
      <c r="Z65" s="411"/>
      <c r="AA65" s="411"/>
      <c r="AB65" s="832"/>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411"/>
      <c r="BA65" s="411"/>
      <c r="BB65" s="411"/>
      <c r="BC65" s="411"/>
      <c r="BD65" s="411"/>
      <c r="BE65" s="411"/>
      <c r="BF65" s="411"/>
      <c r="BG65" s="411"/>
      <c r="BH65" s="411"/>
      <c r="BI65" s="411"/>
      <c r="BJ65" s="328"/>
    </row>
    <row r="66" spans="1:62" s="333" customFormat="1">
      <c r="A66" s="381" t="s">
        <v>1523</v>
      </c>
      <c r="B66" s="407">
        <f>B209</f>
        <v>25.924068199777395</v>
      </c>
      <c r="C66" s="407">
        <f>D66-B66</f>
        <v>15.456461413197744</v>
      </c>
      <c r="D66" s="407">
        <f>D209</f>
        <v>41.380529612975138</v>
      </c>
      <c r="E66" s="407">
        <f>E209</f>
        <v>29.145552212861269</v>
      </c>
      <c r="F66" s="407">
        <f>G66-E66</f>
        <v>17.043770974040612</v>
      </c>
      <c r="G66" s="407">
        <f>G209</f>
        <v>46.189323186901881</v>
      </c>
      <c r="H66" s="407">
        <f>H209</f>
        <v>33.450856903217456</v>
      </c>
      <c r="I66" s="407">
        <f>J66-H66</f>
        <v>18.345907000083969</v>
      </c>
      <c r="J66" s="407">
        <f>J209</f>
        <v>51.796763903301425</v>
      </c>
      <c r="K66" s="407">
        <f>K209</f>
        <v>38.099999999999994</v>
      </c>
      <c r="L66" s="407">
        <f>M66-K66</f>
        <v>17.358082233579985</v>
      </c>
      <c r="M66" s="407">
        <f t="shared" ref="M66:Y66" si="422">M209</f>
        <v>55.458082233579979</v>
      </c>
      <c r="N66" s="407">
        <f>N209</f>
        <v>46.600000000000009</v>
      </c>
      <c r="O66" s="407">
        <f>P66-N66</f>
        <v>19.157306327210691</v>
      </c>
      <c r="P66" s="407">
        <f t="shared" si="422"/>
        <v>65.757306327210699</v>
      </c>
      <c r="Q66" s="407">
        <f t="shared" si="422"/>
        <v>55.836078221504771</v>
      </c>
      <c r="R66" s="407">
        <f t="shared" si="422"/>
        <v>20.086789956593357</v>
      </c>
      <c r="S66" s="407">
        <f t="shared" si="422"/>
        <v>75.922868178098128</v>
      </c>
      <c r="T66" s="407" t="e">
        <f t="shared" ref="T66:U66" si="423">T209</f>
        <v>#REF!</v>
      </c>
      <c r="U66" s="407" t="e">
        <f t="shared" si="423"/>
        <v>#REF!</v>
      </c>
      <c r="V66" s="407">
        <f t="shared" si="422"/>
        <v>77.232718506475294</v>
      </c>
      <c r="W66" s="407">
        <f>W209</f>
        <v>58.810195574191354</v>
      </c>
      <c r="X66" s="407">
        <f t="shared" si="422"/>
        <v>23.883145388344133</v>
      </c>
      <c r="Y66" s="407">
        <f t="shared" si="422"/>
        <v>82.693340962535487</v>
      </c>
      <c r="Z66" s="407">
        <f t="shared" ref="Z66:AC66" si="424">Z209</f>
        <v>67.735497152822603</v>
      </c>
      <c r="AA66" s="407">
        <f t="shared" si="424"/>
        <v>26.712500622483276</v>
      </c>
      <c r="AB66" s="840">
        <f>AB209</f>
        <v>94.447997775305879</v>
      </c>
      <c r="AC66" s="407">
        <f t="shared" si="424"/>
        <v>68.235589186489022</v>
      </c>
      <c r="AD66" s="407">
        <f t="shared" ref="AD66:AT66" si="425">AD209</f>
        <v>25.192069702313745</v>
      </c>
      <c r="AE66" s="407">
        <f t="shared" si="425"/>
        <v>93.427658888802767</v>
      </c>
      <c r="AF66" s="407">
        <f t="shared" ref="AF66:AG66" si="426">AF209</f>
        <v>72.746493566541858</v>
      </c>
      <c r="AG66" s="407">
        <f t="shared" si="426"/>
        <v>37.676389571589652</v>
      </c>
      <c r="AH66" s="407">
        <f t="shared" si="425"/>
        <v>110.42288313813151</v>
      </c>
      <c r="AI66" s="407">
        <f t="shared" si="425"/>
        <v>90.175886219281082</v>
      </c>
      <c r="AJ66" s="407">
        <f t="shared" si="425"/>
        <v>37.737690090033169</v>
      </c>
      <c r="AK66" s="407">
        <f t="shared" si="425"/>
        <v>127.91357630931425</v>
      </c>
      <c r="AL66" s="407"/>
      <c r="AM66" s="407"/>
      <c r="AN66" s="407">
        <f t="shared" si="425"/>
        <v>147.73772135690103</v>
      </c>
      <c r="AO66" s="407"/>
      <c r="AP66" s="407"/>
      <c r="AQ66" s="407">
        <f t="shared" si="425"/>
        <v>169.97780292224684</v>
      </c>
      <c r="AR66" s="407"/>
      <c r="AS66" s="407"/>
      <c r="AT66" s="407">
        <f t="shared" si="425"/>
        <v>194.88188897321126</v>
      </c>
      <c r="AU66" s="407"/>
      <c r="AV66" s="407"/>
      <c r="AW66" s="407">
        <f t="shared" ref="AW66" si="427">AW209</f>
        <v>221.27170014171978</v>
      </c>
      <c r="AX66" s="407"/>
      <c r="AY66" s="407"/>
      <c r="AZ66" s="407">
        <f t="shared" ref="AZ66:BC66" si="428">AZ209</f>
        <v>250.74368387685783</v>
      </c>
      <c r="BA66" s="407"/>
      <c r="BB66" s="407"/>
      <c r="BC66" s="407">
        <f t="shared" si="428"/>
        <v>283.89514324860005</v>
      </c>
      <c r="BD66" s="407"/>
      <c r="BE66" s="407"/>
      <c r="BF66" s="407">
        <f t="shared" ref="BF66" si="429">BF209</f>
        <v>321.48351514837498</v>
      </c>
      <c r="BG66" s="407"/>
      <c r="BH66" s="407"/>
      <c r="BI66" s="407">
        <f t="shared" ref="BI66" si="430">BI209</f>
        <v>363.26571874677603</v>
      </c>
      <c r="BJ66" s="324"/>
    </row>
    <row r="67" spans="1:62" s="312" customFormat="1">
      <c r="A67" s="312" t="s">
        <v>1359</v>
      </c>
      <c r="B67" s="414">
        <f>B66/23.7-1</f>
        <v>9.3842540074995595E-2</v>
      </c>
      <c r="C67" s="414"/>
      <c r="D67" s="414">
        <f>D66/38.6-1</f>
        <v>7.203444593199837E-2</v>
      </c>
      <c r="E67" s="414">
        <f t="shared" ref="E67:J67" si="431">E66/B66-1</f>
        <v>0.1242661448140896</v>
      </c>
      <c r="F67" s="414">
        <f t="shared" si="431"/>
        <v>0.10269553414648436</v>
      </c>
      <c r="G67" s="414">
        <f>G66/D66-1</f>
        <v>0.1162090871939665</v>
      </c>
      <c r="H67" s="414">
        <f t="shared" si="431"/>
        <v>0.14771738270432744</v>
      </c>
      <c r="I67" s="414">
        <f t="shared" si="431"/>
        <v>7.6399526139294016E-2</v>
      </c>
      <c r="J67" s="414">
        <f t="shared" si="431"/>
        <v>0.12140123148610393</v>
      </c>
      <c r="K67" s="414">
        <f t="shared" ref="K67:P67" si="432">K66/H66-1</f>
        <v>0.13898427505859678</v>
      </c>
      <c r="L67" s="414">
        <f t="shared" si="432"/>
        <v>-5.3844422437084316E-2</v>
      </c>
      <c r="M67" s="414">
        <f t="shared" si="432"/>
        <v>7.068623702271859E-2</v>
      </c>
      <c r="N67" s="414">
        <f t="shared" si="432"/>
        <v>0.22309711286089273</v>
      </c>
      <c r="O67" s="414">
        <f t="shared" si="432"/>
        <v>0.10365339151061437</v>
      </c>
      <c r="P67" s="413">
        <f t="shared" si="432"/>
        <v>0.18571186883549529</v>
      </c>
      <c r="Q67" s="413"/>
      <c r="R67" s="413"/>
      <c r="S67" s="414">
        <f>S66/P66-1</f>
        <v>0.1545921269995949</v>
      </c>
      <c r="T67" s="413"/>
      <c r="U67" s="413"/>
      <c r="V67" s="414">
        <f>V66/S66-1</f>
        <v>1.7252382053119408E-2</v>
      </c>
      <c r="W67" s="413"/>
      <c r="X67" s="413"/>
      <c r="Y67" s="414">
        <f>Y66/V66-1</f>
        <v>7.0703486315872199E-2</v>
      </c>
      <c r="Z67" s="413"/>
      <c r="AA67" s="413"/>
      <c r="AB67" s="988">
        <f>AB66/Y66-1</f>
        <v>0.14214756201585654</v>
      </c>
      <c r="AC67" s="413"/>
      <c r="AD67" s="413"/>
      <c r="AE67" s="414">
        <f>AE66/AB66-1</f>
        <v>-1.0803181756489089E-2</v>
      </c>
      <c r="AF67" s="413"/>
      <c r="AG67" s="413"/>
      <c r="AH67" s="414">
        <f>AH66/AE66-1</f>
        <v>0.18190784668549154</v>
      </c>
      <c r="AI67" s="413"/>
      <c r="AJ67" s="413"/>
      <c r="AK67" s="414">
        <f>AK66/AH66-1</f>
        <v>0.15839735998654447</v>
      </c>
      <c r="AL67" s="414"/>
      <c r="AM67" s="414"/>
      <c r="AN67" s="414">
        <f>AN66/AK66-1</f>
        <v>0.1549807738910296</v>
      </c>
      <c r="AO67" s="414"/>
      <c r="AP67" s="414"/>
      <c r="AQ67" s="414">
        <f>AQ66/AN66-1</f>
        <v>0.15053759704076364</v>
      </c>
      <c r="AR67" s="414"/>
      <c r="AS67" s="414"/>
      <c r="AT67" s="414">
        <f>AT66/AQ66-1</f>
        <v>0.14651375428329505</v>
      </c>
      <c r="AU67" s="414"/>
      <c r="AV67" s="414"/>
      <c r="AW67" s="414">
        <f>AW66/AT66-1</f>
        <v>0.13541438513117088</v>
      </c>
      <c r="AX67" s="414"/>
      <c r="AY67" s="414"/>
      <c r="AZ67" s="414">
        <f>AZ66/AW66-1</f>
        <v>0.13319364255014032</v>
      </c>
      <c r="BA67" s="414"/>
      <c r="BB67" s="414"/>
      <c r="BC67" s="414">
        <f>BC66/AZ66-1</f>
        <v>0.13221254014925909</v>
      </c>
      <c r="BD67" s="414"/>
      <c r="BE67" s="414"/>
      <c r="BF67" s="414">
        <f>BF66/BC66-1</f>
        <v>0.13240230695619792</v>
      </c>
      <c r="BG67" s="414"/>
      <c r="BH67" s="414"/>
      <c r="BI67" s="414">
        <f t="shared" ref="BI67" si="433">BI66/BF66-1</f>
        <v>0.12996686184396489</v>
      </c>
      <c r="BJ67" s="332"/>
    </row>
    <row r="68" spans="1:62" s="312" customFormat="1">
      <c r="B68" s="503"/>
      <c r="C68" s="503"/>
      <c r="D68" s="503"/>
      <c r="E68" s="503"/>
      <c r="F68" s="503"/>
      <c r="G68" s="402"/>
      <c r="H68" s="503"/>
      <c r="I68" s="503"/>
      <c r="J68" s="402"/>
      <c r="K68" s="503"/>
      <c r="L68" s="503"/>
      <c r="M68" s="401"/>
      <c r="N68" s="402"/>
      <c r="O68" s="503"/>
      <c r="P68" s="402"/>
      <c r="Q68" s="402"/>
      <c r="R68" s="402"/>
      <c r="S68" s="402"/>
      <c r="T68" s="402"/>
      <c r="U68" s="402"/>
      <c r="V68" s="402">
        <f>(V66/G66)^(1/5)-1</f>
        <v>0.10828624864703928</v>
      </c>
      <c r="W68" s="402"/>
      <c r="X68" s="402"/>
      <c r="Y68" s="402"/>
      <c r="Z68" s="402"/>
      <c r="AA68" s="402"/>
      <c r="AB68" s="832"/>
      <c r="AC68" s="402"/>
      <c r="AD68" s="402"/>
      <c r="AE68" s="402"/>
      <c r="AF68" s="402"/>
      <c r="AG68" s="402"/>
      <c r="AH68" s="402"/>
      <c r="AI68" s="402"/>
      <c r="AJ68" s="402"/>
      <c r="AK68" s="402"/>
      <c r="AL68" s="402"/>
      <c r="AM68" s="402"/>
      <c r="AN68" s="402"/>
      <c r="AO68" s="402"/>
      <c r="AP68" s="402"/>
      <c r="AQ68" s="402"/>
      <c r="AR68" s="402"/>
      <c r="AS68" s="402"/>
      <c r="AT68" s="402"/>
      <c r="AU68" s="402"/>
      <c r="AV68" s="402"/>
      <c r="AW68" s="402"/>
      <c r="AX68" s="402"/>
      <c r="AY68" s="402"/>
      <c r="AZ68" s="402"/>
      <c r="BA68" s="402"/>
      <c r="BB68" s="402"/>
      <c r="BC68" s="402"/>
      <c r="BD68" s="402"/>
      <c r="BE68" s="402"/>
      <c r="BF68" s="402"/>
      <c r="BG68" s="402"/>
      <c r="BH68" s="402"/>
      <c r="BI68" s="402"/>
      <c r="BJ68" s="341"/>
    </row>
    <row r="69" spans="1:62" s="312" customFormat="1">
      <c r="A69" s="344" t="s">
        <v>402</v>
      </c>
      <c r="B69" s="399"/>
      <c r="C69" s="399"/>
      <c r="D69" s="399"/>
      <c r="E69" s="399"/>
      <c r="F69" s="399"/>
      <c r="G69" s="399"/>
      <c r="H69" s="399"/>
      <c r="I69" s="399"/>
      <c r="J69" s="399"/>
      <c r="K69" s="399"/>
      <c r="L69" s="399"/>
      <c r="M69" s="399"/>
      <c r="N69" s="399"/>
      <c r="O69" s="399"/>
      <c r="P69" s="399"/>
      <c r="Q69" s="399"/>
      <c r="R69" s="399"/>
      <c r="S69" s="399"/>
      <c r="T69" s="399"/>
      <c r="U69" s="399"/>
      <c r="V69" s="399"/>
      <c r="W69" s="399"/>
      <c r="X69" s="399"/>
      <c r="Y69" s="399"/>
      <c r="Z69" s="399"/>
      <c r="AA69" s="399"/>
      <c r="AB69" s="841"/>
      <c r="AC69" s="399"/>
      <c r="AD69" s="399"/>
      <c r="AE69" s="399"/>
      <c r="AF69" s="399"/>
      <c r="AG69" s="399"/>
      <c r="AH69" s="399"/>
      <c r="AI69" s="399"/>
      <c r="AJ69" s="399"/>
      <c r="AK69" s="399"/>
      <c r="AL69" s="399"/>
      <c r="AM69" s="399"/>
      <c r="AN69" s="399"/>
      <c r="AO69" s="399"/>
      <c r="AP69" s="399"/>
      <c r="AQ69" s="399"/>
      <c r="AR69" s="399"/>
      <c r="AS69" s="399"/>
      <c r="AT69" s="399"/>
      <c r="AU69" s="399"/>
      <c r="AV69" s="399"/>
      <c r="AW69" s="399"/>
      <c r="AX69" s="399"/>
      <c r="AY69" s="399"/>
      <c r="AZ69" s="399"/>
      <c r="BA69" s="399"/>
      <c r="BB69" s="399"/>
      <c r="BC69" s="399"/>
      <c r="BD69" s="399"/>
      <c r="BE69" s="399"/>
      <c r="BF69" s="399"/>
      <c r="BG69" s="399"/>
      <c r="BH69" s="399"/>
      <c r="BI69" s="399"/>
      <c r="BJ69" s="325"/>
    </row>
    <row r="70" spans="1:62" s="312" customFormat="1">
      <c r="A70" s="312" t="s">
        <v>403</v>
      </c>
      <c r="B70" s="497">
        <v>15.5</v>
      </c>
      <c r="C70" s="409"/>
      <c r="D70" s="409">
        <f>B70+C70</f>
        <v>15.5</v>
      </c>
      <c r="E70" s="497">
        <v>16.5</v>
      </c>
      <c r="F70" s="409"/>
      <c r="G70" s="409">
        <f>E70+F70</f>
        <v>16.5</v>
      </c>
      <c r="H70" s="497">
        <v>18.5</v>
      </c>
      <c r="I70" s="409"/>
      <c r="J70" s="409">
        <f>H70+I70</f>
        <v>18.5</v>
      </c>
      <c r="K70" s="497">
        <v>20.5</v>
      </c>
      <c r="L70" s="409"/>
      <c r="M70" s="409">
        <f>K70+L70</f>
        <v>20.5</v>
      </c>
      <c r="N70" s="497">
        <v>13</v>
      </c>
      <c r="O70" s="409"/>
      <c r="P70" s="409">
        <f>N70+O70</f>
        <v>13</v>
      </c>
      <c r="Q70" s="497">
        <v>15</v>
      </c>
      <c r="R70" s="409"/>
      <c r="S70" s="409">
        <f>Q70+R70</f>
        <v>15</v>
      </c>
      <c r="T70" s="497">
        <v>15</v>
      </c>
      <c r="U70" s="409"/>
      <c r="V70" s="409">
        <f>T70+U70</f>
        <v>15</v>
      </c>
      <c r="W70" s="497">
        <v>16</v>
      </c>
      <c r="X70" s="409"/>
      <c r="Y70" s="409">
        <f>W70+X70</f>
        <v>16</v>
      </c>
      <c r="Z70" s="497">
        <v>18</v>
      </c>
      <c r="AA70" s="409"/>
      <c r="AB70" s="831">
        <f>Z70+AA70</f>
        <v>18</v>
      </c>
      <c r="AC70" s="497">
        <v>19</v>
      </c>
      <c r="AD70" s="409"/>
      <c r="AE70" s="409">
        <f>ROUND(AE66*0.5*AE75, 0.5)</f>
        <v>18</v>
      </c>
      <c r="AF70" s="409">
        <f>AH70</f>
        <v>22</v>
      </c>
      <c r="AG70" s="409"/>
      <c r="AH70" s="409">
        <f t="shared" ref="AH70:AN70" si="434">ROUND(AH66*0.5*AH75, 0.5)</f>
        <v>22</v>
      </c>
      <c r="AI70" s="409">
        <f>AK70</f>
        <v>25</v>
      </c>
      <c r="AJ70" s="409"/>
      <c r="AK70" s="409">
        <f t="shared" si="434"/>
        <v>25</v>
      </c>
      <c r="AL70" s="409"/>
      <c r="AM70" s="409"/>
      <c r="AN70" s="409">
        <f t="shared" si="434"/>
        <v>29</v>
      </c>
      <c r="AO70" s="409"/>
      <c r="AP70" s="409"/>
      <c r="AQ70" s="409">
        <f t="shared" ref="AQ70:AT70" si="435">ROUND(AQ66*0.5*AQ75, 0.5)</f>
        <v>33</v>
      </c>
      <c r="AR70" s="409"/>
      <c r="AS70" s="409"/>
      <c r="AT70" s="409">
        <f t="shared" si="435"/>
        <v>38</v>
      </c>
      <c r="AU70" s="409"/>
      <c r="AV70" s="409"/>
      <c r="AW70" s="409">
        <f t="shared" ref="AW70" si="436">ROUND(AW66*0.5*AW75, 0.5)</f>
        <v>43</v>
      </c>
      <c r="AX70" s="409"/>
      <c r="AY70" s="409"/>
      <c r="AZ70" s="409">
        <f t="shared" ref="AZ70:BC70" si="437">ROUND(AZ66*0.5*AZ75, 0.5)</f>
        <v>49</v>
      </c>
      <c r="BA70" s="409"/>
      <c r="BB70" s="409"/>
      <c r="BC70" s="409">
        <f t="shared" si="437"/>
        <v>56</v>
      </c>
      <c r="BD70" s="409"/>
      <c r="BE70" s="409"/>
      <c r="BF70" s="409">
        <f t="shared" ref="BF70" si="438">ROUND(BF66*0.5*BF75, 0.5)</f>
        <v>63</v>
      </c>
      <c r="BG70" s="409"/>
      <c r="BH70" s="409"/>
      <c r="BI70" s="409">
        <f t="shared" ref="BI70" si="439">ROUND(BI66*0.5*BI75, 0.5)</f>
        <v>71</v>
      </c>
      <c r="BJ70" s="323"/>
    </row>
    <row r="71" spans="1:62" s="312" customFormat="1">
      <c r="A71" s="312" t="s">
        <v>404</v>
      </c>
      <c r="B71" s="409"/>
      <c r="C71" s="497">
        <v>15</v>
      </c>
      <c r="D71" s="409">
        <f t="shared" ref="D71" si="440">B71+C71</f>
        <v>15</v>
      </c>
      <c r="E71" s="409"/>
      <c r="F71" s="497">
        <v>16.5</v>
      </c>
      <c r="G71" s="409">
        <f t="shared" ref="G71" si="441">E71+F71</f>
        <v>16.5</v>
      </c>
      <c r="H71" s="409"/>
      <c r="I71" s="497">
        <v>18.5</v>
      </c>
      <c r="J71" s="409">
        <f t="shared" ref="J71" si="442">H71+I71</f>
        <v>18.5</v>
      </c>
      <c r="K71" s="409"/>
      <c r="L71" s="497">
        <v>20.5</v>
      </c>
      <c r="M71" s="409">
        <f t="shared" ref="M71" si="443">K71+L71</f>
        <v>20.5</v>
      </c>
      <c r="N71" s="409"/>
      <c r="O71" s="497">
        <v>13.5</v>
      </c>
      <c r="P71" s="409">
        <f t="shared" ref="P71" si="444">N71+O71</f>
        <v>13.5</v>
      </c>
      <c r="Q71" s="409"/>
      <c r="R71" s="497">
        <v>15</v>
      </c>
      <c r="S71" s="409">
        <f t="shared" ref="S71" si="445">Q71+R71</f>
        <v>15</v>
      </c>
      <c r="T71" s="409"/>
      <c r="U71" s="821">
        <v>15.5</v>
      </c>
      <c r="V71" s="409">
        <f>U71</f>
        <v>15.5</v>
      </c>
      <c r="W71" s="409"/>
      <c r="X71" s="409">
        <f>Y71</f>
        <v>17</v>
      </c>
      <c r="Y71" s="497">
        <v>17</v>
      </c>
      <c r="Z71" s="409"/>
      <c r="AA71" s="409">
        <f>AB71</f>
        <v>19</v>
      </c>
      <c r="AB71" s="858">
        <v>19</v>
      </c>
      <c r="AC71" s="409"/>
      <c r="AD71" s="409">
        <f>AE71</f>
        <v>19</v>
      </c>
      <c r="AE71" s="409">
        <f t="shared" ref="AE71:AT71" si="446">ROUND(AE75*AE66, 0.5)-AE70</f>
        <v>19</v>
      </c>
      <c r="AF71" s="409"/>
      <c r="AG71" s="409">
        <f>AH71</f>
        <v>21</v>
      </c>
      <c r="AH71" s="409">
        <f t="shared" si="446"/>
        <v>21</v>
      </c>
      <c r="AI71" s="409"/>
      <c r="AJ71" s="409">
        <f>AK71</f>
        <v>25</v>
      </c>
      <c r="AK71" s="409">
        <f t="shared" si="446"/>
        <v>25</v>
      </c>
      <c r="AL71" s="409"/>
      <c r="AM71" s="409"/>
      <c r="AN71" s="409">
        <f t="shared" si="446"/>
        <v>29</v>
      </c>
      <c r="AO71" s="409"/>
      <c r="AP71" s="409"/>
      <c r="AQ71" s="409">
        <f t="shared" si="446"/>
        <v>34</v>
      </c>
      <c r="AR71" s="409"/>
      <c r="AS71" s="409"/>
      <c r="AT71" s="409">
        <f t="shared" si="446"/>
        <v>38</v>
      </c>
      <c r="AU71" s="409"/>
      <c r="AV71" s="409"/>
      <c r="AW71" s="409">
        <f t="shared" ref="AW71" si="447">ROUND(AW75*AW66, 0.5)-AW70</f>
        <v>44</v>
      </c>
      <c r="AX71" s="409"/>
      <c r="AY71" s="409"/>
      <c r="AZ71" s="409">
        <f t="shared" ref="AZ71:BC71" si="448">ROUND(AZ75*AZ66, 0.5)-AZ70</f>
        <v>49</v>
      </c>
      <c r="BA71" s="409"/>
      <c r="BB71" s="409"/>
      <c r="BC71" s="409">
        <f t="shared" si="448"/>
        <v>55</v>
      </c>
      <c r="BD71" s="409"/>
      <c r="BE71" s="409"/>
      <c r="BF71" s="409">
        <f t="shared" ref="BF71" si="449">ROUND(BF75*BF66, 0.5)-BF70</f>
        <v>63</v>
      </c>
      <c r="BG71" s="409"/>
      <c r="BH71" s="409"/>
      <c r="BI71" s="409">
        <f t="shared" ref="BI71" si="450">ROUND(BI75*BI66, 0.5)-BI70</f>
        <v>71</v>
      </c>
      <c r="BJ71" s="323"/>
    </row>
    <row r="72" spans="1:62" s="312" customFormat="1">
      <c r="A72" s="344" t="s">
        <v>948</v>
      </c>
      <c r="B72" s="415">
        <f t="shared" ref="B72:C72" si="451">B70+B71</f>
        <v>15.5</v>
      </c>
      <c r="C72" s="415">
        <f t="shared" si="451"/>
        <v>15</v>
      </c>
      <c r="D72" s="415">
        <f>D70+D71</f>
        <v>30.5</v>
      </c>
      <c r="E72" s="415">
        <f t="shared" ref="E72" si="452">E70+E71</f>
        <v>16.5</v>
      </c>
      <c r="F72" s="415">
        <f t="shared" ref="F72" si="453">F70+F71</f>
        <v>16.5</v>
      </c>
      <c r="G72" s="415">
        <f>G70+G71</f>
        <v>33</v>
      </c>
      <c r="H72" s="415">
        <f>+H70+H71</f>
        <v>18.5</v>
      </c>
      <c r="I72" s="415">
        <f>+I70+I71</f>
        <v>18.5</v>
      </c>
      <c r="J72" s="415">
        <f t="shared" ref="J72:V72" si="454">J70+J71</f>
        <v>37</v>
      </c>
      <c r="K72" s="415">
        <f>+K70+K71</f>
        <v>20.5</v>
      </c>
      <c r="L72" s="415">
        <f>+L70+L71</f>
        <v>20.5</v>
      </c>
      <c r="M72" s="415">
        <f t="shared" ref="M72:P72" si="455">+M70+M71</f>
        <v>41</v>
      </c>
      <c r="N72" s="415">
        <f t="shared" si="455"/>
        <v>13</v>
      </c>
      <c r="O72" s="415">
        <f t="shared" si="455"/>
        <v>13.5</v>
      </c>
      <c r="P72" s="415">
        <f t="shared" si="455"/>
        <v>26.5</v>
      </c>
      <c r="Q72" s="415">
        <f t="shared" ref="Q72" si="456">+Q70+Q71</f>
        <v>15</v>
      </c>
      <c r="R72" s="415">
        <f t="shared" ref="R72" si="457">+R70+R71</f>
        <v>15</v>
      </c>
      <c r="S72" s="415">
        <f t="shared" si="454"/>
        <v>30</v>
      </c>
      <c r="T72" s="415">
        <f t="shared" ref="T72" si="458">+T70+T71</f>
        <v>15</v>
      </c>
      <c r="U72" s="415">
        <f t="shared" ref="U72" si="459">+U70+U71</f>
        <v>15.5</v>
      </c>
      <c r="V72" s="415">
        <f t="shared" si="454"/>
        <v>30.5</v>
      </c>
      <c r="W72" s="415">
        <f t="shared" ref="W72:X72" si="460">+W70+W71</f>
        <v>16</v>
      </c>
      <c r="X72" s="415">
        <f t="shared" si="460"/>
        <v>17</v>
      </c>
      <c r="Y72" s="415">
        <f>Y70+Y71</f>
        <v>33</v>
      </c>
      <c r="Z72" s="415">
        <f t="shared" ref="Z72:AA72" si="461">+Z70+Z71</f>
        <v>18</v>
      </c>
      <c r="AA72" s="415">
        <f t="shared" si="461"/>
        <v>19</v>
      </c>
      <c r="AB72" s="842">
        <f t="shared" ref="AB72:AT72" si="462">AB70+AB71</f>
        <v>37</v>
      </c>
      <c r="AC72" s="415">
        <f t="shared" ref="AC72:AD72" si="463">+AC70+AC71</f>
        <v>19</v>
      </c>
      <c r="AD72" s="415">
        <f t="shared" si="463"/>
        <v>19</v>
      </c>
      <c r="AE72" s="415">
        <f t="shared" si="462"/>
        <v>37</v>
      </c>
      <c r="AF72" s="415">
        <f t="shared" ref="AF72:AG72" si="464">+AF70+AF71</f>
        <v>22</v>
      </c>
      <c r="AG72" s="415">
        <f t="shared" si="464"/>
        <v>21</v>
      </c>
      <c r="AH72" s="415">
        <f t="shared" si="462"/>
        <v>43</v>
      </c>
      <c r="AI72" s="415">
        <f t="shared" ref="AI72:AJ72" si="465">+AI70+AI71</f>
        <v>25</v>
      </c>
      <c r="AJ72" s="415">
        <f t="shared" si="465"/>
        <v>25</v>
      </c>
      <c r="AK72" s="415">
        <f t="shared" si="462"/>
        <v>50</v>
      </c>
      <c r="AL72" s="415"/>
      <c r="AM72" s="415"/>
      <c r="AN72" s="415">
        <f t="shared" si="462"/>
        <v>58</v>
      </c>
      <c r="AO72" s="415"/>
      <c r="AP72" s="415"/>
      <c r="AQ72" s="415">
        <f t="shared" si="462"/>
        <v>67</v>
      </c>
      <c r="AR72" s="415"/>
      <c r="AS72" s="415"/>
      <c r="AT72" s="415">
        <f t="shared" si="462"/>
        <v>76</v>
      </c>
      <c r="AU72" s="415"/>
      <c r="AV72" s="415"/>
      <c r="AW72" s="415">
        <f t="shared" ref="AW72" si="466">AW70+AW71</f>
        <v>87</v>
      </c>
      <c r="AX72" s="415"/>
      <c r="AY72" s="415"/>
      <c r="AZ72" s="415">
        <f t="shared" ref="AZ72:BC72" si="467">AZ70+AZ71</f>
        <v>98</v>
      </c>
      <c r="BA72" s="415"/>
      <c r="BB72" s="415"/>
      <c r="BC72" s="415">
        <f t="shared" si="467"/>
        <v>111</v>
      </c>
      <c r="BD72" s="415"/>
      <c r="BE72" s="415"/>
      <c r="BF72" s="415">
        <f t="shared" ref="BF72" si="468">BF70+BF71</f>
        <v>126</v>
      </c>
      <c r="BG72" s="415"/>
      <c r="BH72" s="415"/>
      <c r="BI72" s="415">
        <f t="shared" ref="BI72" si="469">BI70+BI71</f>
        <v>142</v>
      </c>
      <c r="BJ72" s="322"/>
    </row>
    <row r="73" spans="1:62" s="312" customFormat="1">
      <c r="A73" s="312" t="s">
        <v>1359</v>
      </c>
      <c r="B73" s="406"/>
      <c r="C73" s="406"/>
      <c r="D73" s="406"/>
      <c r="E73" s="402">
        <f t="shared" ref="E73:F73" si="470">+E72/B72-1</f>
        <v>6.4516129032258007E-2</v>
      </c>
      <c r="F73" s="402">
        <f t="shared" si="470"/>
        <v>0.10000000000000009</v>
      </c>
      <c r="G73" s="402">
        <f>+G72/D72-1</f>
        <v>8.1967213114754189E-2</v>
      </c>
      <c r="H73" s="402">
        <f t="shared" ref="H73:L73" si="471">+H72/E72-1</f>
        <v>0.1212121212121211</v>
      </c>
      <c r="I73" s="402">
        <f t="shared" si="471"/>
        <v>0.1212121212121211</v>
      </c>
      <c r="J73" s="402">
        <f t="shared" si="471"/>
        <v>0.1212121212121211</v>
      </c>
      <c r="K73" s="402">
        <f t="shared" si="471"/>
        <v>0.10810810810810811</v>
      </c>
      <c r="L73" s="402">
        <f t="shared" si="471"/>
        <v>0.10810810810810811</v>
      </c>
      <c r="M73" s="402">
        <f>+M72/J72-1</f>
        <v>0.10810810810810811</v>
      </c>
      <c r="N73" s="402">
        <f t="shared" ref="N73:P73" si="472">+N72/K72-1</f>
        <v>-0.36585365853658536</v>
      </c>
      <c r="O73" s="402">
        <f t="shared" si="472"/>
        <v>-0.34146341463414631</v>
      </c>
      <c r="P73" s="402">
        <f t="shared" si="472"/>
        <v>-0.35365853658536583</v>
      </c>
      <c r="Q73" s="402">
        <f t="shared" ref="Q73" si="473">+Q72/N72-1</f>
        <v>0.15384615384615374</v>
      </c>
      <c r="R73" s="402">
        <f t="shared" ref="R73:S73" si="474">+R72/O72-1</f>
        <v>0.11111111111111116</v>
      </c>
      <c r="S73" s="402">
        <f t="shared" si="474"/>
        <v>0.13207547169811318</v>
      </c>
      <c r="T73" s="402"/>
      <c r="U73" s="402"/>
      <c r="V73" s="402">
        <f>+V72/S72-1</f>
        <v>1.6666666666666607E-2</v>
      </c>
      <c r="W73" s="402"/>
      <c r="X73" s="402"/>
      <c r="Y73" s="402">
        <f>+Y72/V72-1</f>
        <v>8.1967213114754189E-2</v>
      </c>
      <c r="Z73" s="402"/>
      <c r="AA73" s="402"/>
      <c r="AB73" s="832">
        <f>+AB72/Y72-1</f>
        <v>0.1212121212121211</v>
      </c>
      <c r="AC73" s="402"/>
      <c r="AD73" s="402"/>
      <c r="AE73" s="402">
        <f>+AE72/AB72-1</f>
        <v>0</v>
      </c>
      <c r="AF73" s="402"/>
      <c r="AG73" s="402"/>
      <c r="AH73" s="402">
        <f>+AH72/AE72-1</f>
        <v>0.16216216216216206</v>
      </c>
      <c r="AI73" s="402"/>
      <c r="AJ73" s="402"/>
      <c r="AK73" s="402">
        <f>+AK72/AH72-1</f>
        <v>0.16279069767441867</v>
      </c>
      <c r="AL73" s="402"/>
      <c r="AM73" s="402"/>
      <c r="AN73" s="402">
        <f>+AN72/AK72-1</f>
        <v>0.15999999999999992</v>
      </c>
      <c r="AO73" s="402"/>
      <c r="AP73" s="402"/>
      <c r="AQ73" s="402">
        <f>+AQ72/AN72-1</f>
        <v>0.15517241379310343</v>
      </c>
      <c r="AR73" s="402"/>
      <c r="AS73" s="402"/>
      <c r="AT73" s="402">
        <f>+AT72/AQ72-1</f>
        <v>0.13432835820895517</v>
      </c>
      <c r="AU73" s="402"/>
      <c r="AV73" s="402"/>
      <c r="AW73" s="402">
        <f>+AW72/AT72-1</f>
        <v>0.14473684210526305</v>
      </c>
      <c r="AX73" s="402"/>
      <c r="AY73" s="402"/>
      <c r="AZ73" s="402">
        <f>+AZ72/AW72-1</f>
        <v>0.12643678160919536</v>
      </c>
      <c r="BA73" s="402"/>
      <c r="BB73" s="402"/>
      <c r="BC73" s="402">
        <f>+BC72/AZ72-1</f>
        <v>0.13265306122448983</v>
      </c>
      <c r="BD73" s="402"/>
      <c r="BE73" s="402"/>
      <c r="BF73" s="402">
        <f>+BF72/BC72-1</f>
        <v>0.13513513513513509</v>
      </c>
      <c r="BG73" s="402"/>
      <c r="BH73" s="402"/>
      <c r="BI73" s="402">
        <f t="shared" ref="BI73" si="475">+BI72/BF72-1</f>
        <v>0.12698412698412698</v>
      </c>
      <c r="BJ73" s="341"/>
    </row>
    <row r="74" spans="1:62" s="312" customFormat="1">
      <c r="A74" s="312" t="s">
        <v>405</v>
      </c>
      <c r="B74" s="409"/>
      <c r="C74" s="409"/>
      <c r="D74" s="409">
        <f>(D70+D71)/100*D218</f>
        <v>39.678975000000001</v>
      </c>
      <c r="E74" s="409"/>
      <c r="F74" s="409"/>
      <c r="G74" s="409">
        <f>(G70+G71)/100*G218</f>
        <v>42.931350000000002</v>
      </c>
      <c r="H74" s="409"/>
      <c r="I74" s="409"/>
      <c r="J74" s="409">
        <f>(J70+J71)/100*J218</f>
        <v>48.135149999999996</v>
      </c>
      <c r="K74" s="409"/>
      <c r="L74" s="409"/>
      <c r="M74" s="409">
        <f>(M70+M71)/100*M218</f>
        <v>53.746899999999997</v>
      </c>
      <c r="N74" s="409"/>
      <c r="O74" s="409"/>
      <c r="P74" s="409">
        <f>(P70+P71)/100*P218</f>
        <v>36.659835000000001</v>
      </c>
      <c r="Q74" s="409"/>
      <c r="R74" s="409"/>
      <c r="S74" s="409">
        <f>(S70+S71)/100*S218</f>
        <v>41.788200000000003</v>
      </c>
      <c r="T74" s="409" t="e">
        <f>(T70+T71)/100*T218</f>
        <v>#REF!</v>
      </c>
      <c r="U74" s="409" t="e">
        <f>V74-T74</f>
        <v>#REF!</v>
      </c>
      <c r="V74" s="409">
        <f>(V70+V71)/100*V218</f>
        <v>43.522279999999995</v>
      </c>
      <c r="W74" s="409">
        <f>(W70+W71)/100*W218</f>
        <v>22.845018400000001</v>
      </c>
      <c r="X74" s="409"/>
      <c r="Y74" s="409">
        <f>(Y70+Y71)/100*Y218</f>
        <v>47.291969999999999</v>
      </c>
      <c r="Z74" s="409">
        <f>(Z70+Z71)/100*Z218</f>
        <v>25.908808140000001</v>
      </c>
      <c r="AA74" s="409"/>
      <c r="AB74" s="831">
        <f>(AB70+AB71)/100*AB218</f>
        <v>53.220800000000004</v>
      </c>
      <c r="AC74" s="409">
        <f>(AC70+AC71)/100*AC218</f>
        <v>27.349071389999999</v>
      </c>
      <c r="AD74" s="409"/>
      <c r="AE74" s="409">
        <f t="shared" ref="AE74:BF74" si="476">(AE70+AE71)/100*AE218</f>
        <v>53.76936495999999</v>
      </c>
      <c r="AF74" s="409">
        <f>(AF70+AF71)/100*AF218</f>
        <v>31.667345819999998</v>
      </c>
      <c r="AG74" s="409"/>
      <c r="AH74" s="409">
        <f t="shared" si="476"/>
        <v>62.488721439999985</v>
      </c>
      <c r="AI74" s="409">
        <f>(AI70+AI71)/100*AI218</f>
        <v>35.985620249999997</v>
      </c>
      <c r="AJ74" s="409"/>
      <c r="AK74" s="409">
        <f t="shared" si="476"/>
        <v>72.661303999999987</v>
      </c>
      <c r="AL74" s="409"/>
      <c r="AM74" s="409"/>
      <c r="AN74" s="409">
        <f t="shared" si="476"/>
        <v>84.287112639999975</v>
      </c>
      <c r="AO74" s="409"/>
      <c r="AP74" s="409"/>
      <c r="AQ74" s="409">
        <f t="shared" si="476"/>
        <v>97.366147359999985</v>
      </c>
      <c r="AR74" s="409"/>
      <c r="AS74" s="409"/>
      <c r="AT74" s="409">
        <f t="shared" si="476"/>
        <v>110.44518207999998</v>
      </c>
      <c r="AU74" s="409"/>
      <c r="AV74" s="409"/>
      <c r="AW74" s="409">
        <f t="shared" si="476"/>
        <v>126.43066895999998</v>
      </c>
      <c r="AX74" s="409"/>
      <c r="AY74" s="409"/>
      <c r="AZ74" s="409">
        <f t="shared" si="476"/>
        <v>142.41615583999996</v>
      </c>
      <c r="BA74" s="409"/>
      <c r="BB74" s="409"/>
      <c r="BC74" s="409">
        <f t="shared" si="476"/>
        <v>161.30809488</v>
      </c>
      <c r="BD74" s="409"/>
      <c r="BE74" s="409"/>
      <c r="BF74" s="409">
        <f t="shared" si="476"/>
        <v>183.10648607999997</v>
      </c>
      <c r="BG74" s="409"/>
      <c r="BH74" s="409"/>
      <c r="BI74" s="409">
        <f t="shared" ref="BI74" si="477">(BI70+BI71)/100*BI218</f>
        <v>206.35810335999994</v>
      </c>
      <c r="BJ74" s="323"/>
    </row>
    <row r="75" spans="1:62" s="312" customFormat="1">
      <c r="A75" s="312" t="s">
        <v>406</v>
      </c>
      <c r="B75" s="416">
        <f>+B70/B66</f>
        <v>0.59789998547114975</v>
      </c>
      <c r="C75" s="416">
        <f>+C71/C66</f>
        <v>0.97046792270267068</v>
      </c>
      <c r="D75" s="416">
        <f>D74/D57</f>
        <v>0.73706161533603298</v>
      </c>
      <c r="E75" s="416">
        <f>+E70/E66</f>
        <v>0.56612411662315065</v>
      </c>
      <c r="F75" s="416">
        <f>+F71/F66</f>
        <v>0.96809561834239444</v>
      </c>
      <c r="G75" s="416">
        <f>G74/G57</f>
        <v>0.71445082376435343</v>
      </c>
      <c r="H75" s="416">
        <f>+H70/H66</f>
        <v>0.55305010731191717</v>
      </c>
      <c r="I75" s="416">
        <f>+I71/I66</f>
        <v>1.0083993121689392</v>
      </c>
      <c r="J75" s="416">
        <f>J74/J57</f>
        <v>0.71433034058024791</v>
      </c>
      <c r="K75" s="416">
        <f>+K70/K66</f>
        <v>0.53805774278215235</v>
      </c>
      <c r="L75" s="416">
        <f>+L71/L66</f>
        <v>1.1810060422655353</v>
      </c>
      <c r="M75" s="416">
        <f>M74/M57</f>
        <v>0.73929711141678123</v>
      </c>
      <c r="N75" s="416">
        <f>+N70/N66</f>
        <v>0.27896995708154504</v>
      </c>
      <c r="O75" s="416">
        <f>+O71/O66</f>
        <v>0.70469197336082912</v>
      </c>
      <c r="P75" s="416">
        <f>P74/P57</f>
        <v>0.40299704291619032</v>
      </c>
      <c r="Q75" s="416">
        <f>+Q70/Q66</f>
        <v>0.26864350931836906</v>
      </c>
      <c r="R75" s="452"/>
      <c r="S75" s="416">
        <f>S74/S57</f>
        <v>0.39513786451832511</v>
      </c>
      <c r="T75" s="452"/>
      <c r="U75" s="452"/>
      <c r="V75" s="416">
        <f>V74/V57</f>
        <v>0.39491035133565622</v>
      </c>
      <c r="W75" s="452"/>
      <c r="X75" s="452"/>
      <c r="Y75" s="416">
        <f>Y74/Y57</f>
        <v>0.39906478098340192</v>
      </c>
      <c r="Z75" s="452"/>
      <c r="AA75" s="452"/>
      <c r="AB75" s="843">
        <f>AB74/AB57</f>
        <v>0.39174996687620539</v>
      </c>
      <c r="AC75" s="452"/>
      <c r="AD75" s="475"/>
      <c r="AE75" s="475">
        <f>AB75</f>
        <v>0.39174996687620539</v>
      </c>
      <c r="AF75" s="475"/>
      <c r="AG75" s="475"/>
      <c r="AH75" s="475">
        <f>AE75</f>
        <v>0.39174996687620539</v>
      </c>
      <c r="AI75" s="475"/>
      <c r="AJ75" s="475"/>
      <c r="AK75" s="475">
        <f>AH75</f>
        <v>0.39174996687620539</v>
      </c>
      <c r="AL75" s="475"/>
      <c r="AM75" s="475"/>
      <c r="AN75" s="475">
        <f>AK75</f>
        <v>0.39174996687620539</v>
      </c>
      <c r="AO75" s="475"/>
      <c r="AP75" s="475"/>
      <c r="AQ75" s="475">
        <f>AN75</f>
        <v>0.39174996687620539</v>
      </c>
      <c r="AR75" s="475"/>
      <c r="AS75" s="475"/>
      <c r="AT75" s="475">
        <f>AQ75</f>
        <v>0.39174996687620539</v>
      </c>
      <c r="AU75" s="475"/>
      <c r="AV75" s="475"/>
      <c r="AW75" s="475">
        <f>AT75</f>
        <v>0.39174996687620539</v>
      </c>
      <c r="AX75" s="475"/>
      <c r="AY75" s="475"/>
      <c r="AZ75" s="475">
        <f>AW75</f>
        <v>0.39174996687620539</v>
      </c>
      <c r="BA75" s="475"/>
      <c r="BB75" s="475"/>
      <c r="BC75" s="475">
        <f>AZ75</f>
        <v>0.39174996687620539</v>
      </c>
      <c r="BD75" s="475"/>
      <c r="BE75" s="475"/>
      <c r="BF75" s="475">
        <f>BC75</f>
        <v>0.39174996687620539</v>
      </c>
      <c r="BG75" s="475"/>
      <c r="BH75" s="475"/>
      <c r="BI75" s="475">
        <f t="shared" ref="BI75" si="478">BF75</f>
        <v>0.39174996687620539</v>
      </c>
      <c r="BJ75" s="321"/>
    </row>
    <row r="76" spans="1:62" s="312" customFormat="1">
      <c r="B76" s="416"/>
      <c r="C76" s="416"/>
      <c r="D76" s="416"/>
      <c r="E76" s="416"/>
      <c r="F76" s="416"/>
      <c r="G76" s="416"/>
      <c r="H76" s="416"/>
      <c r="I76" s="416"/>
      <c r="J76" s="416"/>
      <c r="K76" s="416"/>
      <c r="L76" s="416"/>
      <c r="M76" s="416"/>
      <c r="N76" s="416"/>
      <c r="O76" s="416"/>
      <c r="P76" s="416"/>
      <c r="Q76" s="416"/>
      <c r="R76" s="416"/>
      <c r="S76" s="416"/>
      <c r="T76" s="416"/>
      <c r="U76" s="416"/>
      <c r="V76" s="416"/>
      <c r="W76" s="416"/>
      <c r="X76" s="416"/>
      <c r="Y76" s="416"/>
      <c r="Z76" s="416"/>
      <c r="AA76" s="416"/>
      <c r="AB76" s="843"/>
      <c r="AC76" s="416"/>
      <c r="AD76" s="416"/>
      <c r="AE76" s="416"/>
      <c r="AF76" s="416"/>
      <c r="AG76" s="416"/>
      <c r="AH76" s="416"/>
      <c r="AI76" s="416"/>
      <c r="AJ76" s="416"/>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416"/>
      <c r="BJ76" s="343"/>
    </row>
    <row r="77" spans="1:62" s="312" customFormat="1">
      <c r="A77" s="344" t="s">
        <v>486</v>
      </c>
      <c r="B77" s="417">
        <f>-B52/B50</f>
        <v>0.29934559052664378</v>
      </c>
      <c r="C77" s="417">
        <f t="shared" ref="C77:D77" si="479">-C52/C50</f>
        <v>0.30871837183718376</v>
      </c>
      <c r="D77" s="417">
        <f t="shared" si="479"/>
        <v>0.30287608614013961</v>
      </c>
      <c r="E77" s="417">
        <f>-E52/E50</f>
        <v>0.2921839123373593</v>
      </c>
      <c r="F77" s="417">
        <f>-F52/F50</f>
        <v>0.28019088430074002</v>
      </c>
      <c r="G77" s="417">
        <f t="shared" ref="G77" si="480">-G52/G50</f>
        <v>0.28780534057103574</v>
      </c>
      <c r="H77" s="417">
        <f>-H52/H50</f>
        <v>0.28473751684691501</v>
      </c>
      <c r="I77" s="417">
        <f>-I52/I50</f>
        <v>0.28689234814305759</v>
      </c>
      <c r="J77" s="417">
        <f>-J52/J50</f>
        <v>0.28550222137396486</v>
      </c>
      <c r="K77" s="417">
        <f t="shared" ref="K77:P77" si="481">-K52/K50</f>
        <v>0.27794091992789444</v>
      </c>
      <c r="L77" s="417">
        <f t="shared" si="481"/>
        <v>0.30073475831916446</v>
      </c>
      <c r="M77" s="417">
        <f t="shared" si="481"/>
        <v>0.28532106484212183</v>
      </c>
      <c r="N77" s="417">
        <f t="shared" si="481"/>
        <v>0.28788652356323113</v>
      </c>
      <c r="O77" s="417">
        <f t="shared" si="481"/>
        <v>0.28138319260152805</v>
      </c>
      <c r="P77" s="417">
        <f t="shared" si="481"/>
        <v>0.28598227671247928</v>
      </c>
      <c r="Q77" s="417">
        <f>-Q52/Q50</f>
        <v>0.28725151134310012</v>
      </c>
      <c r="R77" s="417"/>
      <c r="S77" s="417">
        <f>-S52/S50</f>
        <v>0.28481872958552268</v>
      </c>
      <c r="T77" s="417"/>
      <c r="U77" s="417"/>
      <c r="V77" s="417">
        <f t="shared" ref="V77:AT77" si="482">-V52/V50</f>
        <v>0.27010219152134901</v>
      </c>
      <c r="W77" s="417"/>
      <c r="X77" s="417"/>
      <c r="Y77" s="417">
        <f t="shared" si="482"/>
        <v>0.28475378273491586</v>
      </c>
      <c r="Z77" s="417"/>
      <c r="AA77" s="417"/>
      <c r="AB77" s="844">
        <f>-AB52/AB50</f>
        <v>0.28459488778186182</v>
      </c>
      <c r="AC77" s="417"/>
      <c r="AD77" s="417"/>
      <c r="AE77" s="417">
        <f t="shared" si="482"/>
        <v>0.28459488778186182</v>
      </c>
      <c r="AF77" s="417"/>
      <c r="AG77" s="417"/>
      <c r="AH77" s="417">
        <f t="shared" si="482"/>
        <v>0.28459488778186182</v>
      </c>
      <c r="AI77" s="417"/>
      <c r="AJ77" s="417"/>
      <c r="AK77" s="417">
        <f t="shared" si="482"/>
        <v>0.28459488778186182</v>
      </c>
      <c r="AL77" s="417"/>
      <c r="AM77" s="417"/>
      <c r="AN77" s="417">
        <f t="shared" si="482"/>
        <v>0.28459488778186182</v>
      </c>
      <c r="AO77" s="417"/>
      <c r="AP77" s="417"/>
      <c r="AQ77" s="417">
        <f t="shared" si="482"/>
        <v>0.28459488778186182</v>
      </c>
      <c r="AR77" s="417"/>
      <c r="AS77" s="417"/>
      <c r="AT77" s="417">
        <f t="shared" si="482"/>
        <v>0.28459488778186182</v>
      </c>
      <c r="AU77" s="417"/>
      <c r="AV77" s="417"/>
      <c r="AW77" s="417">
        <f t="shared" ref="AW77" si="483">-AW52/AW50</f>
        <v>0.28459488778186182</v>
      </c>
      <c r="AX77" s="417"/>
      <c r="AY77" s="417"/>
      <c r="AZ77" s="417">
        <f t="shared" ref="AZ77:BC77" si="484">-AZ52/AZ50</f>
        <v>0.28459488778186182</v>
      </c>
      <c r="BA77" s="417"/>
      <c r="BB77" s="417"/>
      <c r="BC77" s="417">
        <f t="shared" si="484"/>
        <v>0.28459488778186182</v>
      </c>
      <c r="BD77" s="417"/>
      <c r="BE77" s="417"/>
      <c r="BF77" s="417">
        <f t="shared" ref="BF77" si="485">-BF52/BF50</f>
        <v>0.28459488778186182</v>
      </c>
      <c r="BG77" s="417"/>
      <c r="BH77" s="417"/>
      <c r="BI77" s="417">
        <f t="shared" ref="BI77" si="486">-BI52/BI50</f>
        <v>0.28459488778186182</v>
      </c>
      <c r="BJ77" s="382"/>
    </row>
    <row r="78" spans="1:62">
      <c r="A78" s="315"/>
      <c r="B78" s="418"/>
      <c r="C78" s="418"/>
      <c r="D78" s="418"/>
      <c r="E78" s="418"/>
      <c r="F78" s="418"/>
      <c r="G78" s="418"/>
      <c r="H78" s="418"/>
      <c r="I78" s="418"/>
      <c r="J78" s="418"/>
      <c r="K78" s="418"/>
      <c r="L78" s="418"/>
      <c r="M78" s="418"/>
      <c r="N78" s="418"/>
      <c r="O78" s="418"/>
      <c r="P78" s="418"/>
      <c r="Q78" s="418"/>
      <c r="R78" s="418"/>
      <c r="S78" s="418"/>
      <c r="T78" s="418"/>
      <c r="U78" s="418"/>
      <c r="V78" s="418"/>
      <c r="W78" s="418"/>
      <c r="X78" s="418"/>
      <c r="Y78" s="418"/>
      <c r="Z78" s="418"/>
      <c r="AA78" s="418"/>
      <c r="AB78" s="845"/>
      <c r="AC78" s="418"/>
      <c r="AD78" s="418"/>
      <c r="AE78" s="418"/>
      <c r="AF78" s="418"/>
      <c r="AG78" s="418"/>
      <c r="AH78" s="418"/>
      <c r="AI78" s="418"/>
      <c r="AJ78" s="41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418"/>
      <c r="BJ78" s="342"/>
    </row>
    <row r="79" spans="1:62">
      <c r="A79" s="316" t="s">
        <v>407</v>
      </c>
      <c r="B79" s="419"/>
      <c r="C79" s="419"/>
      <c r="D79" s="419"/>
      <c r="E79" s="419"/>
      <c r="F79" s="419"/>
      <c r="G79" s="419"/>
      <c r="H79" s="419"/>
      <c r="I79" s="419"/>
      <c r="J79" s="419"/>
      <c r="K79" s="419"/>
      <c r="L79" s="419"/>
      <c r="M79" s="419"/>
      <c r="N79" s="419"/>
      <c r="O79" s="419"/>
      <c r="P79" s="419"/>
      <c r="Q79" s="419"/>
      <c r="R79" s="419"/>
      <c r="S79" s="419"/>
      <c r="T79" s="419"/>
      <c r="U79" s="419"/>
      <c r="V79" s="419"/>
      <c r="W79" s="419"/>
      <c r="X79" s="419"/>
      <c r="Y79" s="419"/>
      <c r="Z79" s="419"/>
      <c r="AA79" s="419"/>
      <c r="AB79" s="846"/>
      <c r="AC79" s="419"/>
      <c r="AD79" s="419"/>
      <c r="AE79" s="419"/>
      <c r="AF79" s="419"/>
      <c r="AG79" s="419"/>
      <c r="AH79" s="419"/>
      <c r="AI79" s="419"/>
      <c r="AJ79" s="419"/>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419"/>
      <c r="BJ79" s="354"/>
    </row>
    <row r="80" spans="1:62">
      <c r="A80" s="315"/>
      <c r="B80" s="505"/>
      <c r="C80" s="428"/>
      <c r="D80" s="505"/>
      <c r="E80" s="428"/>
      <c r="F80" s="428"/>
      <c r="G80" s="428"/>
      <c r="H80" s="428"/>
      <c r="I80" s="428"/>
      <c r="J80" s="428"/>
      <c r="K80" s="428"/>
      <c r="L80" s="428"/>
      <c r="M80" s="428"/>
      <c r="N80" s="428"/>
      <c r="O80" s="428"/>
      <c r="P80" s="428"/>
      <c r="Q80" s="428"/>
      <c r="R80" s="428"/>
      <c r="S80" s="428"/>
      <c r="T80" s="428"/>
      <c r="U80" s="428"/>
      <c r="V80" s="428"/>
      <c r="W80" s="428"/>
      <c r="X80" s="428"/>
      <c r="Y80" s="428"/>
      <c r="Z80" s="428"/>
      <c r="AA80" s="428"/>
      <c r="AB80" s="847"/>
      <c r="AC80" s="428"/>
      <c r="AD80" s="428"/>
      <c r="AE80" s="428"/>
      <c r="AF80" s="428"/>
      <c r="AG80" s="428"/>
      <c r="AH80" s="428"/>
      <c r="AI80" s="428"/>
      <c r="AJ80" s="428"/>
      <c r="AK80" s="428"/>
      <c r="AL80" s="428"/>
      <c r="AM80" s="428"/>
      <c r="AN80" s="428"/>
      <c r="AO80" s="428"/>
      <c r="AP80" s="428"/>
      <c r="AQ80" s="428"/>
      <c r="AR80" s="428"/>
      <c r="AS80" s="428"/>
      <c r="AT80" s="428"/>
      <c r="AU80" s="428"/>
      <c r="AV80" s="428"/>
      <c r="AW80" s="428"/>
      <c r="AX80" s="428"/>
      <c r="AY80" s="428"/>
      <c r="AZ80" s="428"/>
      <c r="BA80" s="428"/>
      <c r="BB80" s="428"/>
      <c r="BC80" s="428"/>
      <c r="BD80" s="428"/>
      <c r="BE80" s="428"/>
      <c r="BF80" s="428"/>
      <c r="BG80" s="428"/>
      <c r="BH80" s="428"/>
      <c r="BI80" s="428"/>
      <c r="BJ80" s="317"/>
    </row>
    <row r="81" spans="1:123" s="312" customFormat="1">
      <c r="A81" s="312" t="s">
        <v>1067</v>
      </c>
      <c r="B81" s="409">
        <f>B33</f>
        <v>54.227999999999952</v>
      </c>
      <c r="C81" s="409">
        <f t="shared" ref="C81:AT81" si="487">C33</f>
        <v>35.561000000000035</v>
      </c>
      <c r="D81" s="409">
        <f t="shared" si="487"/>
        <v>89.789000000000044</v>
      </c>
      <c r="E81" s="409">
        <f t="shared" si="487"/>
        <v>61.515000000000029</v>
      </c>
      <c r="F81" s="409">
        <f t="shared" si="487"/>
        <v>38.695999999999948</v>
      </c>
      <c r="G81" s="409">
        <f t="shared" si="487"/>
        <v>100.21100000000004</v>
      </c>
      <c r="H81" s="409">
        <f t="shared" si="487"/>
        <v>70.498000000000005</v>
      </c>
      <c r="I81" s="409">
        <f t="shared" si="487"/>
        <v>43.463000000000022</v>
      </c>
      <c r="J81" s="409">
        <f t="shared" si="487"/>
        <v>113.9610000000001</v>
      </c>
      <c r="K81" s="409">
        <f t="shared" si="487"/>
        <v>85.25</v>
      </c>
      <c r="L81" s="409">
        <f t="shared" si="487"/>
        <v>46.988</v>
      </c>
      <c r="M81" s="409">
        <f t="shared" si="487"/>
        <v>132.238</v>
      </c>
      <c r="N81" s="409">
        <f t="shared" si="487"/>
        <v>112.42099999999994</v>
      </c>
      <c r="O81" s="409">
        <f t="shared" si="487"/>
        <v>50.877000000000066</v>
      </c>
      <c r="P81" s="409">
        <f t="shared" si="487"/>
        <v>163.29800000000012</v>
      </c>
      <c r="Q81" s="409">
        <f t="shared" si="487"/>
        <v>125.50000000000011</v>
      </c>
      <c r="R81" s="409">
        <f t="shared" si="487"/>
        <v>61.36399999999999</v>
      </c>
      <c r="S81" s="409">
        <f t="shared" si="487"/>
        <v>186.78800000000007</v>
      </c>
      <c r="T81" s="409">
        <f t="shared" ref="T81" si="488">T33</f>
        <v>141.88599999999997</v>
      </c>
      <c r="U81" s="409">
        <f>V81-T81</f>
        <v>76.277000000000015</v>
      </c>
      <c r="V81" s="409">
        <f t="shared" si="487"/>
        <v>218.16299999999998</v>
      </c>
      <c r="W81" s="409">
        <f t="shared" ref="W81" si="489">W33</f>
        <v>159.23799999999994</v>
      </c>
      <c r="X81" s="409">
        <f>Y81-W81</f>
        <v>86.260000000000048</v>
      </c>
      <c r="Y81" s="409">
        <f t="shared" si="487"/>
        <v>245.49799999999999</v>
      </c>
      <c r="Z81" s="409">
        <f t="shared" si="487"/>
        <v>177.57599999999985</v>
      </c>
      <c r="AA81" s="409">
        <f>AB81-Z81</f>
        <v>94.318000000000154</v>
      </c>
      <c r="AB81" s="831">
        <f t="shared" si="487"/>
        <v>271.89400000000001</v>
      </c>
      <c r="AC81" s="409">
        <f t="shared" ref="AC81" si="490">AC33</f>
        <v>182.762</v>
      </c>
      <c r="AD81" s="409">
        <f>AE81-AC81</f>
        <v>97.594207465628415</v>
      </c>
      <c r="AE81" s="409">
        <f t="shared" si="487"/>
        <v>280.35620746562842</v>
      </c>
      <c r="AF81" s="409">
        <f t="shared" si="487"/>
        <v>196.02680803350148</v>
      </c>
      <c r="AG81" s="409">
        <f>AH81-AF81</f>
        <v>122.75106078417798</v>
      </c>
      <c r="AH81" s="409">
        <f t="shared" si="487"/>
        <v>318.77786881767946</v>
      </c>
      <c r="AI81" s="409">
        <f t="shared" ref="AI81" si="491">AI33</f>
        <v>227.44536747427009</v>
      </c>
      <c r="AJ81" s="409">
        <f>AK81-AI81</f>
        <v>130.78315076206462</v>
      </c>
      <c r="AK81" s="409">
        <f t="shared" si="487"/>
        <v>358.22851823633471</v>
      </c>
      <c r="AL81" s="409"/>
      <c r="AM81" s="409"/>
      <c r="AN81" s="409">
        <f t="shared" si="487"/>
        <v>406.34286200559256</v>
      </c>
      <c r="AO81" s="409"/>
      <c r="AP81" s="409"/>
      <c r="AQ81" s="409">
        <f t="shared" si="487"/>
        <v>458.9614204737095</v>
      </c>
      <c r="AR81" s="409"/>
      <c r="AS81" s="409"/>
      <c r="AT81" s="409">
        <f t="shared" si="487"/>
        <v>518.38636302953046</v>
      </c>
      <c r="AU81" s="409"/>
      <c r="AV81" s="409"/>
      <c r="AW81" s="409">
        <f t="shared" ref="AW81" si="492">AW33</f>
        <v>582.25125375731591</v>
      </c>
      <c r="AX81" s="409"/>
      <c r="AY81" s="409"/>
      <c r="AZ81" s="409">
        <f t="shared" ref="AZ81:BC81" si="493">AZ33</f>
        <v>654.24964681628546</v>
      </c>
      <c r="BA81" s="409"/>
      <c r="BB81" s="409"/>
      <c r="BC81" s="409">
        <f t="shared" si="493"/>
        <v>735.44565845341231</v>
      </c>
      <c r="BD81" s="409"/>
      <c r="BE81" s="409"/>
      <c r="BF81" s="409">
        <f t="shared" ref="BF81" si="494">BF33</f>
        <v>827.04644416723374</v>
      </c>
      <c r="BG81" s="409"/>
      <c r="BH81" s="409"/>
      <c r="BI81" s="409">
        <f t="shared" ref="BI81" si="495">BI33</f>
        <v>928.7921385469017</v>
      </c>
      <c r="BJ81" s="323"/>
    </row>
    <row r="82" spans="1:123" s="312" customFormat="1">
      <c r="A82" s="312" t="s">
        <v>451</v>
      </c>
      <c r="B82" s="409">
        <f>B83-B81</f>
        <v>-17.698999999999955</v>
      </c>
      <c r="C82" s="409">
        <f>D82-B82</f>
        <v>11.387999999999977</v>
      </c>
      <c r="D82" s="409">
        <f>D83-D81</f>
        <v>-6.3109999999999786</v>
      </c>
      <c r="E82" s="409">
        <f>E83-E81</f>
        <v>-54.401000000000053</v>
      </c>
      <c r="F82" s="409">
        <f>G82-E82</f>
        <v>67.028000000000091</v>
      </c>
      <c r="G82" s="409">
        <f>G83-G81</f>
        <v>12.627000000000038</v>
      </c>
      <c r="H82" s="409">
        <f>H83-H81</f>
        <v>-75.560999999999993</v>
      </c>
      <c r="I82" s="409">
        <f>J82-H82</f>
        <v>19.92399999999985</v>
      </c>
      <c r="J82" s="409">
        <f>J83-J81</f>
        <v>-55.637000000000143</v>
      </c>
      <c r="K82" s="409">
        <f>K83-K81</f>
        <v>-66.147999999999968</v>
      </c>
      <c r="L82" s="409">
        <f>M82-K82</f>
        <v>101.91599999999994</v>
      </c>
      <c r="M82" s="409">
        <f>M83-M81</f>
        <v>35.767999999999972</v>
      </c>
      <c r="N82" s="409">
        <f>N83-N81</f>
        <v>-40.783999999999992</v>
      </c>
      <c r="O82" s="409">
        <f>P82-N82</f>
        <v>43.373999999999796</v>
      </c>
      <c r="P82" s="409">
        <f t="shared" ref="P82:Q82" si="496">P83-P81</f>
        <v>2.5899999999998045</v>
      </c>
      <c r="Q82" s="409">
        <f t="shared" si="496"/>
        <v>-154.25500000000011</v>
      </c>
      <c r="R82" s="409"/>
      <c r="S82" s="431">
        <f>S83-S81</f>
        <v>-184.10200000000015</v>
      </c>
      <c r="T82" s="409">
        <f t="shared" ref="T82" si="497">T83-T81</f>
        <v>-155.28499999999997</v>
      </c>
      <c r="U82" s="409"/>
      <c r="V82" s="431">
        <f>V83-V81</f>
        <v>-63.70199999999997</v>
      </c>
      <c r="W82" s="409"/>
      <c r="X82" s="409"/>
      <c r="Y82" s="431">
        <f>Y190</f>
        <v>114.14999999999992</v>
      </c>
      <c r="Z82" s="409"/>
      <c r="AA82" s="409"/>
      <c r="AB82" s="995">
        <f t="shared" ref="AB82:BF82" si="498">AB190</f>
        <v>-75.697000000000003</v>
      </c>
      <c r="AC82" s="409">
        <f t="shared" si="498"/>
        <v>-145.84899999999993</v>
      </c>
      <c r="AD82" s="409">
        <f t="shared" si="498"/>
        <v>0</v>
      </c>
      <c r="AE82" s="409">
        <f>AE190</f>
        <v>-104.3119666536852</v>
      </c>
      <c r="AF82" s="409">
        <f t="shared" ref="AF82:AG82" si="499">AF190</f>
        <v>-34.767886721312152</v>
      </c>
      <c r="AG82" s="409">
        <f t="shared" si="499"/>
        <v>0</v>
      </c>
      <c r="AH82" s="409">
        <f t="shared" si="498"/>
        <v>79.223870907315472</v>
      </c>
      <c r="AI82" s="409">
        <f t="shared" si="498"/>
        <v>-106.06291120648575</v>
      </c>
      <c r="AJ82" s="409">
        <f t="shared" si="498"/>
        <v>0</v>
      </c>
      <c r="AK82" s="409">
        <f t="shared" si="498"/>
        <v>-43.324633316883876</v>
      </c>
      <c r="AL82" s="409"/>
      <c r="AM82" s="409"/>
      <c r="AN82" s="409">
        <f t="shared" si="498"/>
        <v>17.356848317392746</v>
      </c>
      <c r="AO82" s="409"/>
      <c r="AP82" s="409"/>
      <c r="AQ82" s="409">
        <f t="shared" si="498"/>
        <v>-21.544012980083892</v>
      </c>
      <c r="AR82" s="409"/>
      <c r="AS82" s="409"/>
      <c r="AT82" s="409">
        <f t="shared" si="498"/>
        <v>-47.463685822729417</v>
      </c>
      <c r="AU82" s="409"/>
      <c r="AV82" s="409"/>
      <c r="AW82" s="409">
        <f t="shared" si="498"/>
        <v>-46.963996771524648</v>
      </c>
      <c r="AX82" s="409"/>
      <c r="AY82" s="409"/>
      <c r="AZ82" s="409">
        <f t="shared" si="498"/>
        <v>-51.723690849529248</v>
      </c>
      <c r="BA82" s="409"/>
      <c r="BB82" s="409"/>
      <c r="BC82" s="409">
        <f t="shared" si="498"/>
        <v>-64.05555145271137</v>
      </c>
      <c r="BD82" s="409"/>
      <c r="BE82" s="409"/>
      <c r="BF82" s="409">
        <f t="shared" si="498"/>
        <v>-71.34998588678468</v>
      </c>
      <c r="BG82" s="409"/>
      <c r="BH82" s="409"/>
      <c r="BI82" s="409">
        <f t="shared" ref="BI82" si="500">BI190</f>
        <v>-79.599013489670369</v>
      </c>
      <c r="BJ82" s="323"/>
    </row>
    <row r="83" spans="1:123" s="312" customFormat="1">
      <c r="A83" s="312" t="s">
        <v>521</v>
      </c>
      <c r="B83" s="506">
        <f>292.572-256.043</f>
        <v>36.528999999999996</v>
      </c>
      <c r="C83" s="421">
        <f>D83-B83</f>
        <v>46.949000000000069</v>
      </c>
      <c r="D83" s="506">
        <f>618.984-535.506</f>
        <v>83.478000000000065</v>
      </c>
      <c r="E83" s="506">
        <f>347.174-340.06</f>
        <v>7.1139999999999759</v>
      </c>
      <c r="F83" s="421">
        <f>G83-E83</f>
        <v>105.7240000000001</v>
      </c>
      <c r="G83" s="506">
        <f>692.023-579.185</f>
        <v>112.83800000000008</v>
      </c>
      <c r="H83" s="506">
        <f>379.382-384.445</f>
        <v>-5.0629999999999882</v>
      </c>
      <c r="I83" s="421">
        <f>J83-H83</f>
        <v>63.386999999999944</v>
      </c>
      <c r="J83" s="506">
        <f>775.992-717.668</f>
        <v>58.323999999999955</v>
      </c>
      <c r="K83" s="506">
        <f>508.062-488.96</f>
        <v>19.102000000000032</v>
      </c>
      <c r="L83" s="421">
        <f>M83-K83</f>
        <v>148.90399999999994</v>
      </c>
      <c r="M83" s="506">
        <f>1004.785-836.779</f>
        <v>168.00599999999997</v>
      </c>
      <c r="N83" s="506">
        <f>673.375-601.738</f>
        <v>71.636999999999944</v>
      </c>
      <c r="O83" s="421">
        <f>P83-N83</f>
        <v>94.250999999999976</v>
      </c>
      <c r="P83" s="506">
        <f>1314.512-1148.624</f>
        <v>165.88799999999992</v>
      </c>
      <c r="Q83" s="506">
        <f>745.612-774.367</f>
        <v>-28.754999999999995</v>
      </c>
      <c r="R83" s="453"/>
      <c r="S83" s="820">
        <f>1448.572-1445.886</f>
        <v>2.6859999999999218</v>
      </c>
      <c r="T83" s="820">
        <f>732.901-746.3</f>
        <v>-13.399000000000001</v>
      </c>
      <c r="U83" s="453"/>
      <c r="V83" s="506">
        <f>1474.092-1319.631</f>
        <v>154.46100000000001</v>
      </c>
      <c r="W83" s="820">
        <f>815.693-698.025</f>
        <v>117.66800000000001</v>
      </c>
      <c r="X83" s="453"/>
      <c r="Y83" s="506">
        <f>1617.072-1253.165</f>
        <v>363.90699999999993</v>
      </c>
      <c r="Z83" s="820">
        <f>910.063-892.457</f>
        <v>17.605999999999995</v>
      </c>
      <c r="AA83" s="453"/>
      <c r="AB83" s="998">
        <f>1859.762-1619.659</f>
        <v>240.10299999999984</v>
      </c>
      <c r="AC83" s="820">
        <f>1025.975-986.428</f>
        <v>39.546999999999912</v>
      </c>
      <c r="AD83" s="453">
        <f t="shared" ref="AD83:BF83" si="501">AD81+AD82</f>
        <v>97.594207465628415</v>
      </c>
      <c r="AE83" s="453">
        <f t="shared" si="501"/>
        <v>176.04424081194321</v>
      </c>
      <c r="AF83" s="453">
        <f t="shared" ref="AF83:AG83" si="502">AF81+AF82</f>
        <v>161.25892131218933</v>
      </c>
      <c r="AG83" s="453">
        <f t="shared" si="502"/>
        <v>122.75106078417798</v>
      </c>
      <c r="AH83" s="453">
        <f t="shared" si="501"/>
        <v>398.00173972499493</v>
      </c>
      <c r="AI83" s="453">
        <f t="shared" si="501"/>
        <v>121.38245626778433</v>
      </c>
      <c r="AJ83" s="453">
        <f t="shared" si="501"/>
        <v>130.78315076206462</v>
      </c>
      <c r="AK83" s="453">
        <f t="shared" si="501"/>
        <v>314.90388491945083</v>
      </c>
      <c r="AL83" s="453"/>
      <c r="AM83" s="453"/>
      <c r="AN83" s="453">
        <f t="shared" si="501"/>
        <v>423.69971032298531</v>
      </c>
      <c r="AO83" s="453"/>
      <c r="AP83" s="453"/>
      <c r="AQ83" s="453">
        <f t="shared" si="501"/>
        <v>437.4174074936256</v>
      </c>
      <c r="AR83" s="453"/>
      <c r="AS83" s="453"/>
      <c r="AT83" s="453">
        <f t="shared" si="501"/>
        <v>470.92267720680104</v>
      </c>
      <c r="AU83" s="453"/>
      <c r="AV83" s="453"/>
      <c r="AW83" s="453">
        <f t="shared" si="501"/>
        <v>535.28725698579126</v>
      </c>
      <c r="AX83" s="453"/>
      <c r="AY83" s="453"/>
      <c r="AZ83" s="453">
        <f t="shared" si="501"/>
        <v>602.52595596675621</v>
      </c>
      <c r="BA83" s="453"/>
      <c r="BB83" s="453"/>
      <c r="BC83" s="453">
        <f t="shared" si="501"/>
        <v>671.39010700070094</v>
      </c>
      <c r="BD83" s="453"/>
      <c r="BE83" s="453"/>
      <c r="BF83" s="453">
        <f t="shared" si="501"/>
        <v>755.69645828044906</v>
      </c>
      <c r="BG83" s="453"/>
      <c r="BH83" s="453"/>
      <c r="BI83" s="453">
        <f t="shared" ref="BI83" si="503">BI81+BI82</f>
        <v>849.19312505723133</v>
      </c>
      <c r="BJ83" s="325"/>
    </row>
    <row r="84" spans="1:123" s="313" customFormat="1">
      <c r="A84" s="383" t="s">
        <v>1525</v>
      </c>
      <c r="B84" s="420"/>
      <c r="C84" s="420"/>
      <c r="D84" s="420"/>
      <c r="E84" s="420"/>
      <c r="F84" s="420"/>
      <c r="G84" s="420"/>
      <c r="H84" s="420"/>
      <c r="I84" s="420"/>
      <c r="J84" s="420"/>
      <c r="K84" s="420"/>
      <c r="L84" s="420"/>
      <c r="M84" s="420"/>
      <c r="N84" s="420"/>
      <c r="O84" s="420"/>
      <c r="P84" s="420"/>
      <c r="Q84" s="420"/>
      <c r="R84" s="420"/>
      <c r="S84" s="420"/>
      <c r="T84" s="420"/>
      <c r="U84" s="420"/>
      <c r="V84" s="420"/>
      <c r="W84" s="420"/>
      <c r="X84" s="420"/>
      <c r="Y84" s="420"/>
      <c r="Z84" s="420"/>
      <c r="AA84" s="420"/>
      <c r="AB84" s="848"/>
      <c r="AC84" s="420"/>
      <c r="AD84" s="420"/>
      <c r="AE84" s="420"/>
      <c r="AF84" s="420"/>
      <c r="AG84" s="420"/>
      <c r="AH84" s="420"/>
      <c r="AI84" s="420"/>
      <c r="AJ84" s="420"/>
      <c r="AK84" s="420"/>
      <c r="AL84" s="420"/>
      <c r="AM84" s="420"/>
      <c r="AN84" s="420"/>
      <c r="AO84" s="420"/>
      <c r="AP84" s="420"/>
      <c r="AQ84" s="420"/>
      <c r="AR84" s="420"/>
      <c r="AS84" s="420"/>
      <c r="AT84" s="420"/>
      <c r="AU84" s="420"/>
      <c r="AV84" s="420"/>
      <c r="AW84" s="420"/>
      <c r="AX84" s="420"/>
      <c r="AY84" s="420"/>
      <c r="AZ84" s="420"/>
      <c r="BA84" s="420"/>
      <c r="BB84" s="420"/>
      <c r="BC84" s="420"/>
      <c r="BD84" s="420"/>
      <c r="BE84" s="420"/>
      <c r="BF84" s="420"/>
      <c r="BG84" s="420"/>
      <c r="BH84" s="420"/>
      <c r="BI84" s="420"/>
      <c r="BJ84" s="326"/>
      <c r="BK84" s="384"/>
      <c r="BL84" s="384"/>
      <c r="BM84" s="384"/>
      <c r="BN84" s="384"/>
      <c r="BO84" s="384"/>
      <c r="BP84" s="384"/>
      <c r="BQ84" s="384"/>
      <c r="BR84" s="384"/>
      <c r="BS84" s="384"/>
      <c r="BT84" s="384"/>
      <c r="BU84" s="384"/>
      <c r="BV84" s="384"/>
      <c r="BW84" s="384"/>
      <c r="BX84" s="384"/>
      <c r="BY84" s="384"/>
      <c r="BZ84" s="384"/>
      <c r="CA84" s="384"/>
      <c r="CB84" s="384"/>
      <c r="CC84" s="384"/>
      <c r="CD84" s="384"/>
      <c r="CE84" s="384"/>
      <c r="CF84" s="384"/>
      <c r="CG84" s="384"/>
      <c r="CH84" s="384"/>
      <c r="CI84" s="384"/>
      <c r="CJ84" s="384"/>
      <c r="CK84" s="384"/>
      <c r="CL84" s="384"/>
      <c r="CM84" s="384"/>
      <c r="CN84" s="384"/>
      <c r="CO84" s="384"/>
      <c r="CP84" s="384"/>
      <c r="CQ84" s="384"/>
      <c r="CR84" s="384"/>
      <c r="CS84" s="384"/>
      <c r="CT84" s="384"/>
      <c r="CU84" s="384"/>
      <c r="CV84" s="384"/>
      <c r="CW84" s="384"/>
      <c r="CX84" s="384"/>
      <c r="CY84" s="384"/>
      <c r="CZ84" s="384"/>
      <c r="DA84" s="384"/>
      <c r="DB84" s="384"/>
      <c r="DC84" s="384"/>
      <c r="DD84" s="384"/>
      <c r="DE84" s="384"/>
      <c r="DF84" s="384"/>
      <c r="DG84" s="384"/>
      <c r="DH84" s="384"/>
      <c r="DI84" s="384"/>
      <c r="DJ84" s="384"/>
      <c r="DK84" s="384"/>
      <c r="DL84" s="384"/>
      <c r="DM84" s="384"/>
      <c r="DN84" s="384"/>
      <c r="DO84" s="384"/>
      <c r="DP84" s="384"/>
      <c r="DQ84" s="384"/>
      <c r="DR84" s="384"/>
      <c r="DS84" s="384"/>
    </row>
    <row r="85" spans="1:123" s="313" customFormat="1">
      <c r="A85" s="383" t="s">
        <v>1526</v>
      </c>
      <c r="B85" s="420">
        <f t="shared" ref="B85:M85" si="504">B83/B81</f>
        <v>0.67361879471859609</v>
      </c>
      <c r="C85" s="420">
        <f>C83/C81</f>
        <v>1.3202384634852795</v>
      </c>
      <c r="D85" s="420">
        <f t="shared" si="504"/>
        <v>0.9297129937965678</v>
      </c>
      <c r="E85" s="420">
        <f t="shared" si="504"/>
        <v>0.11564659026253715</v>
      </c>
      <c r="F85" s="420">
        <f>F83/F81</f>
        <v>2.7321686996072008</v>
      </c>
      <c r="G85" s="420">
        <f t="shared" si="504"/>
        <v>1.1260041312829931</v>
      </c>
      <c r="H85" s="420">
        <f t="shared" si="504"/>
        <v>-7.181764021674357E-2</v>
      </c>
      <c r="I85" s="420">
        <f>I83/I81</f>
        <v>1.4584129029289261</v>
      </c>
      <c r="J85" s="420">
        <f t="shared" si="504"/>
        <v>0.51178912083958461</v>
      </c>
      <c r="K85" s="420">
        <f t="shared" si="504"/>
        <v>0.22407038123167194</v>
      </c>
      <c r="L85" s="420">
        <f>L83/L81</f>
        <v>3.1689793138673692</v>
      </c>
      <c r="M85" s="420">
        <f t="shared" si="504"/>
        <v>1.2704820097097655</v>
      </c>
      <c r="N85" s="420">
        <f t="shared" ref="N85" si="505">N83/N81</f>
        <v>0.63722080394232383</v>
      </c>
      <c r="O85" s="420">
        <f>O83/O81</f>
        <v>1.8525266819977564</v>
      </c>
      <c r="P85" s="420">
        <f>P83/P81</f>
        <v>1.0158605739200712</v>
      </c>
      <c r="Q85" s="420">
        <f t="shared" ref="Q85" si="506">Q83/Q81</f>
        <v>-0.22912350597609538</v>
      </c>
      <c r="R85" s="420"/>
      <c r="S85" s="420">
        <f>S83/S81</f>
        <v>1.4379938754095128E-2</v>
      </c>
      <c r="T85" s="420"/>
      <c r="U85" s="420"/>
      <c r="V85" s="420">
        <f>V83/V81</f>
        <v>0.7080073156309733</v>
      </c>
      <c r="W85" s="420"/>
      <c r="X85" s="420"/>
      <c r="Y85" s="420">
        <f>Y83/Y81</f>
        <v>1.4823216482415333</v>
      </c>
      <c r="Z85" s="420">
        <f t="shared" ref="Z85:BF85" si="507">Z83/Z81</f>
        <v>9.9146281028967928E-2</v>
      </c>
      <c r="AA85" s="420"/>
      <c r="AB85" s="848">
        <f t="shared" si="507"/>
        <v>0.88307575746430533</v>
      </c>
      <c r="AC85" s="420">
        <f t="shared" si="507"/>
        <v>0.21638524419737096</v>
      </c>
      <c r="AD85" s="420">
        <f t="shared" si="507"/>
        <v>1</v>
      </c>
      <c r="AE85" s="420">
        <f t="shared" si="507"/>
        <v>0.62793059730459577</v>
      </c>
      <c r="AF85" s="420">
        <f t="shared" ref="AF85:AG85" si="508">AF83/AF81</f>
        <v>0.82263708178439432</v>
      </c>
      <c r="AG85" s="420">
        <f t="shared" si="508"/>
        <v>1</v>
      </c>
      <c r="AH85" s="420">
        <f t="shared" si="507"/>
        <v>1.2485237485310703</v>
      </c>
      <c r="AI85" s="420">
        <f t="shared" si="507"/>
        <v>0.53367741720004835</v>
      </c>
      <c r="AJ85" s="420">
        <f t="shared" si="507"/>
        <v>1</v>
      </c>
      <c r="AK85" s="420">
        <f t="shared" si="507"/>
        <v>0.87905867034209362</v>
      </c>
      <c r="AL85" s="420"/>
      <c r="AM85" s="420"/>
      <c r="AN85" s="420">
        <f t="shared" si="507"/>
        <v>1.0427147858134489</v>
      </c>
      <c r="AO85" s="420"/>
      <c r="AP85" s="420"/>
      <c r="AQ85" s="420">
        <f t="shared" si="507"/>
        <v>0.95305920711625913</v>
      </c>
      <c r="AR85" s="420"/>
      <c r="AS85" s="420"/>
      <c r="AT85" s="420">
        <f t="shared" si="507"/>
        <v>0.90843955549805699</v>
      </c>
      <c r="AU85" s="420"/>
      <c r="AV85" s="420"/>
      <c r="AW85" s="420">
        <f t="shared" si="507"/>
        <v>0.9193406687088056</v>
      </c>
      <c r="AX85" s="420"/>
      <c r="AY85" s="420"/>
      <c r="AZ85" s="420">
        <f t="shared" si="507"/>
        <v>0.92094196595867117</v>
      </c>
      <c r="BA85" s="420"/>
      <c r="BB85" s="420"/>
      <c r="BC85" s="420">
        <f t="shared" si="507"/>
        <v>0.91290240044734861</v>
      </c>
      <c r="BD85" s="420"/>
      <c r="BE85" s="420"/>
      <c r="BF85" s="420">
        <f t="shared" si="507"/>
        <v>0.9137291667354569</v>
      </c>
      <c r="BG85" s="420"/>
      <c r="BH85" s="420"/>
      <c r="BI85" s="420">
        <f t="shared" ref="BI85" si="509">BI83/BI81</f>
        <v>0.91429835569646045</v>
      </c>
      <c r="BJ85" s="326"/>
      <c r="BK85" s="384"/>
      <c r="BL85" s="384"/>
      <c r="BM85" s="384"/>
      <c r="BN85" s="384"/>
      <c r="BO85" s="384"/>
      <c r="BP85" s="384"/>
      <c r="BQ85" s="384"/>
      <c r="BR85" s="384"/>
      <c r="BS85" s="384"/>
      <c r="BT85" s="384"/>
      <c r="BU85" s="384"/>
      <c r="BV85" s="384"/>
      <c r="BW85" s="384"/>
      <c r="BX85" s="384"/>
      <c r="BY85" s="384"/>
      <c r="BZ85" s="384"/>
      <c r="CA85" s="384"/>
      <c r="CB85" s="384"/>
      <c r="CC85" s="384"/>
      <c r="CD85" s="384"/>
      <c r="CE85" s="384"/>
      <c r="CF85" s="384"/>
      <c r="CG85" s="384"/>
      <c r="CH85" s="384"/>
      <c r="CI85" s="384"/>
      <c r="CJ85" s="384"/>
      <c r="CK85" s="384"/>
      <c r="CL85" s="384"/>
      <c r="CM85" s="384"/>
      <c r="CN85" s="384"/>
      <c r="CO85" s="384"/>
      <c r="CP85" s="384"/>
      <c r="CQ85" s="384"/>
      <c r="CR85" s="384"/>
      <c r="CS85" s="384"/>
      <c r="CT85" s="384"/>
      <c r="CU85" s="384"/>
      <c r="CV85" s="384"/>
      <c r="CW85" s="384"/>
      <c r="CX85" s="384"/>
      <c r="CY85" s="384"/>
      <c r="CZ85" s="384"/>
      <c r="DA85" s="384"/>
      <c r="DB85" s="384"/>
      <c r="DC85" s="384"/>
      <c r="DD85" s="384"/>
      <c r="DE85" s="384"/>
      <c r="DF85" s="384"/>
      <c r="DG85" s="384"/>
      <c r="DH85" s="384"/>
      <c r="DI85" s="384"/>
      <c r="DJ85" s="384"/>
      <c r="DK85" s="384"/>
      <c r="DL85" s="384"/>
      <c r="DM85" s="384"/>
      <c r="DN85" s="384"/>
      <c r="DO85" s="384"/>
      <c r="DP85" s="384"/>
      <c r="DQ85" s="384"/>
      <c r="DR85" s="384"/>
      <c r="DS85" s="384"/>
    </row>
    <row r="86" spans="1:123" s="312" customFormat="1">
      <c r="B86" s="409"/>
      <c r="C86" s="409"/>
      <c r="D86" s="409"/>
      <c r="E86" s="409"/>
      <c r="F86" s="409"/>
      <c r="G86" s="409"/>
      <c r="H86" s="409"/>
      <c r="I86" s="409"/>
      <c r="J86" s="409"/>
      <c r="K86" s="409"/>
      <c r="L86" s="409"/>
      <c r="M86" s="409"/>
      <c r="N86" s="409"/>
      <c r="O86" s="409"/>
      <c r="P86" s="409"/>
      <c r="Q86" s="409"/>
      <c r="R86" s="409"/>
      <c r="S86" s="409"/>
      <c r="T86" s="409"/>
      <c r="U86" s="409"/>
      <c r="V86" s="409"/>
      <c r="W86" s="409"/>
      <c r="X86" s="409"/>
      <c r="Y86" s="409"/>
      <c r="Z86" s="409"/>
      <c r="AA86" s="409"/>
      <c r="AB86" s="831"/>
      <c r="AC86" s="409"/>
      <c r="AD86" s="409"/>
      <c r="AE86" s="409"/>
      <c r="AF86" s="409"/>
      <c r="AG86" s="409"/>
      <c r="AH86" s="409"/>
      <c r="AI86" s="409"/>
      <c r="AJ86" s="409"/>
      <c r="AK86" s="409"/>
      <c r="AL86" s="409"/>
      <c r="AM86" s="409"/>
      <c r="AN86" s="409"/>
      <c r="AO86" s="409"/>
      <c r="AP86" s="409"/>
      <c r="AQ86" s="409"/>
      <c r="AR86" s="409"/>
      <c r="AS86" s="409"/>
      <c r="AT86" s="409"/>
      <c r="AU86" s="409"/>
      <c r="AV86" s="409"/>
      <c r="AW86" s="409"/>
      <c r="AX86" s="409"/>
      <c r="AY86" s="409"/>
      <c r="AZ86" s="409"/>
      <c r="BA86" s="409"/>
      <c r="BB86" s="409"/>
      <c r="BC86" s="409"/>
      <c r="BD86" s="409"/>
      <c r="BE86" s="409"/>
      <c r="BF86" s="409"/>
      <c r="BG86" s="409"/>
      <c r="BH86" s="409"/>
      <c r="BI86" s="409"/>
      <c r="BJ86" s="323"/>
    </row>
    <row r="87" spans="1:123" s="312" customFormat="1">
      <c r="A87" s="312" t="s">
        <v>399</v>
      </c>
      <c r="B87" s="409">
        <f>B50</f>
        <v>48.135000000000005</v>
      </c>
      <c r="C87" s="409">
        <f>D87-B87</f>
        <v>29.087999999999994</v>
      </c>
      <c r="D87" s="409">
        <f>D50</f>
        <v>77.222999999999999</v>
      </c>
      <c r="E87" s="409">
        <f>E50</f>
        <v>53.568999999999996</v>
      </c>
      <c r="F87" s="409">
        <f>G87-E87</f>
        <v>30.804000000000009</v>
      </c>
      <c r="G87" s="409">
        <f>G50</f>
        <v>84.373000000000005</v>
      </c>
      <c r="H87" s="409">
        <f>H50</f>
        <v>60.841999999999992</v>
      </c>
      <c r="I87" s="409">
        <f>J87-H87</f>
        <v>33.469000000000001</v>
      </c>
      <c r="J87" s="409">
        <f>J50</f>
        <v>94.310999999999993</v>
      </c>
      <c r="K87" s="409">
        <f>K50</f>
        <v>68.787999999999997</v>
      </c>
      <c r="L87" s="409">
        <f>M87-K87</f>
        <v>32.936000000000007</v>
      </c>
      <c r="M87" s="409">
        <f>M50</f>
        <v>101.724</v>
      </c>
      <c r="N87" s="409">
        <f>N50</f>
        <v>90.097999999999999</v>
      </c>
      <c r="O87" s="409">
        <f>P87-N87</f>
        <v>37.305000000000007</v>
      </c>
      <c r="P87" s="409">
        <f>P50</f>
        <v>127.40300000000001</v>
      </c>
      <c r="Q87" s="409">
        <f>Q50</f>
        <v>109.009</v>
      </c>
      <c r="R87" s="409">
        <f>S87-Q87</f>
        <v>38.864000000000019</v>
      </c>
      <c r="S87" s="409">
        <f>S50</f>
        <v>147.87300000000002</v>
      </c>
      <c r="T87" s="409">
        <f>T50</f>
        <v>110.629</v>
      </c>
      <c r="U87" s="409">
        <f>V87-T87</f>
        <v>40.361999999999981</v>
      </c>
      <c r="V87" s="409">
        <f t="shared" ref="V87:AT87" si="510">V50</f>
        <v>150.99099999999999</v>
      </c>
      <c r="W87" s="409">
        <f>W50</f>
        <v>118.17</v>
      </c>
      <c r="X87" s="409">
        <f>Y87-W87</f>
        <v>47.516999999999982</v>
      </c>
      <c r="Y87" s="409">
        <f>Y50</f>
        <v>165.68699999999998</v>
      </c>
      <c r="Z87" s="409">
        <f>Z50</f>
        <v>136.36799999999985</v>
      </c>
      <c r="AA87" s="409">
        <f>AB87-Z87</f>
        <v>53.530000000000143</v>
      </c>
      <c r="AB87" s="831">
        <f t="shared" si="510"/>
        <v>189.898</v>
      </c>
      <c r="AC87" s="409">
        <f>AC50</f>
        <v>137.435</v>
      </c>
      <c r="AD87" s="409">
        <f>AE87-AC87</f>
        <v>52.347695387215964</v>
      </c>
      <c r="AE87" s="409">
        <f t="shared" si="510"/>
        <v>189.78269538721597</v>
      </c>
      <c r="AF87" s="409">
        <f>AF50</f>
        <v>146.36896758470056</v>
      </c>
      <c r="AG87" s="409">
        <f>AH87-AF87</f>
        <v>77.936689258572443</v>
      </c>
      <c r="AH87" s="409">
        <f t="shared" si="510"/>
        <v>224.305656843273</v>
      </c>
      <c r="AI87" s="409">
        <f>AI50</f>
        <v>181.43762977219515</v>
      </c>
      <c r="AJ87" s="409">
        <f>AK87-AI87</f>
        <v>78.397450945100076</v>
      </c>
      <c r="AK87" s="409">
        <f t="shared" si="510"/>
        <v>259.83508071729523</v>
      </c>
      <c r="AL87" s="409"/>
      <c r="AM87" s="409"/>
      <c r="AN87" s="409">
        <f t="shared" si="510"/>
        <v>300.10452261089972</v>
      </c>
      <c r="AO87" s="409"/>
      <c r="AP87" s="409"/>
      <c r="AQ87" s="409">
        <f t="shared" si="510"/>
        <v>345.28153630581011</v>
      </c>
      <c r="AR87" s="409"/>
      <c r="AS87" s="409"/>
      <c r="AT87" s="409">
        <f t="shared" si="510"/>
        <v>395.87003047467823</v>
      </c>
      <c r="AU87" s="409"/>
      <c r="AV87" s="409"/>
      <c r="AW87" s="409">
        <f t="shared" ref="AW87" si="511">AW50</f>
        <v>449.47652724326468</v>
      </c>
      <c r="AX87" s="409"/>
      <c r="AY87" s="409"/>
      <c r="AZ87" s="409">
        <f t="shared" ref="AZ87:BC87" si="512">AZ50</f>
        <v>509.34394314758248</v>
      </c>
      <c r="BA87" s="409"/>
      <c r="BB87" s="409"/>
      <c r="BC87" s="409">
        <f t="shared" si="512"/>
        <v>576.6855996807642</v>
      </c>
      <c r="BD87" s="409"/>
      <c r="BE87" s="409"/>
      <c r="BF87" s="409">
        <f t="shared" ref="BF87" si="513">BF50</f>
        <v>653.04010346691587</v>
      </c>
      <c r="BG87" s="409"/>
      <c r="BH87" s="409"/>
      <c r="BI87" s="409">
        <f t="shared" ref="BI87" si="514">BI50</f>
        <v>737.91367637276892</v>
      </c>
      <c r="BJ87" s="323"/>
    </row>
    <row r="88" spans="1:123" s="312" customFormat="1">
      <c r="A88" s="312" t="s">
        <v>408</v>
      </c>
      <c r="B88" s="409">
        <f>-B36</f>
        <v>5.0860000000000003</v>
      </c>
      <c r="C88" s="409">
        <f t="shared" ref="C88:C93" si="515">D88-B88</f>
        <v>5.6829999999999998</v>
      </c>
      <c r="D88" s="409">
        <f>-D36</f>
        <v>10.769</v>
      </c>
      <c r="E88" s="409">
        <f>-E36</f>
        <v>6.3159999999999998</v>
      </c>
      <c r="F88" s="409">
        <f t="shared" ref="F88:F93" si="516">G88-E88</f>
        <v>6.9859999999999998</v>
      </c>
      <c r="G88" s="409">
        <f>-G36</f>
        <v>13.302</v>
      </c>
      <c r="H88" s="409">
        <f>-H36</f>
        <v>8.16</v>
      </c>
      <c r="I88" s="409">
        <f t="shared" ref="I88:I93" si="517">J88-H88</f>
        <v>8.4559999999999995</v>
      </c>
      <c r="J88" s="409">
        <f>-J36</f>
        <v>16.616</v>
      </c>
      <c r="K88" s="409">
        <f>-K36</f>
        <v>12.163</v>
      </c>
      <c r="L88" s="409">
        <f t="shared" ref="L88:L93" si="518">M88-K88</f>
        <v>10.175000000000001</v>
      </c>
      <c r="M88" s="409">
        <f>-M36</f>
        <v>22.338000000000001</v>
      </c>
      <c r="N88" s="409">
        <f>-N36</f>
        <v>17.815000000000001</v>
      </c>
      <c r="O88" s="409">
        <f t="shared" ref="O88:O93" si="519">P88-N88</f>
        <v>9.0529999999999973</v>
      </c>
      <c r="P88" s="409">
        <f t="shared" ref="P88:AT88" si="520">-P36</f>
        <v>26.867999999999999</v>
      </c>
      <c r="Q88" s="409">
        <f t="shared" si="520"/>
        <v>12.989000000000001</v>
      </c>
      <c r="R88" s="454">
        <f t="shared" si="520"/>
        <v>17.474999999999998</v>
      </c>
      <c r="S88" s="454">
        <f>-S36</f>
        <v>30.463999999999999</v>
      </c>
      <c r="T88" s="409">
        <f>-T36</f>
        <v>20.777999999999999</v>
      </c>
      <c r="U88" s="409">
        <f>V88-T88</f>
        <v>25.363999999999997</v>
      </c>
      <c r="V88" s="454">
        <f t="shared" si="520"/>
        <v>46.141999999999996</v>
      </c>
      <c r="W88" s="409">
        <f t="shared" ref="W88" si="521">-W36</f>
        <v>28.227</v>
      </c>
      <c r="X88" s="409">
        <f>Y88-W88</f>
        <v>31.557999999999996</v>
      </c>
      <c r="Y88" s="454">
        <f t="shared" si="520"/>
        <v>59.784999999999997</v>
      </c>
      <c r="Z88" s="409">
        <f t="shared" si="520"/>
        <v>32.792000000000002</v>
      </c>
      <c r="AA88" s="409">
        <f>AB88-Z88</f>
        <v>34.536000000000001</v>
      </c>
      <c r="AB88" s="1145">
        <f t="shared" si="520"/>
        <v>67.328000000000003</v>
      </c>
      <c r="AC88" s="409">
        <f t="shared" ref="AC88" si="522">-AC36</f>
        <v>36.936999999999998</v>
      </c>
      <c r="AD88" s="409">
        <f>AE88-AC88</f>
        <v>36.946378007412036</v>
      </c>
      <c r="AE88" s="454">
        <f t="shared" si="520"/>
        <v>73.883378007412034</v>
      </c>
      <c r="AF88" s="454">
        <f t="shared" si="520"/>
        <v>40.029878361488699</v>
      </c>
      <c r="AG88" s="409">
        <f>AH88-AF88</f>
        <v>40.029878361488699</v>
      </c>
      <c r="AH88" s="454">
        <f t="shared" si="520"/>
        <v>80.059756722977397</v>
      </c>
      <c r="AI88" s="454">
        <f t="shared" ref="AI88" si="523">-AI36</f>
        <v>43.712337524201416</v>
      </c>
      <c r="AJ88" s="409">
        <f>AK88-AI88</f>
        <v>43.712337524201416</v>
      </c>
      <c r="AK88" s="454">
        <f t="shared" si="520"/>
        <v>87.424675048402833</v>
      </c>
      <c r="AL88" s="454"/>
      <c r="AM88" s="454"/>
      <c r="AN88" s="454">
        <f t="shared" si="520"/>
        <v>95.524508675248029</v>
      </c>
      <c r="AO88" s="454"/>
      <c r="AP88" s="454"/>
      <c r="AQ88" s="454">
        <f t="shared" si="520"/>
        <v>104.16941943613006</v>
      </c>
      <c r="AR88" s="454"/>
      <c r="AS88" s="454"/>
      <c r="AT88" s="454">
        <f t="shared" si="520"/>
        <v>113.49631526209532</v>
      </c>
      <c r="AU88" s="454"/>
      <c r="AV88" s="454"/>
      <c r="AW88" s="454">
        <f t="shared" ref="AW88" si="524">-AW36</f>
        <v>125.40762081936802</v>
      </c>
      <c r="AX88" s="454"/>
      <c r="AY88" s="454"/>
      <c r="AZ88" s="454">
        <f t="shared" ref="AZ88:BC88" si="525">-AZ36</f>
        <v>138.66907735199482</v>
      </c>
      <c r="BA88" s="454"/>
      <c r="BB88" s="454"/>
      <c r="BC88" s="454">
        <f t="shared" si="525"/>
        <v>153.44179609990417</v>
      </c>
      <c r="BD88" s="454"/>
      <c r="BE88" s="454"/>
      <c r="BF88" s="454">
        <f t="shared" ref="BF88" si="526">-BF36</f>
        <v>169.90698114075985</v>
      </c>
      <c r="BG88" s="454"/>
      <c r="BH88" s="454"/>
      <c r="BI88" s="454">
        <f t="shared" ref="BI88" si="527">-BI36</f>
        <v>188.26853794956713</v>
      </c>
      <c r="BJ88" s="355"/>
    </row>
    <row r="89" spans="1:123" s="312" customFormat="1">
      <c r="A89" s="312" t="s">
        <v>1688</v>
      </c>
      <c r="B89" s="409"/>
      <c r="C89" s="409"/>
      <c r="D89" s="409"/>
      <c r="E89" s="409"/>
      <c r="F89" s="409"/>
      <c r="G89" s="409"/>
      <c r="H89" s="409"/>
      <c r="I89" s="409"/>
      <c r="J89" s="409"/>
      <c r="K89" s="409"/>
      <c r="L89" s="409"/>
      <c r="M89" s="409"/>
      <c r="N89" s="409"/>
      <c r="O89" s="409"/>
      <c r="P89" s="409"/>
      <c r="Q89" s="409">
        <f>-PPE_and_intangibles!Q38</f>
        <v>-6.6922585770204677</v>
      </c>
      <c r="R89" s="409">
        <f>-PPE_and_intangibles!R38</f>
        <v>0</v>
      </c>
      <c r="S89" s="409">
        <f>-PPE_and_intangibles!S38</f>
        <v>11.483000000000024</v>
      </c>
      <c r="T89" s="877">
        <f>-PPE_and_intangibles!T38</f>
        <v>-6.2830000000000013</v>
      </c>
      <c r="U89" s="454"/>
      <c r="V89" s="409">
        <f>-PPE_and_intangibles!V38</f>
        <v>0.5389999999999997</v>
      </c>
      <c r="W89" s="877"/>
      <c r="X89" s="454"/>
      <c r="Y89" s="409"/>
      <c r="Z89" s="877"/>
      <c r="AA89" s="454"/>
      <c r="AB89" s="831"/>
      <c r="AC89" s="877"/>
      <c r="AD89" s="454"/>
      <c r="AE89" s="454"/>
      <c r="AF89" s="454"/>
      <c r="AG89" s="454"/>
      <c r="AH89" s="454"/>
      <c r="AI89" s="454"/>
      <c r="AJ89" s="454"/>
      <c r="AK89" s="454"/>
      <c r="AL89" s="454"/>
      <c r="AM89" s="454"/>
      <c r="AN89" s="454"/>
      <c r="AO89" s="454"/>
      <c r="AP89" s="454"/>
      <c r="AQ89" s="454"/>
      <c r="AR89" s="454"/>
      <c r="AS89" s="454"/>
      <c r="AT89" s="454"/>
      <c r="AU89" s="454"/>
      <c r="AV89" s="454"/>
      <c r="AW89" s="454"/>
      <c r="AX89" s="454"/>
      <c r="AY89" s="454"/>
      <c r="AZ89" s="454"/>
      <c r="BA89" s="454"/>
      <c r="BB89" s="454"/>
      <c r="BC89" s="454"/>
      <c r="BD89" s="454"/>
      <c r="BE89" s="454"/>
      <c r="BF89" s="454"/>
      <c r="BG89" s="454"/>
      <c r="BH89" s="454"/>
      <c r="BI89" s="454"/>
      <c r="BJ89" s="355"/>
    </row>
    <row r="90" spans="1:123" s="312" customFormat="1">
      <c r="A90" s="312" t="s">
        <v>614</v>
      </c>
      <c r="B90" s="409"/>
      <c r="C90" s="409"/>
      <c r="D90" s="409"/>
      <c r="E90" s="409"/>
      <c r="F90" s="409"/>
      <c r="G90" s="409"/>
      <c r="H90" s="409"/>
      <c r="I90" s="409"/>
      <c r="J90" s="409"/>
      <c r="K90" s="409"/>
      <c r="L90" s="409"/>
      <c r="M90" s="409"/>
      <c r="N90" s="409"/>
      <c r="O90" s="409"/>
      <c r="P90" s="409"/>
      <c r="Q90" s="409"/>
      <c r="R90" s="409"/>
      <c r="S90" s="409"/>
      <c r="T90" s="409"/>
      <c r="U90" s="409"/>
      <c r="V90" s="409"/>
      <c r="W90" s="409"/>
      <c r="X90" s="409"/>
      <c r="Y90" s="409"/>
      <c r="Z90" s="409"/>
      <c r="AA90" s="409"/>
      <c r="AB90" s="831"/>
      <c r="AC90" s="409"/>
      <c r="AD90" s="409"/>
      <c r="AE90" s="409"/>
      <c r="AF90" s="409"/>
      <c r="AG90" s="409"/>
      <c r="AH90" s="409"/>
      <c r="AI90" s="409"/>
      <c r="AJ90" s="409"/>
      <c r="AK90" s="409"/>
      <c r="AL90" s="409"/>
      <c r="AM90" s="409"/>
      <c r="AN90" s="409"/>
      <c r="AO90" s="409"/>
      <c r="AP90" s="409"/>
      <c r="AQ90" s="409"/>
      <c r="AR90" s="409"/>
      <c r="AS90" s="409"/>
      <c r="AT90" s="409"/>
      <c r="AU90" s="409"/>
      <c r="AV90" s="409"/>
      <c r="AW90" s="409"/>
      <c r="AX90" s="409"/>
      <c r="AY90" s="409"/>
      <c r="AZ90" s="409"/>
      <c r="BA90" s="409"/>
      <c r="BB90" s="409"/>
      <c r="BC90" s="409"/>
      <c r="BD90" s="409"/>
      <c r="BE90" s="409"/>
      <c r="BF90" s="409"/>
      <c r="BG90" s="409"/>
      <c r="BH90" s="409"/>
      <c r="BI90" s="409"/>
      <c r="BJ90" s="323"/>
    </row>
    <row r="91" spans="1:123" s="312" customFormat="1">
      <c r="A91" s="312" t="s">
        <v>409</v>
      </c>
      <c r="B91" s="497">
        <v>-11.911</v>
      </c>
      <c r="C91" s="409">
        <f t="shared" si="515"/>
        <v>-7.8310000000000013</v>
      </c>
      <c r="D91" s="497">
        <v>-19.742000000000001</v>
      </c>
      <c r="E91" s="497">
        <v>-11.085000000000001</v>
      </c>
      <c r="F91" s="409">
        <f t="shared" si="516"/>
        <v>-11.241</v>
      </c>
      <c r="G91" s="497">
        <v>-22.326000000000001</v>
      </c>
      <c r="H91" s="497">
        <v>-15.442</v>
      </c>
      <c r="I91" s="409">
        <f t="shared" si="517"/>
        <v>-9.9939999999999998</v>
      </c>
      <c r="J91" s="497">
        <v>-25.436</v>
      </c>
      <c r="K91" s="497">
        <v>-17.588000000000001</v>
      </c>
      <c r="L91" s="409">
        <f t="shared" si="518"/>
        <v>-11.341999999999999</v>
      </c>
      <c r="M91" s="497">
        <v>-28.93</v>
      </c>
      <c r="N91" s="497">
        <v>-19.516999999999999</v>
      </c>
      <c r="O91" s="409">
        <f t="shared" si="519"/>
        <v>-13.882999999999999</v>
      </c>
      <c r="P91" s="497">
        <v>-33.4</v>
      </c>
      <c r="Q91" s="497">
        <v>-25.545999999999999</v>
      </c>
      <c r="R91" s="409">
        <f>S91-Q91</f>
        <v>-21.811999999999998</v>
      </c>
      <c r="S91" s="497">
        <v>-47.357999999999997</v>
      </c>
      <c r="T91" s="497">
        <v>-28.366</v>
      </c>
      <c r="U91" s="409">
        <f>V91-T91</f>
        <v>-14.811</v>
      </c>
      <c r="V91" s="497">
        <v>-43.177</v>
      </c>
      <c r="W91" s="497">
        <v>-23.163</v>
      </c>
      <c r="X91" s="409">
        <f>Y91-W91</f>
        <v>-18.102999999999998</v>
      </c>
      <c r="Y91" s="497">
        <v>-41.265999999999998</v>
      </c>
      <c r="Z91" s="497">
        <v>-33.125</v>
      </c>
      <c r="AA91" s="409">
        <f>AB91-Z91</f>
        <v>-20.835999999999999</v>
      </c>
      <c r="AB91" s="858">
        <v>-53.960999999999999</v>
      </c>
      <c r="AC91" s="497">
        <v>-37.363</v>
      </c>
      <c r="AD91" s="409">
        <f>AE91-AC91</f>
        <v>-16.648184896663992</v>
      </c>
      <c r="AE91" s="409">
        <f t="shared" ref="AE91:AT91" si="528">AE52</f>
        <v>-54.011184896663991</v>
      </c>
      <c r="AF91" s="409">
        <f t="shared" si="528"/>
        <v>-41.655859904514827</v>
      </c>
      <c r="AG91" s="409">
        <f>AH91-AF91</f>
        <v>-22.180383333633259</v>
      </c>
      <c r="AH91" s="409">
        <f t="shared" si="528"/>
        <v>-63.836243238148086</v>
      </c>
      <c r="AI91" s="409">
        <f t="shared" ref="AI91" si="529">AI52</f>
        <v>-51.63622188442487</v>
      </c>
      <c r="AJ91" s="409">
        <f>AK91-AI91</f>
        <v>-22.311513754104766</v>
      </c>
      <c r="AK91" s="409">
        <f t="shared" si="528"/>
        <v>-73.947735638529636</v>
      </c>
      <c r="AL91" s="409"/>
      <c r="AM91" s="409"/>
      <c r="AN91" s="409">
        <f t="shared" si="528"/>
        <v>-85.408212935278215</v>
      </c>
      <c r="AO91" s="409"/>
      <c r="AP91" s="409"/>
      <c r="AQ91" s="409">
        <f t="shared" si="528"/>
        <v>-98.265360078100869</v>
      </c>
      <c r="AR91" s="409"/>
      <c r="AS91" s="409"/>
      <c r="AT91" s="409">
        <f t="shared" si="528"/>
        <v>-112.66258689914326</v>
      </c>
      <c r="AU91" s="409"/>
      <c r="AV91" s="409"/>
      <c r="AW91" s="409">
        <f t="shared" ref="AW91" si="530">AW52</f>
        <v>-127.91872183137787</v>
      </c>
      <c r="AX91" s="409"/>
      <c r="AY91" s="409"/>
      <c r="AZ91" s="409">
        <f t="shared" ref="AZ91:BC91" si="531">AZ52</f>
        <v>-144.95668234245724</v>
      </c>
      <c r="BA91" s="409"/>
      <c r="BB91" s="409"/>
      <c r="BC91" s="409">
        <f t="shared" si="531"/>
        <v>-164.12177352656278</v>
      </c>
      <c r="BD91" s="409"/>
      <c r="BE91" s="409"/>
      <c r="BF91" s="409">
        <f t="shared" ref="BF91" si="532">BF52</f>
        <v>-185.85187496322234</v>
      </c>
      <c r="BG91" s="409"/>
      <c r="BH91" s="409"/>
      <c r="BI91" s="409">
        <f t="shared" ref="BI91" si="533">BI52</f>
        <v>-210.00645992000926</v>
      </c>
      <c r="BJ91" s="323"/>
    </row>
    <row r="92" spans="1:123" s="312" customFormat="1">
      <c r="A92" s="312" t="s">
        <v>410</v>
      </c>
      <c r="B92" s="409"/>
      <c r="C92" s="409"/>
      <c r="D92" s="409"/>
      <c r="E92" s="409"/>
      <c r="F92" s="409"/>
      <c r="G92" s="409"/>
      <c r="H92" s="409"/>
      <c r="I92" s="409"/>
      <c r="J92" s="409"/>
      <c r="K92" s="409"/>
      <c r="L92" s="409"/>
      <c r="M92" s="409"/>
      <c r="N92" s="409"/>
      <c r="O92" s="409"/>
      <c r="P92" s="409"/>
      <c r="Q92" s="409"/>
      <c r="R92" s="409"/>
      <c r="S92" s="409"/>
      <c r="T92" s="409"/>
      <c r="U92" s="409"/>
      <c r="V92" s="409"/>
      <c r="W92" s="409"/>
      <c r="X92" s="409"/>
      <c r="Y92" s="409"/>
      <c r="Z92" s="409"/>
      <c r="AA92" s="409"/>
      <c r="AB92" s="831"/>
      <c r="AC92" s="409"/>
      <c r="AD92" s="409"/>
      <c r="AE92" s="409"/>
      <c r="AF92" s="409"/>
      <c r="AG92" s="409"/>
      <c r="AH92" s="409"/>
      <c r="AI92" s="409"/>
      <c r="AJ92" s="409"/>
      <c r="AK92" s="409"/>
      <c r="AL92" s="409"/>
      <c r="AM92" s="409"/>
      <c r="AN92" s="409"/>
      <c r="AO92" s="409"/>
      <c r="AP92" s="409"/>
      <c r="AQ92" s="409"/>
      <c r="AR92" s="409"/>
      <c r="AS92" s="409"/>
      <c r="AT92" s="409"/>
      <c r="AU92" s="409"/>
      <c r="AV92" s="409"/>
      <c r="AW92" s="409"/>
      <c r="AX92" s="409"/>
      <c r="AY92" s="409"/>
      <c r="AZ92" s="409"/>
      <c r="BA92" s="409"/>
      <c r="BB92" s="409"/>
      <c r="BC92" s="409"/>
      <c r="BD92" s="409"/>
      <c r="BE92" s="409"/>
      <c r="BF92" s="409"/>
      <c r="BG92" s="409"/>
      <c r="BH92" s="409"/>
      <c r="BI92" s="409"/>
      <c r="BJ92" s="323"/>
    </row>
    <row r="93" spans="1:123" s="312" customFormat="1">
      <c r="A93" s="312" t="s">
        <v>411</v>
      </c>
      <c r="B93" s="409">
        <f>B94-SUM(B87:B92)</f>
        <v>-17.416000000000004</v>
      </c>
      <c r="C93" s="409">
        <f t="shared" si="515"/>
        <v>11.838000000000001</v>
      </c>
      <c r="D93" s="409">
        <f>+D94-SUM(D87:D92)</f>
        <v>-5.578000000000003</v>
      </c>
      <c r="E93" s="409">
        <f>+E94-SUM(E87:E92)</f>
        <v>-54.103999999999999</v>
      </c>
      <c r="F93" s="409">
        <f t="shared" si="516"/>
        <v>67.406999999999982</v>
      </c>
      <c r="G93" s="409">
        <f>+G94-SUM(G87:G92)</f>
        <v>13.302999999999983</v>
      </c>
      <c r="H93" s="409">
        <f>+H94-SUM(H87:H92)</f>
        <v>-75.319999999999993</v>
      </c>
      <c r="I93" s="409">
        <f t="shared" si="517"/>
        <v>20.170000000000009</v>
      </c>
      <c r="J93" s="409">
        <f>+J94-SUM(J87:J92)</f>
        <v>-55.149999999999984</v>
      </c>
      <c r="K93" s="409">
        <f>+K94-SUM(K87:K92)</f>
        <v>-65.278999999999996</v>
      </c>
      <c r="L93" s="409">
        <f t="shared" si="518"/>
        <v>102.44199999999998</v>
      </c>
      <c r="M93" s="409">
        <f>+M94-SUM(M87:M92)</f>
        <v>37.162999999999982</v>
      </c>
      <c r="N93" s="409">
        <f>+N94-SUM(N87:N92)</f>
        <v>-40.249000000000002</v>
      </c>
      <c r="O93" s="409">
        <f t="shared" si="519"/>
        <v>43.644999999999989</v>
      </c>
      <c r="P93" s="409">
        <f>+P94-SUM(P87:P92)</f>
        <v>3.3959999999999866</v>
      </c>
      <c r="Q93" s="409">
        <f>+Q94-SUM(Q87:Q92)</f>
        <v>-147.05874142297955</v>
      </c>
      <c r="R93" s="409">
        <f>S93-Q93</f>
        <v>-37.556258577020486</v>
      </c>
      <c r="S93" s="409">
        <f>+S94-SUM(S87:S92)</f>
        <v>-184.61500000000004</v>
      </c>
      <c r="T93" s="409">
        <f>+T94-SUM(T87:T92)</f>
        <v>-148.90600000000001</v>
      </c>
      <c r="U93" s="409">
        <f>U190</f>
        <v>89.562999999999931</v>
      </c>
      <c r="V93" s="409">
        <f>+V94-SUM(V87:V92)</f>
        <v>-64.240999999999971</v>
      </c>
      <c r="W93" s="409">
        <f>+W94-SUM(W87:W92)</f>
        <v>-41.569999999999993</v>
      </c>
      <c r="X93" s="409">
        <f>Y93-W93</f>
        <v>159.97900000000001</v>
      </c>
      <c r="Y93" s="409">
        <f>+Y94-SUM(Y87:Y92)</f>
        <v>118.40900000000002</v>
      </c>
      <c r="Z93" s="409">
        <f>+Z94-SUM(Z87:Z92)</f>
        <v>-159.96999999999986</v>
      </c>
      <c r="AA93" s="409">
        <f>AB93-Z93</f>
        <v>128.17899999999986</v>
      </c>
      <c r="AB93" s="831">
        <f>+AB94-SUM(AB87:AB92)</f>
        <v>-31.790999999999997</v>
      </c>
      <c r="AC93" s="409">
        <f>+AC94-SUM(AC87:AC92)</f>
        <v>-143.215</v>
      </c>
      <c r="AD93" s="409">
        <f>AE93-AC93</f>
        <v>38.9030333463148</v>
      </c>
      <c r="AE93" s="409">
        <f t="shared" ref="AE93:AN93" si="534">AE190</f>
        <v>-104.3119666536852</v>
      </c>
      <c r="AF93" s="409">
        <f>AF190</f>
        <v>-34.767886721312152</v>
      </c>
      <c r="AG93" s="409">
        <f>AH93-AF93</f>
        <v>113.99175762862762</v>
      </c>
      <c r="AH93" s="409">
        <f t="shared" si="534"/>
        <v>79.223870907315472</v>
      </c>
      <c r="AI93" s="409">
        <f>AI190</f>
        <v>-106.06291120648575</v>
      </c>
      <c r="AJ93" s="409">
        <f>AK93-AI93</f>
        <v>62.738277889601875</v>
      </c>
      <c r="AK93" s="409">
        <f t="shared" si="534"/>
        <v>-43.324633316883876</v>
      </c>
      <c r="AL93" s="409"/>
      <c r="AM93" s="409"/>
      <c r="AN93" s="409">
        <f t="shared" si="534"/>
        <v>17.356848317392746</v>
      </c>
      <c r="AO93" s="409"/>
      <c r="AP93" s="409"/>
      <c r="AQ93" s="409">
        <f t="shared" ref="AQ93:AT93" si="535">AQ190</f>
        <v>-21.544012980083892</v>
      </c>
      <c r="AR93" s="409"/>
      <c r="AS93" s="409"/>
      <c r="AT93" s="409">
        <f t="shared" si="535"/>
        <v>-47.463685822729417</v>
      </c>
      <c r="AU93" s="409"/>
      <c r="AV93" s="409"/>
      <c r="AW93" s="409">
        <f t="shared" ref="AW93" si="536">AW190</f>
        <v>-46.963996771524648</v>
      </c>
      <c r="AX93" s="409"/>
      <c r="AY93" s="409"/>
      <c r="AZ93" s="409">
        <f t="shared" ref="AZ93:BC93" si="537">AZ190</f>
        <v>-51.723690849529248</v>
      </c>
      <c r="BA93" s="409"/>
      <c r="BB93" s="409"/>
      <c r="BC93" s="409">
        <f t="shared" si="537"/>
        <v>-64.05555145271137</v>
      </c>
      <c r="BD93" s="409"/>
      <c r="BE93" s="409"/>
      <c r="BF93" s="409">
        <f t="shared" ref="BF93" si="538">BF190</f>
        <v>-71.34998588678468</v>
      </c>
      <c r="BG93" s="409"/>
      <c r="BH93" s="409"/>
      <c r="BI93" s="409">
        <f t="shared" ref="BI93" si="539">BI190</f>
        <v>-79.599013489670369</v>
      </c>
      <c r="BJ93" s="323"/>
    </row>
    <row r="94" spans="1:123" s="312" customFormat="1">
      <c r="A94" s="344" t="s">
        <v>412</v>
      </c>
      <c r="B94" s="507">
        <v>23.893999999999998</v>
      </c>
      <c r="C94" s="415">
        <f>D94-B94</f>
        <v>38.777999999999999</v>
      </c>
      <c r="D94" s="507">
        <v>62.671999999999997</v>
      </c>
      <c r="E94" s="507">
        <v>-5.3040000000000003</v>
      </c>
      <c r="F94" s="415">
        <f>G94-E94</f>
        <v>93.956000000000003</v>
      </c>
      <c r="G94" s="507">
        <v>88.652000000000001</v>
      </c>
      <c r="H94" s="507">
        <v>-21.76</v>
      </c>
      <c r="I94" s="415">
        <f>J94-H94</f>
        <v>52.100999999999999</v>
      </c>
      <c r="J94" s="507">
        <v>30.341000000000001</v>
      </c>
      <c r="K94" s="507">
        <v>-1.9159999999999999</v>
      </c>
      <c r="L94" s="415">
        <f>M94-K94</f>
        <v>134.21099999999998</v>
      </c>
      <c r="M94" s="507">
        <v>132.29499999999999</v>
      </c>
      <c r="N94" s="507">
        <v>48.146999999999998</v>
      </c>
      <c r="O94" s="415">
        <f>P94-N94</f>
        <v>76.12</v>
      </c>
      <c r="P94" s="507">
        <f>124.267</f>
        <v>124.267</v>
      </c>
      <c r="Q94" s="507">
        <v>-57.298999999999999</v>
      </c>
      <c r="R94" s="415">
        <f>SUM(R87:R93)</f>
        <v>-3.029258577020471</v>
      </c>
      <c r="S94" s="507">
        <v>-42.152999999999999</v>
      </c>
      <c r="T94" s="507">
        <v>-52.148000000000003</v>
      </c>
      <c r="U94" s="415">
        <f>SUM(U87:U93)</f>
        <v>140.47799999999989</v>
      </c>
      <c r="V94" s="507">
        <v>90.254000000000005</v>
      </c>
      <c r="W94" s="507">
        <v>81.664000000000001</v>
      </c>
      <c r="X94" s="415">
        <f>SUM(X87:X93)</f>
        <v>220.95099999999999</v>
      </c>
      <c r="Y94" s="507">
        <v>302.61500000000001</v>
      </c>
      <c r="Z94" s="507">
        <v>-23.934999999999999</v>
      </c>
      <c r="AA94" s="415">
        <f>SUM(AA87:AA93)</f>
        <v>195.40899999999999</v>
      </c>
      <c r="AB94" s="860">
        <v>171.47399999999999</v>
      </c>
      <c r="AC94" s="507">
        <v>-6.2060000000000004</v>
      </c>
      <c r="AD94" s="415">
        <f>SUM(AD87:AD93)</f>
        <v>111.54892184427881</v>
      </c>
      <c r="AE94" s="415">
        <f t="shared" ref="AE94:AN94" si="540">SUM(AE87:AE93)</f>
        <v>105.34292184427883</v>
      </c>
      <c r="AF94" s="415">
        <f>SUM(AF87:AF93)</f>
        <v>109.97509932036229</v>
      </c>
      <c r="AG94" s="415">
        <f>SUM(AG87:AG93)</f>
        <v>209.77794191505552</v>
      </c>
      <c r="AH94" s="415">
        <f t="shared" si="540"/>
        <v>319.75304123541775</v>
      </c>
      <c r="AI94" s="415">
        <f>SUM(AI87:AI93)</f>
        <v>67.450834205485933</v>
      </c>
      <c r="AJ94" s="415">
        <f>SUM(AJ87:AJ93)</f>
        <v>162.5365526047986</v>
      </c>
      <c r="AK94" s="415">
        <f t="shared" si="540"/>
        <v>229.98738681028453</v>
      </c>
      <c r="AL94" s="415"/>
      <c r="AM94" s="415"/>
      <c r="AN94" s="415">
        <f t="shared" si="540"/>
        <v>327.57766666826228</v>
      </c>
      <c r="AO94" s="415"/>
      <c r="AP94" s="415"/>
      <c r="AQ94" s="415">
        <f t="shared" ref="AQ94:AT94" si="541">SUM(AQ87:AQ93)</f>
        <v>329.64158268375542</v>
      </c>
      <c r="AR94" s="415"/>
      <c r="AS94" s="415"/>
      <c r="AT94" s="415">
        <f t="shared" si="541"/>
        <v>349.24007301490087</v>
      </c>
      <c r="AU94" s="415"/>
      <c r="AV94" s="415"/>
      <c r="AW94" s="415">
        <f t="shared" ref="AW94" si="542">SUM(AW87:AW93)</f>
        <v>400.00142945973016</v>
      </c>
      <c r="AX94" s="415"/>
      <c r="AY94" s="415"/>
      <c r="AZ94" s="415">
        <f t="shared" ref="AZ94:BC94" si="543">SUM(AZ87:AZ93)</f>
        <v>451.33264730759083</v>
      </c>
      <c r="BA94" s="415"/>
      <c r="BB94" s="415"/>
      <c r="BC94" s="415">
        <f t="shared" si="543"/>
        <v>501.9500708013943</v>
      </c>
      <c r="BD94" s="415"/>
      <c r="BE94" s="415"/>
      <c r="BF94" s="415">
        <f t="shared" ref="BF94" si="544">SUM(BF87:BF93)</f>
        <v>565.74522375766867</v>
      </c>
      <c r="BG94" s="415"/>
      <c r="BH94" s="415"/>
      <c r="BI94" s="415">
        <f t="shared" ref="BI94" si="545">SUM(BI87:BI93)</f>
        <v>636.57674091265631</v>
      </c>
      <c r="BJ94" s="322"/>
    </row>
    <row r="95" spans="1:123" s="384" customFormat="1">
      <c r="A95" s="634"/>
      <c r="B95" s="635"/>
      <c r="C95" s="635"/>
      <c r="D95" s="635"/>
      <c r="E95" s="635"/>
      <c r="F95" s="635"/>
      <c r="G95" s="635"/>
      <c r="H95" s="635"/>
      <c r="I95" s="635"/>
      <c r="J95" s="635"/>
      <c r="K95" s="635"/>
      <c r="L95" s="635"/>
      <c r="M95" s="635"/>
      <c r="N95" s="635"/>
      <c r="O95" s="635"/>
      <c r="P95" s="635"/>
      <c r="Q95" s="635"/>
      <c r="R95" s="635"/>
      <c r="S95" s="635"/>
      <c r="T95" s="635"/>
      <c r="U95" s="635"/>
      <c r="V95" s="635"/>
      <c r="W95" s="635"/>
      <c r="X95" s="635"/>
      <c r="Y95" s="635"/>
      <c r="Z95" s="635"/>
      <c r="AA95" s="635"/>
      <c r="AB95" s="830"/>
      <c r="AC95" s="635"/>
      <c r="AD95" s="635"/>
      <c r="AE95" s="635"/>
      <c r="AF95" s="635"/>
      <c r="AG95" s="635"/>
      <c r="AH95" s="635"/>
      <c r="AI95" s="635"/>
      <c r="AJ95" s="635"/>
      <c r="AK95" s="635"/>
      <c r="AL95" s="635"/>
      <c r="AM95" s="635"/>
      <c r="AN95" s="635"/>
      <c r="AO95" s="635"/>
      <c r="AP95" s="635"/>
      <c r="AQ95" s="635"/>
      <c r="AR95" s="635"/>
      <c r="AS95" s="635"/>
      <c r="AT95" s="635"/>
      <c r="AU95" s="635"/>
      <c r="AV95" s="635"/>
      <c r="AW95" s="635"/>
      <c r="AX95" s="635"/>
      <c r="AY95" s="635"/>
      <c r="AZ95" s="635"/>
      <c r="BA95" s="635"/>
      <c r="BB95" s="635"/>
      <c r="BC95" s="635"/>
      <c r="BD95" s="635"/>
      <c r="BE95" s="635"/>
      <c r="BF95" s="635"/>
      <c r="BG95" s="635"/>
      <c r="BH95" s="635"/>
      <c r="BI95" s="635"/>
      <c r="BJ95" s="636"/>
    </row>
    <row r="96" spans="1:123" s="312" customFormat="1">
      <c r="A96" s="312" t="s">
        <v>413</v>
      </c>
      <c r="B96" s="497">
        <v>-0.56699999999999995</v>
      </c>
      <c r="C96" s="409">
        <f>D96-B96</f>
        <v>-1.35</v>
      </c>
      <c r="D96" s="497">
        <v>-1.917</v>
      </c>
      <c r="E96" s="497">
        <v>-0.90500000000000003</v>
      </c>
      <c r="F96" s="409">
        <f>G96-E96</f>
        <v>-3.3899999999999997</v>
      </c>
      <c r="G96" s="497">
        <v>-4.2949999999999999</v>
      </c>
      <c r="H96" s="497">
        <v>-2.375</v>
      </c>
      <c r="I96" s="409">
        <f>J96-H96</f>
        <v>-3.0979999999999999</v>
      </c>
      <c r="J96" s="497">
        <v>-5.4729999999999999</v>
      </c>
      <c r="K96" s="497">
        <v>-4.1710000000000003</v>
      </c>
      <c r="L96" s="409">
        <f>M96-K96</f>
        <v>-2.8329999999999993</v>
      </c>
      <c r="M96" s="497">
        <v>-7.0039999999999996</v>
      </c>
      <c r="N96" s="497">
        <v>-1.956</v>
      </c>
      <c r="O96" s="409">
        <f>P96-N96</f>
        <v>-4.8710000000000004</v>
      </c>
      <c r="P96" s="497">
        <v>-6.827</v>
      </c>
      <c r="Q96" s="497">
        <v>-2.8759999999999999</v>
      </c>
      <c r="R96" s="409">
        <f t="shared" ref="R96:R97" si="546">S96-Q96</f>
        <v>-13.674000000000001</v>
      </c>
      <c r="S96" s="409">
        <f>PPE_and_intangibles!S58</f>
        <v>-16.55</v>
      </c>
      <c r="T96" s="497">
        <f>PPE_and_intangibles!T58</f>
        <v>-8.11</v>
      </c>
      <c r="U96" s="409">
        <f>V96-T96</f>
        <v>-12.369</v>
      </c>
      <c r="V96" s="409">
        <f>PPE_and_intangibles!V58</f>
        <v>-20.478999999999999</v>
      </c>
      <c r="W96" s="497">
        <f>0.224-14.602</f>
        <v>-14.378</v>
      </c>
      <c r="X96" s="409">
        <f>Y96-W96</f>
        <v>-10.547000000000001</v>
      </c>
      <c r="Y96" s="400">
        <f>PPE_and_intangibles!Y58</f>
        <v>-24.925000000000001</v>
      </c>
      <c r="Z96" s="497">
        <f>-14.251+0.042</f>
        <v>-14.209</v>
      </c>
      <c r="AA96" s="409">
        <f>AB96-Z96</f>
        <v>-30.467000000000002</v>
      </c>
      <c r="AB96" s="835">
        <f>PPE_and_intangibles!AB58</f>
        <v>-44.676000000000002</v>
      </c>
      <c r="AC96" s="497">
        <f>-22.062+0.038</f>
        <v>-22.024000000000001</v>
      </c>
      <c r="AD96" s="409">
        <f>AE96-AC96</f>
        <v>-12.225051524332798</v>
      </c>
      <c r="AE96" s="409">
        <f>PPE_and_intangibles!AE58</f>
        <v>-34.249051524332799</v>
      </c>
      <c r="AF96" s="409">
        <f>PPE_and_intangibles!AF58</f>
        <v>-16.826309769727029</v>
      </c>
      <c r="AG96" s="409">
        <f>AH96-AF96</f>
        <v>-16.353120952023769</v>
      </c>
      <c r="AH96" s="409">
        <f>PPE_and_intangibles!AH58</f>
        <v>-33.179430721750798</v>
      </c>
      <c r="AI96" s="409">
        <f>PPE_and_intangibles!AI58</f>
        <v>-18.091721492570592</v>
      </c>
      <c r="AJ96" s="409">
        <f>AK96-AI96</f>
        <v>-18.156233715143408</v>
      </c>
      <c r="AK96" s="409">
        <f>PPE_and_intangibles!AK58</f>
        <v>-36.247955207714</v>
      </c>
      <c r="AL96" s="409"/>
      <c r="AM96" s="409"/>
      <c r="AN96" s="409">
        <f>PPE_and_intangibles!AN58</f>
        <v>-40.123235564438566</v>
      </c>
      <c r="AO96" s="409"/>
      <c r="AP96" s="409"/>
      <c r="AQ96" s="409">
        <f>PPE_and_intangibles!AQ58</f>
        <v>-44.332989289119304</v>
      </c>
      <c r="AR96" s="409"/>
      <c r="AS96" s="409"/>
      <c r="AT96" s="409">
        <f>PPE_and_intangibles!AT58</f>
        <v>-48.949710722019262</v>
      </c>
      <c r="AU96" s="409"/>
      <c r="AV96" s="409"/>
      <c r="AW96" s="409">
        <f>PPE_and_intangibles!AW58</f>
        <v>-54.086925617530532</v>
      </c>
      <c r="AX96" s="409"/>
      <c r="AY96" s="409"/>
      <c r="AZ96" s="409">
        <f>PPE_and_intangibles!AZ58</f>
        <v>-59.806445758124127</v>
      </c>
      <c r="BA96" s="409"/>
      <c r="BB96" s="409"/>
      <c r="BC96" s="409">
        <f>PPE_and_intangibles!BC58</f>
        <v>-66.177756647099002</v>
      </c>
      <c r="BD96" s="409"/>
      <c r="BE96" s="409"/>
      <c r="BF96" s="409">
        <f>PPE_and_intangibles!BF58</f>
        <v>-73.279009607366461</v>
      </c>
      <c r="BG96" s="409"/>
      <c r="BH96" s="409"/>
      <c r="BI96" s="409">
        <f>PPE_and_intangibles!BI58</f>
        <v>-81.198146824477618</v>
      </c>
      <c r="BJ96" s="323"/>
    </row>
    <row r="97" spans="1:62" s="312" customFormat="1">
      <c r="A97" s="312" t="s">
        <v>414</v>
      </c>
      <c r="B97" s="497">
        <v>-8.6760000000000002</v>
      </c>
      <c r="C97" s="409">
        <f t="shared" ref="C97:C100" si="547">D97-B97</f>
        <v>-8.729000000000001</v>
      </c>
      <c r="D97" s="497">
        <v>-17.405000000000001</v>
      </c>
      <c r="E97" s="497">
        <v>-5.51</v>
      </c>
      <c r="F97" s="409">
        <f t="shared" ref="F97:F100" si="548">G97-E97</f>
        <v>-9.66</v>
      </c>
      <c r="G97" s="497">
        <v>-15.17</v>
      </c>
      <c r="H97" s="497">
        <v>-8.6449999999999996</v>
      </c>
      <c r="I97" s="409">
        <f t="shared" ref="I97:I100" si="549">J97-H97</f>
        <v>-14.358000000000001</v>
      </c>
      <c r="J97" s="497">
        <v>-23.003</v>
      </c>
      <c r="K97" s="497">
        <v>-15.093999999999999</v>
      </c>
      <c r="L97" s="409">
        <f t="shared" ref="L97:L100" si="550">M97-K97</f>
        <v>-16.277999999999999</v>
      </c>
      <c r="M97" s="497">
        <v>-31.372</v>
      </c>
      <c r="N97" s="497">
        <v>-16.164000000000001</v>
      </c>
      <c r="O97" s="409">
        <f t="shared" ref="O97:O100" si="551">P97-N97</f>
        <v>-8.1239999999999988</v>
      </c>
      <c r="P97" s="497">
        <v>-24.288</v>
      </c>
      <c r="Q97" s="497">
        <v>-15.06</v>
      </c>
      <c r="R97" s="409">
        <f t="shared" si="546"/>
        <v>-11.081999999999999</v>
      </c>
      <c r="S97" s="409">
        <f>PPE_and_intangibles!S59</f>
        <v>-26.141999999999999</v>
      </c>
      <c r="T97" s="497">
        <f>PPE_and_intangibles!T59</f>
        <v>-15.696</v>
      </c>
      <c r="U97" s="409">
        <f>V97-T97</f>
        <v>-17.068000000000005</v>
      </c>
      <c r="V97" s="409">
        <f>PPE_and_intangibles!V59</f>
        <v>-32.764000000000003</v>
      </c>
      <c r="W97" s="497">
        <v>-16.768000000000001</v>
      </c>
      <c r="X97" s="409">
        <f>Y97-W97</f>
        <v>-20.426000000000002</v>
      </c>
      <c r="Y97" s="400">
        <f>PPE_and_intangibles!Y59</f>
        <v>-37.194000000000003</v>
      </c>
      <c r="Z97" s="497">
        <v>-27.847000000000001</v>
      </c>
      <c r="AA97" s="409">
        <f>AB97-Z97</f>
        <v>-15.033000000000001</v>
      </c>
      <c r="AB97" s="835">
        <f>PPE_and_intangibles!AB59</f>
        <v>-42.88</v>
      </c>
      <c r="AC97" s="497">
        <v>-24.055</v>
      </c>
      <c r="AD97" s="409">
        <f>AE97-AC97</f>
        <v>-22.736253273940044</v>
      </c>
      <c r="AE97" s="409">
        <f>PPE_and_intangibles!AE59</f>
        <v>-46.791253273940043</v>
      </c>
      <c r="AF97" s="409">
        <f>PPE_and_intangibles!AF59</f>
        <v>-34.059964769301494</v>
      </c>
      <c r="AG97" s="409">
        <f>AH97-AF97</f>
        <v>-17.213110469923343</v>
      </c>
      <c r="AH97" s="409">
        <f>PPE_and_intangibles!AH59</f>
        <v>-51.273075239224838</v>
      </c>
      <c r="AI97" s="409">
        <f>PPE_and_intangibles!AI59</f>
        <v>-36.49478918513087</v>
      </c>
      <c r="AJ97" s="409">
        <f>AK97-AI97</f>
        <v>-19.991121053653231</v>
      </c>
      <c r="AK97" s="409">
        <f>PPE_and_intangibles!AK59</f>
        <v>-56.485910238784101</v>
      </c>
      <c r="AL97" s="409"/>
      <c r="AM97" s="409"/>
      <c r="AN97" s="409">
        <f>PPE_and_intangibles!AN59</f>
        <v>-61.776777147930005</v>
      </c>
      <c r="AO97" s="409"/>
      <c r="AP97" s="409"/>
      <c r="AQ97" s="409">
        <f>PPE_and_intangibles!AQ59</f>
        <v>-67.431886844952331</v>
      </c>
      <c r="AR97" s="409"/>
      <c r="AS97" s="409"/>
      <c r="AT97" s="409">
        <f>PPE_and_intangibles!AT59</f>
        <v>-73.541446124283084</v>
      </c>
      <c r="AU97" s="409"/>
      <c r="AV97" s="409"/>
      <c r="AW97" s="409">
        <f>PPE_and_intangibles!AW59</f>
        <v>-80.251135530368273</v>
      </c>
      <c r="AX97" s="409"/>
      <c r="AY97" s="409"/>
      <c r="AZ97" s="409">
        <f>PPE_and_intangibles!AZ59</f>
        <v>-87.622403165638246</v>
      </c>
      <c r="BA97" s="409"/>
      <c r="BB97" s="409"/>
      <c r="BC97" s="409">
        <f>PPE_and_intangibles!BC59</f>
        <v>-95.723187141117464</v>
      </c>
      <c r="BD97" s="409"/>
      <c r="BE97" s="409"/>
      <c r="BF97" s="409">
        <f>PPE_and_intangibles!BF59</f>
        <v>-104.62861676034919</v>
      </c>
      <c r="BG97" s="409"/>
      <c r="BH97" s="409"/>
      <c r="BI97" s="409">
        <f>PPE_and_intangibles!BI59</f>
        <v>-114.42179006358981</v>
      </c>
      <c r="BJ97" s="323"/>
    </row>
    <row r="98" spans="1:62" s="312" customFormat="1">
      <c r="A98" s="312" t="s">
        <v>415</v>
      </c>
      <c r="B98" s="409"/>
      <c r="C98" s="409">
        <f t="shared" si="547"/>
        <v>0</v>
      </c>
      <c r="D98" s="497"/>
      <c r="E98" s="497">
        <v>-9.0709999999999997</v>
      </c>
      <c r="F98" s="409">
        <f t="shared" si="548"/>
        <v>0</v>
      </c>
      <c r="G98" s="497">
        <v>-9.0709999999999997</v>
      </c>
      <c r="H98" s="497"/>
      <c r="I98" s="409">
        <f t="shared" si="549"/>
        <v>0</v>
      </c>
      <c r="J98" s="497"/>
      <c r="K98" s="497">
        <v>-14.289</v>
      </c>
      <c r="L98" s="409">
        <f t="shared" si="550"/>
        <v>0</v>
      </c>
      <c r="M98" s="497">
        <v>-14.289</v>
      </c>
      <c r="N98" s="497">
        <v>-58.787999999999997</v>
      </c>
      <c r="O98" s="409">
        <f t="shared" si="551"/>
        <v>-1.8480000000000061</v>
      </c>
      <c r="P98" s="497">
        <v>-60.636000000000003</v>
      </c>
      <c r="Q98" s="497">
        <v>0</v>
      </c>
      <c r="R98" s="409"/>
      <c r="S98" s="409">
        <v>0</v>
      </c>
      <c r="T98" s="893">
        <v>-83.83</v>
      </c>
      <c r="U98" s="409">
        <v>0</v>
      </c>
      <c r="V98" s="497">
        <v>-79.647000000000006</v>
      </c>
      <c r="W98" s="893" t="e">
        <f>-#REF!</f>
        <v>#REF!</v>
      </c>
      <c r="X98" s="409">
        <v>0</v>
      </c>
      <c r="Y98" s="500"/>
      <c r="Z98" s="893" t="e">
        <f>-#REF!</f>
        <v>#REF!</v>
      </c>
      <c r="AA98" s="409">
        <v>0</v>
      </c>
      <c r="AB98" s="859"/>
      <c r="AC98" s="893" t="e">
        <f>-#REF!</f>
        <v>#REF!</v>
      </c>
      <c r="AD98" s="409">
        <v>0</v>
      </c>
      <c r="AE98" s="409"/>
      <c r="AF98" s="409" t="e">
        <f>-#REF!</f>
        <v>#REF!</v>
      </c>
      <c r="AG98" s="409">
        <v>0</v>
      </c>
      <c r="AH98" s="409"/>
      <c r="AI98" s="409" t="e">
        <f>-#REF!</f>
        <v>#REF!</v>
      </c>
      <c r="AJ98" s="409">
        <v>0</v>
      </c>
      <c r="AK98" s="409"/>
      <c r="AL98" s="409"/>
      <c r="AM98" s="409"/>
      <c r="AN98" s="409"/>
      <c r="AO98" s="409"/>
      <c r="AP98" s="409"/>
      <c r="AQ98" s="409"/>
      <c r="AR98" s="409"/>
      <c r="AS98" s="409"/>
      <c r="AT98" s="409"/>
      <c r="AU98" s="409"/>
      <c r="AV98" s="409"/>
      <c r="AW98" s="409"/>
      <c r="AX98" s="409"/>
      <c r="AY98" s="409"/>
      <c r="AZ98" s="409"/>
      <c r="BA98" s="409"/>
      <c r="BB98" s="409"/>
      <c r="BC98" s="409"/>
      <c r="BD98" s="409"/>
      <c r="BE98" s="409"/>
      <c r="BF98" s="409"/>
      <c r="BG98" s="409"/>
      <c r="BH98" s="409"/>
      <c r="BI98" s="409"/>
      <c r="BJ98" s="323"/>
    </row>
    <row r="99" spans="1:62" s="312" customFormat="1">
      <c r="A99" s="312" t="s">
        <v>416</v>
      </c>
      <c r="B99" s="497">
        <v>2.7E-2</v>
      </c>
      <c r="C99" s="409">
        <f t="shared" si="547"/>
        <v>-1.9999999999999983E-3</v>
      </c>
      <c r="D99" s="497">
        <v>2.5000000000000001E-2</v>
      </c>
      <c r="E99" s="497"/>
      <c r="F99" s="409">
        <f t="shared" si="548"/>
        <v>0</v>
      </c>
      <c r="G99" s="497"/>
      <c r="H99" s="497">
        <v>9.5000000000000001E-2</v>
      </c>
      <c r="I99" s="409">
        <f t="shared" si="549"/>
        <v>0</v>
      </c>
      <c r="J99" s="497">
        <v>9.5000000000000001E-2</v>
      </c>
      <c r="K99" s="497">
        <v>0.126</v>
      </c>
      <c r="L99" s="409">
        <f t="shared" si="550"/>
        <v>0</v>
      </c>
      <c r="M99" s="497">
        <v>0.126</v>
      </c>
      <c r="N99" s="497">
        <v>4.5999999999999999E-2</v>
      </c>
      <c r="O99" s="409">
        <f t="shared" si="551"/>
        <v>-4.0300000000000002E-2</v>
      </c>
      <c r="P99" s="497">
        <v>5.7000000000000002E-3</v>
      </c>
      <c r="Q99" s="497">
        <v>0</v>
      </c>
      <c r="R99" s="409"/>
      <c r="S99" s="409"/>
      <c r="T99" s="409"/>
      <c r="U99" s="409"/>
      <c r="V99" s="409"/>
      <c r="W99" s="409"/>
      <c r="X99" s="409"/>
      <c r="Y99" s="400"/>
      <c r="Z99" s="409"/>
      <c r="AA99" s="409"/>
      <c r="AB99" s="835"/>
      <c r="AC99" s="409"/>
      <c r="AD99" s="409"/>
      <c r="AE99" s="409"/>
      <c r="AF99" s="409"/>
      <c r="AG99" s="409"/>
      <c r="AH99" s="409"/>
      <c r="AI99" s="409"/>
      <c r="AJ99" s="409"/>
      <c r="AK99" s="409"/>
      <c r="AL99" s="409"/>
      <c r="AM99" s="409"/>
      <c r="AN99" s="409"/>
      <c r="AO99" s="409"/>
      <c r="AP99" s="409"/>
      <c r="AQ99" s="409"/>
      <c r="AR99" s="409"/>
      <c r="AS99" s="409"/>
      <c r="AT99" s="409"/>
      <c r="AU99" s="409"/>
      <c r="AV99" s="409"/>
      <c r="AW99" s="409"/>
      <c r="AX99" s="409"/>
      <c r="AY99" s="409"/>
      <c r="AZ99" s="409"/>
      <c r="BA99" s="409"/>
      <c r="BB99" s="409"/>
      <c r="BC99" s="409"/>
      <c r="BD99" s="409"/>
      <c r="BE99" s="409"/>
      <c r="BF99" s="409"/>
      <c r="BG99" s="409"/>
      <c r="BH99" s="409"/>
      <c r="BI99" s="409"/>
      <c r="BJ99" s="323"/>
    </row>
    <row r="100" spans="1:62" s="312" customFormat="1">
      <c r="A100" s="312" t="s">
        <v>1143</v>
      </c>
      <c r="B100" s="409"/>
      <c r="C100" s="409">
        <f t="shared" si="547"/>
        <v>0</v>
      </c>
      <c r="D100" s="497">
        <f>0</f>
        <v>0</v>
      </c>
      <c r="E100" s="409">
        <f>0</f>
        <v>0</v>
      </c>
      <c r="F100" s="409">
        <f t="shared" si="548"/>
        <v>0</v>
      </c>
      <c r="G100" s="497"/>
      <c r="H100" s="409">
        <f>0</f>
        <v>0</v>
      </c>
      <c r="I100" s="409">
        <f t="shared" si="549"/>
        <v>0</v>
      </c>
      <c r="J100" s="497"/>
      <c r="K100" s="409"/>
      <c r="L100" s="409">
        <f t="shared" si="550"/>
        <v>0</v>
      </c>
      <c r="M100" s="497"/>
      <c r="N100" s="409"/>
      <c r="O100" s="409">
        <f t="shared" si="551"/>
        <v>0</v>
      </c>
      <c r="P100" s="497">
        <f>0</f>
        <v>0</v>
      </c>
      <c r="Q100" s="497">
        <v>0</v>
      </c>
      <c r="R100" s="409">
        <f t="shared" ref="R100" si="552">S100-Q100</f>
        <v>0</v>
      </c>
      <c r="S100" s="409">
        <f>0</f>
        <v>0</v>
      </c>
      <c r="T100" s="409">
        <f>0</f>
        <v>0</v>
      </c>
      <c r="U100" s="409">
        <f>V100-T100</f>
        <v>4.3999999999999997E-2</v>
      </c>
      <c r="V100" s="497">
        <v>4.3999999999999997E-2</v>
      </c>
      <c r="W100" s="409">
        <f>0</f>
        <v>0</v>
      </c>
      <c r="X100" s="409">
        <f>Y100-W100</f>
        <v>0.25700000000000001</v>
      </c>
      <c r="Y100" s="500">
        <v>0.25700000000000001</v>
      </c>
      <c r="Z100" s="409">
        <f>0</f>
        <v>0</v>
      </c>
      <c r="AA100" s="409">
        <f>AB100-Z100</f>
        <v>-12.651000000000002</v>
      </c>
      <c r="AB100" s="859">
        <f>0.197-12.848</f>
        <v>-12.651000000000002</v>
      </c>
      <c r="AC100" s="409">
        <f>0</f>
        <v>0</v>
      </c>
      <c r="AD100" s="409">
        <f>AE100-AC100</f>
        <v>0</v>
      </c>
      <c r="AE100" s="409">
        <f>0</f>
        <v>0</v>
      </c>
      <c r="AF100" s="409">
        <f>0</f>
        <v>0</v>
      </c>
      <c r="AG100" s="409">
        <f>AH100-AF100</f>
        <v>0</v>
      </c>
      <c r="AH100" s="409">
        <f>0</f>
        <v>0</v>
      </c>
      <c r="AI100" s="409">
        <f>0</f>
        <v>0</v>
      </c>
      <c r="AJ100" s="409">
        <f>AK100-AI100</f>
        <v>0</v>
      </c>
      <c r="AK100" s="409">
        <f>0</f>
        <v>0</v>
      </c>
      <c r="AL100" s="409"/>
      <c r="AM100" s="409"/>
      <c r="AN100" s="409">
        <f>0</f>
        <v>0</v>
      </c>
      <c r="AO100" s="409"/>
      <c r="AP100" s="409"/>
      <c r="AQ100" s="409">
        <f>0</f>
        <v>0</v>
      </c>
      <c r="AR100" s="409"/>
      <c r="AS100" s="409"/>
      <c r="AT100" s="409">
        <f>0</f>
        <v>0</v>
      </c>
      <c r="AU100" s="409"/>
      <c r="AV100" s="409"/>
      <c r="AW100" s="409">
        <f>0</f>
        <v>0</v>
      </c>
      <c r="AX100" s="409"/>
      <c r="AY100" s="409"/>
      <c r="AZ100" s="409">
        <f>0</f>
        <v>0</v>
      </c>
      <c r="BA100" s="409"/>
      <c r="BB100" s="409"/>
      <c r="BC100" s="409">
        <f>0</f>
        <v>0</v>
      </c>
      <c r="BD100" s="409"/>
      <c r="BE100" s="409"/>
      <c r="BF100" s="409">
        <f>0</f>
        <v>0</v>
      </c>
      <c r="BG100" s="409"/>
      <c r="BH100" s="409"/>
      <c r="BI100" s="409">
        <f>0</f>
        <v>0</v>
      </c>
      <c r="BJ100" s="323"/>
    </row>
    <row r="101" spans="1:62" s="312" customFormat="1">
      <c r="A101" s="344" t="s">
        <v>417</v>
      </c>
      <c r="B101" s="415">
        <f>SUM(B96:B100)</f>
        <v>-9.2160000000000011</v>
      </c>
      <c r="C101" s="415">
        <f>D101-B101</f>
        <v>-10.081000000000003</v>
      </c>
      <c r="D101" s="415">
        <f>SUM(D96:D100)</f>
        <v>-19.297000000000004</v>
      </c>
      <c r="E101" s="415">
        <f>SUM(E96:E100)</f>
        <v>-15.486000000000001</v>
      </c>
      <c r="F101" s="415">
        <f>G101-E101</f>
        <v>-13.05</v>
      </c>
      <c r="G101" s="415">
        <f>SUM(G96:G100)</f>
        <v>-28.536000000000001</v>
      </c>
      <c r="H101" s="415">
        <f>SUM(H96:H100)</f>
        <v>-10.924999999999999</v>
      </c>
      <c r="I101" s="415">
        <f>J101-H101</f>
        <v>-17.456000000000003</v>
      </c>
      <c r="J101" s="415">
        <f>SUM(J96:J100)</f>
        <v>-28.381</v>
      </c>
      <c r="K101" s="415">
        <f>SUM(K96:K100)</f>
        <v>-33.428000000000004</v>
      </c>
      <c r="L101" s="415">
        <f>M101-K101</f>
        <v>-19.110999999999997</v>
      </c>
      <c r="M101" s="415">
        <f>SUM(M96:M100)</f>
        <v>-52.539000000000001</v>
      </c>
      <c r="N101" s="415">
        <f>SUM(N96:N100)</f>
        <v>-76.861999999999995</v>
      </c>
      <c r="O101" s="415">
        <f>P101-N101</f>
        <v>-14.883300000000006</v>
      </c>
      <c r="P101" s="415">
        <f t="shared" ref="P101:AN101" si="553">SUM(P96:P100)</f>
        <v>-91.7453</v>
      </c>
      <c r="Q101" s="415">
        <f>SUM(Q96:Q100)</f>
        <v>-17.936</v>
      </c>
      <c r="R101" s="415">
        <f>SUM(R96:R100)</f>
        <v>-24.756</v>
      </c>
      <c r="S101" s="415">
        <f t="shared" si="553"/>
        <v>-42.692</v>
      </c>
      <c r="T101" s="415">
        <f>SUM(T96:T100)</f>
        <v>-107.636</v>
      </c>
      <c r="U101" s="415">
        <f>SUM(U96:U100)</f>
        <v>-29.393000000000004</v>
      </c>
      <c r="V101" s="415">
        <f>SUM(V96:V100)</f>
        <v>-132.846</v>
      </c>
      <c r="W101" s="415" t="e">
        <f>SUM(W96:W100)</f>
        <v>#REF!</v>
      </c>
      <c r="X101" s="415">
        <f>SUM(X96:X100)</f>
        <v>-30.716000000000001</v>
      </c>
      <c r="Y101" s="404">
        <f t="shared" si="553"/>
        <v>-61.862000000000002</v>
      </c>
      <c r="Z101" s="415" t="e">
        <f>SUM(Z96:Z100)</f>
        <v>#REF!</v>
      </c>
      <c r="AA101" s="415">
        <f>SUM(AA96:AA100)</f>
        <v>-58.151000000000003</v>
      </c>
      <c r="AB101" s="868">
        <f t="shared" si="553"/>
        <v>-100.20700000000001</v>
      </c>
      <c r="AC101" s="415" t="e">
        <f>SUM(AC96:AC100)</f>
        <v>#REF!</v>
      </c>
      <c r="AD101" s="415">
        <f>SUM(AD96:AD100)</f>
        <v>-34.961304798272842</v>
      </c>
      <c r="AE101" s="415">
        <f t="shared" si="553"/>
        <v>-81.040304798272842</v>
      </c>
      <c r="AF101" s="415" t="e">
        <f>SUM(AF96:AF100)</f>
        <v>#REF!</v>
      </c>
      <c r="AG101" s="415">
        <f>SUM(AG96:AG100)</f>
        <v>-33.566231421947109</v>
      </c>
      <c r="AH101" s="415">
        <f t="shared" si="553"/>
        <v>-84.452505960975628</v>
      </c>
      <c r="AI101" s="415" t="e">
        <f>SUM(AI96:AI100)</f>
        <v>#REF!</v>
      </c>
      <c r="AJ101" s="415">
        <f>SUM(AJ96:AJ100)</f>
        <v>-38.147354768796639</v>
      </c>
      <c r="AK101" s="415">
        <f t="shared" si="553"/>
        <v>-92.7338654464981</v>
      </c>
      <c r="AL101" s="415"/>
      <c r="AM101" s="415"/>
      <c r="AN101" s="415">
        <f t="shared" si="553"/>
        <v>-101.90001271236858</v>
      </c>
      <c r="AO101" s="415"/>
      <c r="AP101" s="415"/>
      <c r="AQ101" s="415">
        <f t="shared" ref="AQ101:AT101" si="554">SUM(AQ96:AQ100)</f>
        <v>-111.76487613407164</v>
      </c>
      <c r="AR101" s="415"/>
      <c r="AS101" s="415"/>
      <c r="AT101" s="415">
        <f t="shared" si="554"/>
        <v>-122.49115684630235</v>
      </c>
      <c r="AU101" s="415"/>
      <c r="AV101" s="415"/>
      <c r="AW101" s="415">
        <f t="shared" ref="AW101" si="555">SUM(AW96:AW100)</f>
        <v>-134.3380611478988</v>
      </c>
      <c r="AX101" s="415"/>
      <c r="AY101" s="415"/>
      <c r="AZ101" s="415">
        <f t="shared" ref="AZ101:BC101" si="556">SUM(AZ96:AZ100)</f>
        <v>-147.42884892376236</v>
      </c>
      <c r="BA101" s="415"/>
      <c r="BB101" s="415"/>
      <c r="BC101" s="415">
        <f t="shared" si="556"/>
        <v>-161.90094378821647</v>
      </c>
      <c r="BD101" s="415"/>
      <c r="BE101" s="415"/>
      <c r="BF101" s="415">
        <f t="shared" ref="BF101" si="557">SUM(BF96:BF100)</f>
        <v>-177.90762636771564</v>
      </c>
      <c r="BG101" s="415"/>
      <c r="BH101" s="415"/>
      <c r="BI101" s="415">
        <f t="shared" ref="BI101" si="558">SUM(BI96:BI100)</f>
        <v>-195.61993688806743</v>
      </c>
      <c r="BJ101" s="322"/>
    </row>
    <row r="102" spans="1:62" s="312" customFormat="1">
      <c r="A102" s="344"/>
      <c r="B102" s="406"/>
      <c r="C102" s="406"/>
      <c r="D102" s="406"/>
      <c r="E102" s="406"/>
      <c r="F102" s="406"/>
      <c r="G102" s="406"/>
      <c r="H102" s="406"/>
      <c r="I102" s="406"/>
      <c r="J102" s="406"/>
      <c r="K102" s="406"/>
      <c r="L102" s="406"/>
      <c r="M102" s="406"/>
      <c r="N102" s="406"/>
      <c r="O102" s="406"/>
      <c r="P102" s="406"/>
      <c r="Q102" s="406"/>
      <c r="R102" s="406"/>
      <c r="S102" s="406"/>
      <c r="T102" s="406"/>
      <c r="U102" s="406"/>
      <c r="V102" s="406"/>
      <c r="W102" s="406"/>
      <c r="X102" s="406"/>
      <c r="Y102" s="406"/>
      <c r="Z102" s="406"/>
      <c r="AA102" s="406"/>
      <c r="AB102" s="829"/>
      <c r="AC102" s="406"/>
      <c r="AD102" s="406"/>
      <c r="AE102" s="406"/>
      <c r="AF102" s="406"/>
      <c r="AG102" s="406"/>
      <c r="AH102" s="406"/>
      <c r="AI102" s="406"/>
      <c r="AJ102" s="406"/>
      <c r="AK102" s="406"/>
      <c r="AL102" s="406"/>
      <c r="AM102" s="406"/>
      <c r="AN102" s="406"/>
      <c r="AO102" s="406"/>
      <c r="AP102" s="406"/>
      <c r="AQ102" s="406"/>
      <c r="AR102" s="406"/>
      <c r="AS102" s="406"/>
      <c r="AT102" s="406"/>
      <c r="AU102" s="406"/>
      <c r="AV102" s="406"/>
      <c r="AW102" s="406"/>
      <c r="AX102" s="406"/>
      <c r="AY102" s="406"/>
      <c r="AZ102" s="406"/>
      <c r="BA102" s="406"/>
      <c r="BB102" s="406"/>
      <c r="BC102" s="406"/>
      <c r="BD102" s="406"/>
      <c r="BE102" s="406"/>
      <c r="BF102" s="406"/>
      <c r="BG102" s="406"/>
      <c r="BH102" s="406"/>
      <c r="BI102" s="406"/>
      <c r="BJ102" s="322"/>
    </row>
    <row r="103" spans="1:62" s="312" customFormat="1">
      <c r="A103" s="312" t="s">
        <v>418</v>
      </c>
      <c r="B103" s="497">
        <f>15.189-7.794</f>
        <v>7.3950000000000005</v>
      </c>
      <c r="C103" s="409">
        <f>D103-B103</f>
        <v>5.6079999999999997</v>
      </c>
      <c r="D103" s="497">
        <f>32.515-19.512</f>
        <v>13.003</v>
      </c>
      <c r="E103" s="497">
        <f>63.484-4.164</f>
        <v>59.32</v>
      </c>
      <c r="F103" s="409">
        <f>G103-E103</f>
        <v>-51.265999999999998</v>
      </c>
      <c r="G103" s="497">
        <f>76.63-68.576</f>
        <v>8.054000000000002</v>
      </c>
      <c r="H103" s="497">
        <f>83.366-64.676</f>
        <v>18.689999999999998</v>
      </c>
      <c r="I103" s="409">
        <f>J103-H103</f>
        <v>-18.715999999999994</v>
      </c>
      <c r="J103" s="497">
        <f>99.577-99.603</f>
        <v>-2.5999999999996248E-2</v>
      </c>
      <c r="K103" s="497">
        <f>179.188-57.404</f>
        <v>121.78399999999999</v>
      </c>
      <c r="L103" s="409">
        <f>M103-K103</f>
        <v>-172.88399999999999</v>
      </c>
      <c r="M103" s="497">
        <f>202.604-253.704</f>
        <v>-51.099999999999994</v>
      </c>
      <c r="N103" s="497">
        <f>51.33-35.209</f>
        <v>16.120999999999995</v>
      </c>
      <c r="O103" s="409">
        <f>P103-N103</f>
        <v>-17.475999999999999</v>
      </c>
      <c r="P103" s="497">
        <f>56.547-57.902</f>
        <v>-1.355000000000004</v>
      </c>
      <c r="Q103" s="497">
        <f>153.386-7.386</f>
        <v>146</v>
      </c>
      <c r="R103" s="409">
        <f t="shared" ref="R103:R106" si="559">S103-Q103</f>
        <v>22.920999999999992</v>
      </c>
      <c r="S103" s="497">
        <f>284.989-116.068</f>
        <v>168.92099999999999</v>
      </c>
      <c r="T103" s="497">
        <f>316.549-181.399</f>
        <v>135.14999999999998</v>
      </c>
      <c r="U103" s="409">
        <f>V103-T103</f>
        <v>-122.89099999999996</v>
      </c>
      <c r="V103" s="497">
        <f>399.471-387.212</f>
        <v>12.259000000000015</v>
      </c>
      <c r="W103" s="497">
        <f>180.397-136.772</f>
        <v>43.625</v>
      </c>
      <c r="X103" s="409">
        <f>Y103-W103</f>
        <v>-164.31099999999998</v>
      </c>
      <c r="Y103" s="497">
        <f>Debt!Y3+Debt!Y4</f>
        <v>-120.68599999999998</v>
      </c>
      <c r="Z103" s="497">
        <f>224.863-141.617</f>
        <v>83.246000000000009</v>
      </c>
      <c r="AA103" s="409">
        <f>AB103-Z103</f>
        <v>-116.374</v>
      </c>
      <c r="AB103" s="858">
        <f>Debt!AB3+Debt!AB4</f>
        <v>-33.127999999999986</v>
      </c>
      <c r="AC103" s="497">
        <f>237.873-70.982</f>
        <v>166.89099999999999</v>
      </c>
      <c r="AD103" s="409">
        <f>AE103-AC103</f>
        <v>-86.890999999999991</v>
      </c>
      <c r="AE103" s="409">
        <f>Debt!AE3+Debt!AE4</f>
        <v>80</v>
      </c>
      <c r="AF103" s="409">
        <f>Debt!AF3+Debt!AF4</f>
        <v>0</v>
      </c>
      <c r="AG103" s="409">
        <f>AH103-AF103</f>
        <v>-60</v>
      </c>
      <c r="AH103" s="409">
        <f>Debt!AH3+Debt!AH4</f>
        <v>-60</v>
      </c>
      <c r="AI103" s="409">
        <f>Debt!AI3+Debt!AI4</f>
        <v>0</v>
      </c>
      <c r="AJ103" s="409">
        <f>AK103-AI103</f>
        <v>0</v>
      </c>
      <c r="AK103" s="409">
        <f>Debt!AK3+Debt!AK4</f>
        <v>0</v>
      </c>
      <c r="AL103" s="409"/>
      <c r="AM103" s="409"/>
      <c r="AN103" s="409">
        <f>Debt!AN3+Debt!AN4</f>
        <v>0</v>
      </c>
      <c r="AO103" s="409"/>
      <c r="AP103" s="409"/>
      <c r="AQ103" s="409">
        <f>Debt!AQ3+Debt!AQ4</f>
        <v>0</v>
      </c>
      <c r="AR103" s="409"/>
      <c r="AS103" s="409"/>
      <c r="AT103" s="409">
        <f>Debt!AT3+Debt!AT4</f>
        <v>0</v>
      </c>
      <c r="AU103" s="409"/>
      <c r="AV103" s="409"/>
      <c r="AW103" s="409">
        <f>Debt!AW3+Debt!AW4</f>
        <v>0</v>
      </c>
      <c r="AX103" s="409"/>
      <c r="AY103" s="409"/>
      <c r="AZ103" s="409">
        <f>Debt!AZ3+Debt!AZ4</f>
        <v>0</v>
      </c>
      <c r="BA103" s="409"/>
      <c r="BB103" s="409"/>
      <c r="BC103" s="409">
        <f>Debt!BC3+Debt!BC4</f>
        <v>0</v>
      </c>
      <c r="BD103" s="409"/>
      <c r="BE103" s="409"/>
      <c r="BF103" s="409">
        <f>Debt!BF3+Debt!BF4</f>
        <v>0</v>
      </c>
      <c r="BG103" s="409"/>
      <c r="BH103" s="409"/>
      <c r="BI103" s="409">
        <f>Debt!BI3+Debt!BI4</f>
        <v>0</v>
      </c>
      <c r="BJ103" s="323"/>
    </row>
    <row r="104" spans="1:62" s="312" customFormat="1">
      <c r="A104" s="312" t="s">
        <v>419</v>
      </c>
      <c r="B104" s="497">
        <v>0</v>
      </c>
      <c r="C104" s="409">
        <f t="shared" ref="C104:C106" si="560">D104-B104</f>
        <v>0</v>
      </c>
      <c r="D104" s="497">
        <v>0</v>
      </c>
      <c r="E104" s="497">
        <v>0</v>
      </c>
      <c r="F104" s="409">
        <f t="shared" ref="F104:F106" si="561">G104-E104</f>
        <v>0</v>
      </c>
      <c r="G104" s="497"/>
      <c r="H104" s="497"/>
      <c r="I104" s="409">
        <f t="shared" ref="I104:I106" si="562">J104-H104</f>
        <v>0</v>
      </c>
      <c r="J104" s="497"/>
      <c r="K104" s="497"/>
      <c r="L104" s="409">
        <f t="shared" ref="L104:L106" si="563">M104-K104</f>
        <v>100.72199999999999</v>
      </c>
      <c r="M104" s="497">
        <v>100.72199999999999</v>
      </c>
      <c r="N104" s="497">
        <v>27.606999999999999</v>
      </c>
      <c r="O104" s="409">
        <f t="shared" ref="O104:O106" si="564">P104-N104</f>
        <v>0</v>
      </c>
      <c r="P104" s="497">
        <v>27.606999999999999</v>
      </c>
      <c r="Q104" s="497"/>
      <c r="R104" s="409"/>
      <c r="S104" s="409"/>
      <c r="T104" s="409"/>
      <c r="U104" s="409"/>
      <c r="V104" s="409"/>
      <c r="W104" s="409"/>
      <c r="X104" s="409"/>
      <c r="Y104" s="409"/>
      <c r="Z104" s="409"/>
      <c r="AA104" s="409"/>
      <c r="AB104" s="831"/>
      <c r="AC104" s="409"/>
      <c r="AD104" s="409"/>
      <c r="AE104" s="409"/>
      <c r="AF104" s="409"/>
      <c r="AG104" s="409"/>
      <c r="AH104" s="409"/>
      <c r="AI104" s="409"/>
      <c r="AJ104" s="409"/>
      <c r="AK104" s="409"/>
      <c r="AL104" s="409"/>
      <c r="AM104" s="409"/>
      <c r="AN104" s="409"/>
      <c r="AO104" s="409"/>
      <c r="AP104" s="409"/>
      <c r="AQ104" s="409"/>
      <c r="AR104" s="409"/>
      <c r="AS104" s="409"/>
      <c r="AT104" s="409"/>
      <c r="AU104" s="409"/>
      <c r="AV104" s="409"/>
      <c r="AW104" s="409"/>
      <c r="AX104" s="409"/>
      <c r="AY104" s="409"/>
      <c r="AZ104" s="409"/>
      <c r="BA104" s="409"/>
      <c r="BB104" s="409"/>
      <c r="BC104" s="409"/>
      <c r="BD104" s="409"/>
      <c r="BE104" s="409"/>
      <c r="BF104" s="409"/>
      <c r="BG104" s="409"/>
      <c r="BH104" s="409"/>
      <c r="BI104" s="409"/>
      <c r="BJ104" s="323"/>
    </row>
    <row r="105" spans="1:62" s="312" customFormat="1" ht="12.75" customHeight="1">
      <c r="A105" s="312" t="s">
        <v>1221</v>
      </c>
      <c r="B105" s="497">
        <v>-18.213000000000001</v>
      </c>
      <c r="C105" s="409">
        <f t="shared" si="560"/>
        <v>-20.164999999999999</v>
      </c>
      <c r="D105" s="497">
        <v>-38.378</v>
      </c>
      <c r="E105" s="497">
        <v>-19.513999999999999</v>
      </c>
      <c r="F105" s="409">
        <f t="shared" si="561"/>
        <v>-21.465999999999998</v>
      </c>
      <c r="G105" s="497">
        <v>-40.98</v>
      </c>
      <c r="H105" s="497">
        <v>-21.466000000000001</v>
      </c>
      <c r="I105" s="409">
        <f t="shared" si="562"/>
        <v>-24.067</v>
      </c>
      <c r="J105" s="497">
        <v>-45.533000000000001</v>
      </c>
      <c r="K105" s="497">
        <v>-24.120999999999999</v>
      </c>
      <c r="L105" s="409">
        <f t="shared" si="563"/>
        <v>-26.727999999999998</v>
      </c>
      <c r="M105" s="497">
        <v>-50.848999999999997</v>
      </c>
      <c r="N105" s="497">
        <v>-27.565999999999999</v>
      </c>
      <c r="O105" s="409">
        <f t="shared" si="564"/>
        <v>-18.064000000000004</v>
      </c>
      <c r="P105" s="497">
        <v>-45.63</v>
      </c>
      <c r="Q105" s="497">
        <v>-18.814</v>
      </c>
      <c r="R105" s="409">
        <f t="shared" si="559"/>
        <v>-20.902999999999999</v>
      </c>
      <c r="S105" s="497">
        <v>-39.716999999999999</v>
      </c>
      <c r="T105" s="497">
        <v>-21.417000000000002</v>
      </c>
      <c r="U105" s="409">
        <f>V105-T105</f>
        <v>-21.417000000000002</v>
      </c>
      <c r="V105" s="497">
        <v>-42.834000000000003</v>
      </c>
      <c r="W105" s="497">
        <v>-22.231000000000002</v>
      </c>
      <c r="X105" s="409">
        <f>Y105-W105</f>
        <v>-22.948999999999998</v>
      </c>
      <c r="Y105" s="497">
        <v>-45.18</v>
      </c>
      <c r="Z105" s="497">
        <v>-24.469000000000001</v>
      </c>
      <c r="AA105" s="409">
        <f>AB105-Z105</f>
        <v>-25.909999999999997</v>
      </c>
      <c r="AB105" s="858">
        <v>-50.378999999999998</v>
      </c>
      <c r="AC105" s="497">
        <v>-27.518999999999998</v>
      </c>
      <c r="AD105" s="409">
        <f>AE105-AC105</f>
        <v>-26.250364959999992</v>
      </c>
      <c r="AE105" s="409">
        <f t="shared" ref="AE105:AT105" si="565">-AE74</f>
        <v>-53.76936495999999</v>
      </c>
      <c r="AF105" s="409">
        <f t="shared" si="565"/>
        <v>-31.667345819999998</v>
      </c>
      <c r="AG105" s="409">
        <f>AH105-AF105</f>
        <v>-30.821375619999987</v>
      </c>
      <c r="AH105" s="409">
        <f t="shared" si="565"/>
        <v>-62.488721439999985</v>
      </c>
      <c r="AI105" s="409">
        <f t="shared" ref="AI105" si="566">-AI74</f>
        <v>-35.985620249999997</v>
      </c>
      <c r="AJ105" s="409">
        <f>AK105-AI105</f>
        <v>-36.67568374999999</v>
      </c>
      <c r="AK105" s="409">
        <f t="shared" si="565"/>
        <v>-72.661303999999987</v>
      </c>
      <c r="AL105" s="409"/>
      <c r="AM105" s="409"/>
      <c r="AN105" s="409">
        <f t="shared" si="565"/>
        <v>-84.287112639999975</v>
      </c>
      <c r="AO105" s="409"/>
      <c r="AP105" s="409"/>
      <c r="AQ105" s="409">
        <f t="shared" si="565"/>
        <v>-97.366147359999985</v>
      </c>
      <c r="AR105" s="409"/>
      <c r="AS105" s="409"/>
      <c r="AT105" s="409">
        <f t="shared" si="565"/>
        <v>-110.44518207999998</v>
      </c>
      <c r="AU105" s="409"/>
      <c r="AV105" s="409"/>
      <c r="AW105" s="409">
        <f t="shared" ref="AW105" si="567">-AW74</f>
        <v>-126.43066895999998</v>
      </c>
      <c r="AX105" s="409"/>
      <c r="AY105" s="409"/>
      <c r="AZ105" s="409">
        <f t="shared" ref="AZ105:BC105" si="568">-AZ74</f>
        <v>-142.41615583999996</v>
      </c>
      <c r="BA105" s="409"/>
      <c r="BB105" s="409"/>
      <c r="BC105" s="409">
        <f t="shared" si="568"/>
        <v>-161.30809488</v>
      </c>
      <c r="BD105" s="409"/>
      <c r="BE105" s="409"/>
      <c r="BF105" s="409">
        <f t="shared" ref="BF105" si="569">-BF74</f>
        <v>-183.10648607999997</v>
      </c>
      <c r="BG105" s="409"/>
      <c r="BH105" s="409"/>
      <c r="BI105" s="409">
        <f t="shared" ref="BI105" si="570">-BI74</f>
        <v>-206.35810335999994</v>
      </c>
      <c r="BJ105" s="323"/>
    </row>
    <row r="106" spans="1:62" s="312" customFormat="1">
      <c r="A106" s="312" t="s">
        <v>1632</v>
      </c>
      <c r="B106" s="409"/>
      <c r="C106" s="409">
        <f t="shared" si="560"/>
        <v>0</v>
      </c>
      <c r="D106" s="497"/>
      <c r="E106" s="497"/>
      <c r="F106" s="409">
        <f t="shared" si="561"/>
        <v>0</v>
      </c>
      <c r="G106" s="497"/>
      <c r="H106" s="497"/>
      <c r="I106" s="409">
        <f t="shared" si="562"/>
        <v>0</v>
      </c>
      <c r="J106" s="497"/>
      <c r="K106" s="497">
        <v>-3.5289999999999999</v>
      </c>
      <c r="L106" s="409">
        <f t="shared" si="563"/>
        <v>-3.7960000000000003</v>
      </c>
      <c r="M106" s="497">
        <v>-7.3250000000000002</v>
      </c>
      <c r="N106" s="497">
        <v>-3.758</v>
      </c>
      <c r="O106" s="409">
        <f t="shared" si="564"/>
        <v>-3.7210000000000001</v>
      </c>
      <c r="P106" s="497">
        <v>-7.4790000000000001</v>
      </c>
      <c r="Q106" s="497">
        <v>-4.1360000000000001</v>
      </c>
      <c r="R106" s="409">
        <f t="shared" si="559"/>
        <v>-3.5380000000000003</v>
      </c>
      <c r="S106" s="497">
        <v>-7.6740000000000004</v>
      </c>
      <c r="T106" s="497">
        <v>-8.5500000000000007</v>
      </c>
      <c r="U106" s="409">
        <f t="shared" ref="U106" si="571">V106-T106</f>
        <v>-9.7530000000000001</v>
      </c>
      <c r="V106" s="497">
        <f>PPE_and_intangibles!V50</f>
        <v>-18.303000000000001</v>
      </c>
      <c r="W106" s="497">
        <v>-10.302</v>
      </c>
      <c r="X106" s="409">
        <f t="shared" ref="X106" si="572">Y106-W106</f>
        <v>-10.245000000000001</v>
      </c>
      <c r="Y106" s="497">
        <f>PPE_and_intangibles!Y50</f>
        <v>-20.547000000000001</v>
      </c>
      <c r="Z106" s="497">
        <v>-12.138</v>
      </c>
      <c r="AA106" s="409">
        <f t="shared" ref="AA106" si="573">AB106-Z106</f>
        <v>-10.664</v>
      </c>
      <c r="AB106" s="858">
        <f>PPE_and_intangibles!AB50</f>
        <v>-22.802</v>
      </c>
      <c r="AC106" s="497">
        <v>-11.422000000000001</v>
      </c>
      <c r="AD106" s="409">
        <f t="shared" ref="AD106" si="574">AE106-AC106</f>
        <v>-8.0030548198894422</v>
      </c>
      <c r="AE106" s="409">
        <f>PPE_and_intangibles!AE50</f>
        <v>-19.425054819889443</v>
      </c>
      <c r="AF106" s="409">
        <f>PPE_and_intangibles!AF50</f>
        <v>-13.229816184639377</v>
      </c>
      <c r="AG106" s="409">
        <f t="shared" ref="AG106" si="575">AH106-AF106</f>
        <v>-8.2452679638766586</v>
      </c>
      <c r="AH106" s="409">
        <f>PPE_and_intangibles!AH50</f>
        <v>-21.475084148516036</v>
      </c>
      <c r="AI106" s="409">
        <f>PPE_and_intangibles!AI50</f>
        <v>-14.472218194641522</v>
      </c>
      <c r="AJ106" s="409">
        <f t="shared" ref="AJ106" si="576">AK106-AI106</f>
        <v>-9.0195748286402466</v>
      </c>
      <c r="AK106" s="409">
        <f>PPE_and_intangibles!AK50</f>
        <v>-23.491793023281769</v>
      </c>
      <c r="AL106" s="409"/>
      <c r="AM106" s="409"/>
      <c r="AN106" s="409">
        <f>PPE_and_intangibles!AN50</f>
        <v>-25.80525656865419</v>
      </c>
      <c r="AO106" s="409"/>
      <c r="AP106" s="409"/>
      <c r="AQ106" s="409">
        <f>PPE_and_intangibles!AQ50</f>
        <v>-28.428934860153472</v>
      </c>
      <c r="AR106" s="409"/>
      <c r="AS106" s="409"/>
      <c r="AT106" s="409">
        <f>PPE_and_intangibles!AT50</f>
        <v>-31.354505456960499</v>
      </c>
      <c r="AU106" s="409"/>
      <c r="AV106" s="409"/>
      <c r="AW106" s="409">
        <f>PPE_and_intangibles!AW50</f>
        <v>-34.595832164511883</v>
      </c>
      <c r="AX106" s="409"/>
      <c r="AY106" s="409"/>
      <c r="AZ106" s="409">
        <f>PPE_and_intangibles!AZ50</f>
        <v>-38.192982590971113</v>
      </c>
      <c r="BA106" s="409"/>
      <c r="BB106" s="409"/>
      <c r="BC106" s="409">
        <f>PPE_and_intangibles!BC50</f>
        <v>-42.189966754143533</v>
      </c>
      <c r="BD106" s="409"/>
      <c r="BE106" s="409"/>
      <c r="BF106" s="409">
        <f>PPE_and_intangibles!BF50</f>
        <v>-46.635554130854025</v>
      </c>
      <c r="BG106" s="409"/>
      <c r="BH106" s="409"/>
      <c r="BI106" s="409">
        <f>PPE_and_intangibles!BI50</f>
        <v>-51.584098753400909</v>
      </c>
      <c r="BJ106" s="323"/>
    </row>
    <row r="107" spans="1:62" s="312" customFormat="1">
      <c r="A107" s="312" t="s">
        <v>1143</v>
      </c>
      <c r="B107" s="409">
        <v>0</v>
      </c>
      <c r="C107" s="409"/>
      <c r="D107" s="409">
        <v>-0.156</v>
      </c>
      <c r="E107" s="409">
        <v>-0.95599999999999996</v>
      </c>
      <c r="F107" s="409"/>
      <c r="G107" s="409">
        <v>-0.95599999999999996</v>
      </c>
      <c r="H107" s="409">
        <v>-2.6259999999999999</v>
      </c>
      <c r="I107" s="409">
        <f>J107-H107</f>
        <v>-1.141</v>
      </c>
      <c r="J107" s="409">
        <v>-3.7669999999999999</v>
      </c>
      <c r="K107" s="409"/>
      <c r="L107" s="409"/>
      <c r="M107" s="409"/>
      <c r="N107" s="409"/>
      <c r="O107" s="409"/>
      <c r="P107" s="409"/>
      <c r="Q107" s="497"/>
      <c r="R107" s="409"/>
      <c r="S107" s="409"/>
      <c r="T107" s="409"/>
      <c r="U107" s="409"/>
      <c r="V107" s="409"/>
      <c r="W107" s="409"/>
      <c r="X107" s="409"/>
      <c r="Y107" s="409"/>
      <c r="Z107" s="409"/>
      <c r="AA107" s="409"/>
      <c r="AB107" s="831"/>
      <c r="AC107" s="409"/>
      <c r="AD107" s="409"/>
      <c r="AE107" s="409"/>
      <c r="AF107" s="409"/>
      <c r="AG107" s="409"/>
      <c r="AH107" s="409"/>
      <c r="AI107" s="409"/>
      <c r="AJ107" s="409"/>
      <c r="AK107" s="409"/>
      <c r="AL107" s="409"/>
      <c r="AM107" s="409"/>
      <c r="AN107" s="409"/>
      <c r="AO107" s="409"/>
      <c r="AP107" s="409"/>
      <c r="AQ107" s="409"/>
      <c r="AR107" s="409"/>
      <c r="AS107" s="409"/>
      <c r="AT107" s="409"/>
      <c r="AU107" s="409"/>
      <c r="AV107" s="409"/>
      <c r="AW107" s="409"/>
      <c r="AX107" s="409"/>
      <c r="AY107" s="409"/>
      <c r="AZ107" s="409"/>
      <c r="BA107" s="409"/>
      <c r="BB107" s="409"/>
      <c r="BC107" s="409"/>
      <c r="BD107" s="409"/>
      <c r="BE107" s="409"/>
      <c r="BF107" s="409"/>
      <c r="BG107" s="409"/>
      <c r="BH107" s="409"/>
      <c r="BI107" s="409"/>
      <c r="BJ107" s="323"/>
    </row>
    <row r="108" spans="1:62" s="312" customFormat="1">
      <c r="A108" s="344" t="s">
        <v>420</v>
      </c>
      <c r="B108" s="415">
        <f>SUM(B103:B107)</f>
        <v>-10.818000000000001</v>
      </c>
      <c r="C108" s="415">
        <f>D108-B108</f>
        <v>-14.712999999999997</v>
      </c>
      <c r="D108" s="415">
        <f>SUM(D103:D107)</f>
        <v>-25.530999999999999</v>
      </c>
      <c r="E108" s="415">
        <f>SUM(E103:E107)</f>
        <v>38.849999999999994</v>
      </c>
      <c r="F108" s="415">
        <f>G108-E108</f>
        <v>-72.731999999999999</v>
      </c>
      <c r="G108" s="415">
        <f>SUM(G103:G107)</f>
        <v>-33.881999999999998</v>
      </c>
      <c r="H108" s="415">
        <f>SUM(H103:H107)</f>
        <v>-5.4020000000000028</v>
      </c>
      <c r="I108" s="415">
        <f>J108-H108</f>
        <v>-43.923999999999999</v>
      </c>
      <c r="J108" s="415">
        <f>SUM(J103:J107)</f>
        <v>-49.326000000000001</v>
      </c>
      <c r="K108" s="415">
        <f>SUM(K103:K107)</f>
        <v>94.134</v>
      </c>
      <c r="L108" s="415">
        <f>M108-K108</f>
        <v>-102.68599999999999</v>
      </c>
      <c r="M108" s="415">
        <f>SUM(M103:M107)</f>
        <v>-8.551999999999996</v>
      </c>
      <c r="N108" s="415">
        <f>SUM(N103:N107)</f>
        <v>12.403999999999996</v>
      </c>
      <c r="O108" s="415">
        <f>P108-N108</f>
        <v>-39.261000000000003</v>
      </c>
      <c r="P108" s="415">
        <f t="shared" ref="P108:AN108" si="577">SUM(P103:P107)</f>
        <v>-26.857000000000006</v>
      </c>
      <c r="Q108" s="415">
        <f t="shared" si="577"/>
        <v>123.05000000000001</v>
      </c>
      <c r="R108" s="415">
        <f t="shared" ref="R108" si="578">SUM(R103:R107)</f>
        <v>-1.5200000000000067</v>
      </c>
      <c r="S108" s="415">
        <f t="shared" si="577"/>
        <v>121.53</v>
      </c>
      <c r="T108" s="415">
        <f>SUM(T103:T107)</f>
        <v>105.18299999999998</v>
      </c>
      <c r="U108" s="415">
        <f t="shared" si="577"/>
        <v>-154.06099999999998</v>
      </c>
      <c r="V108" s="415">
        <f>SUM(V103:V107)</f>
        <v>-48.877999999999986</v>
      </c>
      <c r="W108" s="415">
        <f t="shared" si="577"/>
        <v>11.091999999999999</v>
      </c>
      <c r="X108" s="415">
        <f t="shared" ref="X108" si="579">SUM(X103:X107)</f>
        <v>-197.505</v>
      </c>
      <c r="Y108" s="415">
        <f t="shared" si="577"/>
        <v>-186.41299999999998</v>
      </c>
      <c r="Z108" s="415">
        <f>SUM(Z103:Z107)</f>
        <v>46.63900000000001</v>
      </c>
      <c r="AA108" s="415">
        <f t="shared" ref="AA108" si="580">SUM(AA103:AA107)</f>
        <v>-152.94799999999998</v>
      </c>
      <c r="AB108" s="842">
        <f t="shared" si="577"/>
        <v>-106.30899999999997</v>
      </c>
      <c r="AC108" s="415">
        <f>SUM(AC103:AC107)</f>
        <v>127.94999999999999</v>
      </c>
      <c r="AD108" s="415">
        <f t="shared" si="577"/>
        <v>-121.14441977988942</v>
      </c>
      <c r="AE108" s="415">
        <f t="shared" si="577"/>
        <v>6.8055802201105671</v>
      </c>
      <c r="AF108" s="415">
        <f t="shared" ref="AF108:AG108" si="581">SUM(AF103:AF107)</f>
        <v>-44.897162004639377</v>
      </c>
      <c r="AG108" s="415">
        <f t="shared" si="581"/>
        <v>-99.06664358387664</v>
      </c>
      <c r="AH108" s="415">
        <f t="shared" si="577"/>
        <v>-143.96380558851601</v>
      </c>
      <c r="AI108" s="415">
        <f t="shared" si="577"/>
        <v>-50.457838444641517</v>
      </c>
      <c r="AJ108" s="415">
        <f t="shared" si="577"/>
        <v>-45.695258578640235</v>
      </c>
      <c r="AK108" s="415">
        <f t="shared" si="577"/>
        <v>-96.153097023281759</v>
      </c>
      <c r="AL108" s="415"/>
      <c r="AM108" s="415"/>
      <c r="AN108" s="415">
        <f t="shared" si="577"/>
        <v>-110.09236920865416</v>
      </c>
      <c r="AO108" s="415"/>
      <c r="AP108" s="415"/>
      <c r="AQ108" s="415">
        <f t="shared" ref="AQ108:AT108" si="582">SUM(AQ103:AQ107)</f>
        <v>-125.79508222015346</v>
      </c>
      <c r="AR108" s="415"/>
      <c r="AS108" s="415"/>
      <c r="AT108" s="415">
        <f t="shared" si="582"/>
        <v>-141.79968753696048</v>
      </c>
      <c r="AU108" s="415"/>
      <c r="AV108" s="415"/>
      <c r="AW108" s="415">
        <f t="shared" ref="AW108" si="583">SUM(AW103:AW107)</f>
        <v>-161.02650112451187</v>
      </c>
      <c r="AX108" s="415"/>
      <c r="AY108" s="415"/>
      <c r="AZ108" s="415">
        <f t="shared" ref="AZ108:BC108" si="584">SUM(AZ103:AZ107)</f>
        <v>-180.60913843097109</v>
      </c>
      <c r="BA108" s="415"/>
      <c r="BB108" s="415"/>
      <c r="BC108" s="415">
        <f t="shared" si="584"/>
        <v>-203.49806163414354</v>
      </c>
      <c r="BD108" s="415"/>
      <c r="BE108" s="415"/>
      <c r="BF108" s="415">
        <f t="shared" ref="BF108" si="585">SUM(BF103:BF107)</f>
        <v>-229.74204021085399</v>
      </c>
      <c r="BG108" s="415"/>
      <c r="BH108" s="415"/>
      <c r="BI108" s="415">
        <f t="shared" ref="BI108" si="586">SUM(BI103:BI107)</f>
        <v>-257.94220211340087</v>
      </c>
      <c r="BJ108" s="322"/>
    </row>
    <row r="109" spans="1:62" s="312" customFormat="1">
      <c r="A109" s="312" t="s">
        <v>421</v>
      </c>
      <c r="B109" s="409">
        <f>B94+B101+B108</f>
        <v>3.8599999999999959</v>
      </c>
      <c r="C109" s="409">
        <f>D109-B109</f>
        <v>13.983999999999998</v>
      </c>
      <c r="D109" s="409">
        <f>D94+D101+D108</f>
        <v>17.843999999999994</v>
      </c>
      <c r="E109" s="409">
        <f>E94+E101+E108</f>
        <v>18.059999999999995</v>
      </c>
      <c r="F109" s="409">
        <f>G109-E109</f>
        <v>8.1740000000000066</v>
      </c>
      <c r="G109" s="409">
        <f>G94+G101+G108</f>
        <v>26.234000000000002</v>
      </c>
      <c r="H109" s="409">
        <f>H94+H101+H108</f>
        <v>-38.087000000000003</v>
      </c>
      <c r="I109" s="409">
        <f>J109-H109</f>
        <v>-9.2789999999999964</v>
      </c>
      <c r="J109" s="409">
        <f>J94+J101+J108</f>
        <v>-47.366</v>
      </c>
      <c r="K109" s="409">
        <f>K94+K101+K108</f>
        <v>58.79</v>
      </c>
      <c r="L109" s="409">
        <f>M109-K109</f>
        <v>12.413999999999994</v>
      </c>
      <c r="M109" s="409">
        <f>M94+M101+M108</f>
        <v>71.203999999999994</v>
      </c>
      <c r="N109" s="409">
        <f>N94+N101+N108</f>
        <v>-16.311</v>
      </c>
      <c r="O109" s="409">
        <f>P109-N109</f>
        <v>21.975699999999989</v>
      </c>
      <c r="P109" s="409">
        <f>P94+P101+P108</f>
        <v>5.6646999999999892</v>
      </c>
      <c r="Q109" s="409">
        <f t="shared" ref="Q109:AN109" si="587">Q94+Q101+Q108</f>
        <v>47.815000000000012</v>
      </c>
      <c r="R109" s="409">
        <f>S109-Q109</f>
        <v>-11.13000000000001</v>
      </c>
      <c r="S109" s="409">
        <f t="shared" si="587"/>
        <v>36.685000000000002</v>
      </c>
      <c r="T109" s="409">
        <f>T94+T101+T108</f>
        <v>-54.601000000000013</v>
      </c>
      <c r="U109" s="409">
        <f>V109-T109</f>
        <v>-36.868999999999971</v>
      </c>
      <c r="V109" s="454">
        <f>V94+V101+V108</f>
        <v>-91.469999999999985</v>
      </c>
      <c r="W109" s="409" t="e">
        <f>W94+W101+W108</f>
        <v>#REF!</v>
      </c>
      <c r="X109" s="409" t="e">
        <f>Y109-W109</f>
        <v>#REF!</v>
      </c>
      <c r="Y109" s="454">
        <f t="shared" si="587"/>
        <v>54.340000000000032</v>
      </c>
      <c r="Z109" s="409" t="e">
        <f>Z94+Z101+Z108</f>
        <v>#REF!</v>
      </c>
      <c r="AA109" s="409" t="e">
        <f>AB109-Z109</f>
        <v>#REF!</v>
      </c>
      <c r="AB109" s="1145">
        <f t="shared" si="587"/>
        <v>-35.041999999999987</v>
      </c>
      <c r="AC109" s="409" t="e">
        <f>AC94+AC101+AC108</f>
        <v>#REF!</v>
      </c>
      <c r="AD109" s="409" t="e">
        <f>AE109-AC109</f>
        <v>#REF!</v>
      </c>
      <c r="AE109" s="409">
        <f t="shared" si="587"/>
        <v>31.108197266116559</v>
      </c>
      <c r="AF109" s="409" t="e">
        <f>AF94+AF101+AF108</f>
        <v>#REF!</v>
      </c>
      <c r="AG109" s="409" t="e">
        <f>AH109-AF109</f>
        <v>#REF!</v>
      </c>
      <c r="AH109" s="409">
        <f t="shared" si="587"/>
        <v>91.336729685926116</v>
      </c>
      <c r="AI109" s="409" t="e">
        <f>AI94+AI101+AI108</f>
        <v>#REF!</v>
      </c>
      <c r="AJ109" s="409" t="e">
        <f>AK109-AI109</f>
        <v>#REF!</v>
      </c>
      <c r="AK109" s="409">
        <f t="shared" si="587"/>
        <v>41.100424340504674</v>
      </c>
      <c r="AL109" s="409"/>
      <c r="AM109" s="409"/>
      <c r="AN109" s="409">
        <f t="shared" si="587"/>
        <v>115.58528474723954</v>
      </c>
      <c r="AO109" s="409"/>
      <c r="AP109" s="409"/>
      <c r="AQ109" s="409">
        <f t="shared" ref="AQ109:AT109" si="588">AQ94+AQ101+AQ108</f>
        <v>92.081624329530314</v>
      </c>
      <c r="AR109" s="409"/>
      <c r="AS109" s="409"/>
      <c r="AT109" s="409">
        <f t="shared" si="588"/>
        <v>84.94922863163805</v>
      </c>
      <c r="AU109" s="409"/>
      <c r="AV109" s="409"/>
      <c r="AW109" s="409">
        <f t="shared" ref="AW109" si="589">AW94+AW101+AW108</f>
        <v>104.63686718731952</v>
      </c>
      <c r="AX109" s="409"/>
      <c r="AY109" s="409"/>
      <c r="AZ109" s="409">
        <f t="shared" ref="AZ109:BC109" si="590">AZ94+AZ101+AZ108</f>
        <v>123.29465995285739</v>
      </c>
      <c r="BA109" s="409"/>
      <c r="BB109" s="409"/>
      <c r="BC109" s="409">
        <f t="shared" si="590"/>
        <v>136.5510653790343</v>
      </c>
      <c r="BD109" s="409"/>
      <c r="BE109" s="409"/>
      <c r="BF109" s="409">
        <f t="shared" ref="BF109" si="591">BF94+BF101+BF108</f>
        <v>158.09555717909905</v>
      </c>
      <c r="BG109" s="409"/>
      <c r="BH109" s="409"/>
      <c r="BI109" s="409">
        <f t="shared" ref="BI109" si="592">BI94+BI101+BI108</f>
        <v>183.01460191118804</v>
      </c>
      <c r="BJ109" s="323"/>
    </row>
    <row r="110" spans="1:62" s="312" customFormat="1">
      <c r="A110" s="312" t="s">
        <v>1633</v>
      </c>
      <c r="B110" s="497">
        <v>0.21</v>
      </c>
      <c r="C110" s="409">
        <f>D110-B110</f>
        <v>-0.90699999999999992</v>
      </c>
      <c r="D110" s="497">
        <v>-0.69699999999999995</v>
      </c>
      <c r="E110" s="497">
        <v>-0.36299999999999999</v>
      </c>
      <c r="F110" s="409">
        <f>G110-E110</f>
        <v>0.32100000000000001</v>
      </c>
      <c r="G110" s="497">
        <v>-4.2000000000000003E-2</v>
      </c>
      <c r="H110" s="497">
        <v>0.92900000000000005</v>
      </c>
      <c r="I110" s="409">
        <f>J110-H110</f>
        <v>0.25</v>
      </c>
      <c r="J110" s="497">
        <v>1.179</v>
      </c>
      <c r="K110" s="497">
        <v>0.22800000000000001</v>
      </c>
      <c r="L110" s="409">
        <f>M110-K110</f>
        <v>-0.10400000000000001</v>
      </c>
      <c r="M110" s="497">
        <v>0.124</v>
      </c>
      <c r="N110" s="497">
        <v>-6.774</v>
      </c>
      <c r="O110" s="409">
        <f>P110-N110</f>
        <v>2.508</v>
      </c>
      <c r="P110" s="497">
        <v>-4.266</v>
      </c>
      <c r="Q110" s="497">
        <v>0.39700000000000002</v>
      </c>
      <c r="R110" s="409"/>
      <c r="S110" s="497">
        <v>1.6220000000000001</v>
      </c>
      <c r="T110" s="497">
        <v>1.544</v>
      </c>
      <c r="U110" s="409"/>
      <c r="V110" s="497">
        <v>7.3689999999999998</v>
      </c>
      <c r="W110" s="497">
        <v>0.40500000000000003</v>
      </c>
      <c r="X110" s="409"/>
      <c r="Y110" s="497">
        <v>-0.72299999999999998</v>
      </c>
      <c r="Z110" s="497">
        <v>3.202</v>
      </c>
      <c r="AA110" s="409"/>
      <c r="AB110" s="858">
        <v>3.01</v>
      </c>
      <c r="AC110" s="497"/>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323"/>
    </row>
    <row r="111" spans="1:62" s="312" customFormat="1">
      <c r="B111" s="497"/>
      <c r="C111" s="409"/>
      <c r="D111" s="497"/>
      <c r="E111" s="497"/>
      <c r="F111" s="409"/>
      <c r="G111" s="497"/>
      <c r="H111" s="497"/>
      <c r="I111" s="409"/>
      <c r="J111" s="497"/>
      <c r="K111" s="497"/>
      <c r="L111" s="409"/>
      <c r="M111" s="497"/>
      <c r="N111" s="497"/>
      <c r="O111" s="409"/>
      <c r="P111" s="497"/>
      <c r="Q111" s="497"/>
      <c r="R111" s="409"/>
      <c r="S111" s="409"/>
      <c r="T111" s="409"/>
      <c r="U111" s="409"/>
      <c r="V111" s="409"/>
      <c r="W111" s="409"/>
      <c r="X111" s="409"/>
      <c r="Y111" s="409"/>
      <c r="Z111" s="409"/>
      <c r="AA111" s="409"/>
      <c r="AB111" s="831"/>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323"/>
    </row>
    <row r="112" spans="1:62" s="312" customFormat="1">
      <c r="A112" s="312" t="s">
        <v>600</v>
      </c>
      <c r="B112" s="409">
        <f t="shared" ref="B112:C112" si="593">B94+B101</f>
        <v>14.677999999999997</v>
      </c>
      <c r="C112" s="409">
        <f t="shared" si="593"/>
        <v>28.696999999999996</v>
      </c>
      <c r="D112" s="409">
        <f>D94+D101+D106</f>
        <v>43.374999999999993</v>
      </c>
      <c r="E112" s="409">
        <f t="shared" ref="E112:BI112" si="594">E94+E101+E106</f>
        <v>-20.79</v>
      </c>
      <c r="F112" s="409">
        <f t="shared" si="594"/>
        <v>80.906000000000006</v>
      </c>
      <c r="G112" s="409">
        <f t="shared" si="594"/>
        <v>60.116</v>
      </c>
      <c r="H112" s="409">
        <f t="shared" si="594"/>
        <v>-32.685000000000002</v>
      </c>
      <c r="I112" s="409">
        <f t="shared" si="594"/>
        <v>34.644999999999996</v>
      </c>
      <c r="J112" s="409">
        <f t="shared" si="594"/>
        <v>1.9600000000000009</v>
      </c>
      <c r="K112" s="409">
        <f t="shared" si="594"/>
        <v>-38.873000000000005</v>
      </c>
      <c r="L112" s="409">
        <f t="shared" si="594"/>
        <v>111.30399999999999</v>
      </c>
      <c r="M112" s="409">
        <f>M94+M101+M106</f>
        <v>72.430999999999983</v>
      </c>
      <c r="N112" s="409">
        <f t="shared" si="594"/>
        <v>-32.472999999999999</v>
      </c>
      <c r="O112" s="409">
        <f t="shared" si="594"/>
        <v>57.515699999999995</v>
      </c>
      <c r="P112" s="409">
        <f t="shared" si="594"/>
        <v>25.042699999999996</v>
      </c>
      <c r="Q112" s="409">
        <f t="shared" si="594"/>
        <v>-79.370999999999995</v>
      </c>
      <c r="R112" s="409">
        <f t="shared" si="594"/>
        <v>-31.323258577020471</v>
      </c>
      <c r="S112" s="409">
        <f>S94+S101+S106</f>
        <v>-92.519000000000005</v>
      </c>
      <c r="T112" s="409">
        <f t="shared" si="594"/>
        <v>-168.334</v>
      </c>
      <c r="U112" s="409">
        <f t="shared" si="594"/>
        <v>101.33199999999989</v>
      </c>
      <c r="V112" s="409">
        <f t="shared" si="594"/>
        <v>-60.894999999999996</v>
      </c>
      <c r="W112" s="409" t="e">
        <f t="shared" si="594"/>
        <v>#REF!</v>
      </c>
      <c r="X112" s="409">
        <f t="shared" si="594"/>
        <v>179.98999999999998</v>
      </c>
      <c r="Y112" s="409">
        <f t="shared" si="594"/>
        <v>220.20600000000002</v>
      </c>
      <c r="Z112" s="409" t="e">
        <f t="shared" si="594"/>
        <v>#REF!</v>
      </c>
      <c r="AA112" s="409">
        <f t="shared" si="594"/>
        <v>126.59399999999998</v>
      </c>
      <c r="AB112" s="409">
        <f t="shared" si="594"/>
        <v>48.464999999999982</v>
      </c>
      <c r="AC112" s="409" t="e">
        <f t="shared" si="594"/>
        <v>#REF!</v>
      </c>
      <c r="AD112" s="409">
        <f t="shared" si="594"/>
        <v>68.584562226116518</v>
      </c>
      <c r="AE112" s="409">
        <f t="shared" si="594"/>
        <v>4.8775622261165488</v>
      </c>
      <c r="AF112" s="409" t="e">
        <f t="shared" si="594"/>
        <v>#REF!</v>
      </c>
      <c r="AG112" s="409">
        <f t="shared" si="594"/>
        <v>167.96644252923173</v>
      </c>
      <c r="AH112" s="409">
        <f t="shared" si="594"/>
        <v>213.82545112592609</v>
      </c>
      <c r="AI112" s="409" t="e">
        <f t="shared" si="594"/>
        <v>#REF!</v>
      </c>
      <c r="AJ112" s="409">
        <f t="shared" si="594"/>
        <v>115.36962300736171</v>
      </c>
      <c r="AK112" s="409">
        <f t="shared" si="594"/>
        <v>113.76172834050466</v>
      </c>
      <c r="AL112" s="409">
        <f t="shared" si="594"/>
        <v>0</v>
      </c>
      <c r="AM112" s="409">
        <f t="shared" si="594"/>
        <v>0</v>
      </c>
      <c r="AN112" s="409">
        <f t="shared" si="594"/>
        <v>199.87239738723952</v>
      </c>
      <c r="AO112" s="409">
        <f t="shared" si="594"/>
        <v>0</v>
      </c>
      <c r="AP112" s="409">
        <f t="shared" si="594"/>
        <v>0</v>
      </c>
      <c r="AQ112" s="409">
        <f t="shared" si="594"/>
        <v>189.4477716895303</v>
      </c>
      <c r="AR112" s="409">
        <f t="shared" si="594"/>
        <v>0</v>
      </c>
      <c r="AS112" s="409">
        <f t="shared" si="594"/>
        <v>0</v>
      </c>
      <c r="AT112" s="409">
        <f t="shared" si="594"/>
        <v>195.39441071163802</v>
      </c>
      <c r="AU112" s="409">
        <f t="shared" si="594"/>
        <v>0</v>
      </c>
      <c r="AV112" s="409">
        <f t="shared" si="594"/>
        <v>0</v>
      </c>
      <c r="AW112" s="409">
        <f t="shared" si="594"/>
        <v>231.06753614731952</v>
      </c>
      <c r="AX112" s="409">
        <f t="shared" si="594"/>
        <v>0</v>
      </c>
      <c r="AY112" s="409">
        <f t="shared" si="594"/>
        <v>0</v>
      </c>
      <c r="AZ112" s="409">
        <f t="shared" si="594"/>
        <v>265.71081579285737</v>
      </c>
      <c r="BA112" s="409">
        <f t="shared" si="594"/>
        <v>0</v>
      </c>
      <c r="BB112" s="409">
        <f t="shared" si="594"/>
        <v>0</v>
      </c>
      <c r="BC112" s="409">
        <f t="shared" si="594"/>
        <v>297.8591602590343</v>
      </c>
      <c r="BD112" s="409">
        <f t="shared" si="594"/>
        <v>0</v>
      </c>
      <c r="BE112" s="409">
        <f t="shared" si="594"/>
        <v>0</v>
      </c>
      <c r="BF112" s="409">
        <f t="shared" si="594"/>
        <v>341.20204325909901</v>
      </c>
      <c r="BG112" s="409">
        <f t="shared" si="594"/>
        <v>0</v>
      </c>
      <c r="BH112" s="409">
        <f t="shared" si="594"/>
        <v>0</v>
      </c>
      <c r="BI112" s="409">
        <f t="shared" si="594"/>
        <v>389.37270527118801</v>
      </c>
      <c r="BJ112" s="323"/>
    </row>
    <row r="113" spans="1:62" s="312" customFormat="1">
      <c r="A113" s="312" t="s">
        <v>1634</v>
      </c>
      <c r="B113" s="497">
        <v>59.978000000000002</v>
      </c>
      <c r="C113" s="409">
        <f>B114</f>
        <v>-32.701999999999998</v>
      </c>
      <c r="D113" s="409">
        <f>B113</f>
        <v>59.978000000000002</v>
      </c>
      <c r="E113" s="409">
        <f>D114</f>
        <v>-41.282999999999994</v>
      </c>
      <c r="F113" s="409">
        <f>E114</f>
        <v>9.0000000000003411E-3</v>
      </c>
      <c r="G113" s="409">
        <f>E113</f>
        <v>-41.282999999999994</v>
      </c>
      <c r="H113" s="409">
        <f>G114</f>
        <v>-57.992000000000004</v>
      </c>
      <c r="I113" s="409">
        <f>H114</f>
        <v>-0.43000000000000682</v>
      </c>
      <c r="J113" s="409">
        <f>H113</f>
        <v>-57.992000000000004</v>
      </c>
      <c r="K113" s="409">
        <f>J114</f>
        <v>-9.8459999999999965</v>
      </c>
      <c r="L113" s="409">
        <f>K114</f>
        <v>79.821000000000012</v>
      </c>
      <c r="M113" s="409">
        <f>K113</f>
        <v>-9.8459999999999965</v>
      </c>
      <c r="N113" s="409">
        <f>M114</f>
        <v>-104.11099999999999</v>
      </c>
      <c r="O113" s="409">
        <f>N114</f>
        <v>-69.935000000000002</v>
      </c>
      <c r="P113" s="409">
        <f>N113</f>
        <v>-104.11099999999999</v>
      </c>
      <c r="Q113" s="409">
        <f>P114</f>
        <v>-91.191000000000003</v>
      </c>
      <c r="R113" s="409">
        <f>Q114</f>
        <v>4.1640000000000157</v>
      </c>
      <c r="S113" s="409">
        <f>P114</f>
        <v>-91.191000000000003</v>
      </c>
      <c r="T113" s="409">
        <f>S114</f>
        <v>53.907999999999987</v>
      </c>
      <c r="U113" s="409">
        <f>T114</f>
        <v>290.87199999999996</v>
      </c>
      <c r="V113" s="409">
        <f>S114</f>
        <v>53.907999999999987</v>
      </c>
      <c r="W113" s="409">
        <f>V114</f>
        <v>196.33899999999991</v>
      </c>
      <c r="X113" s="409">
        <f>W114</f>
        <v>174.51599999999999</v>
      </c>
      <c r="Y113" s="409">
        <f>V114</f>
        <v>196.33899999999991</v>
      </c>
      <c r="Z113" s="409">
        <f>Y114</f>
        <v>-53.606000000000037</v>
      </c>
      <c r="AA113" s="409">
        <f>Z114</f>
        <v>55.083999999999989</v>
      </c>
      <c r="AB113" s="831">
        <f>Y114</f>
        <v>-53.606000000000037</v>
      </c>
      <c r="AC113" s="409">
        <f>AB114</f>
        <v>-48.457000000000043</v>
      </c>
      <c r="AD113" s="409">
        <f>AC114</f>
        <v>43.564999999999998</v>
      </c>
      <c r="AE113" s="409">
        <f>AB114</f>
        <v>-48.457000000000043</v>
      </c>
      <c r="AF113" s="409">
        <f>AE114</f>
        <v>0.43480273388340152</v>
      </c>
      <c r="AG113" s="409" t="e">
        <f>AF114</f>
        <v>#REF!</v>
      </c>
      <c r="AH113" s="409">
        <f>AE114</f>
        <v>0.43480273388340152</v>
      </c>
      <c r="AI113" s="409">
        <f>AH114</f>
        <v>-150.90192695204271</v>
      </c>
      <c r="AJ113" s="409" t="e">
        <f>AI114</f>
        <v>#REF!</v>
      </c>
      <c r="AK113" s="409">
        <f>AH114</f>
        <v>-150.90192695204271</v>
      </c>
      <c r="AL113" s="409"/>
      <c r="AM113" s="409"/>
      <c r="AN113" s="409">
        <f>AK114</f>
        <v>-192.00235129254742</v>
      </c>
      <c r="AO113" s="409"/>
      <c r="AP113" s="409"/>
      <c r="AQ113" s="409">
        <f>AN114</f>
        <v>-307.58763603978696</v>
      </c>
      <c r="AR113" s="409"/>
      <c r="AS113" s="409"/>
      <c r="AT113" s="409">
        <f>AQ114</f>
        <v>-399.66926036931727</v>
      </c>
      <c r="AU113" s="409"/>
      <c r="AV113" s="409"/>
      <c r="AW113" s="409">
        <f>AT114</f>
        <v>-484.61848900095532</v>
      </c>
      <c r="AX113" s="409"/>
      <c r="AY113" s="409"/>
      <c r="AZ113" s="409">
        <f>AW114</f>
        <v>-589.25535618827485</v>
      </c>
      <c r="BA113" s="409"/>
      <c r="BB113" s="409"/>
      <c r="BC113" s="409">
        <f>AZ114</f>
        <v>-712.55001614113212</v>
      </c>
      <c r="BD113" s="409"/>
      <c r="BE113" s="409"/>
      <c r="BF113" s="409">
        <f>BC114</f>
        <v>-849.10108152016642</v>
      </c>
      <c r="BG113" s="409"/>
      <c r="BH113" s="409"/>
      <c r="BI113" s="409">
        <f t="shared" ref="BI113" si="595">BF114</f>
        <v>-1007.1966386992656</v>
      </c>
      <c r="BJ113" s="323"/>
    </row>
    <row r="114" spans="1:62" s="312" customFormat="1">
      <c r="A114" s="344" t="s">
        <v>1801</v>
      </c>
      <c r="B114" s="406">
        <f>B156+B165+B157+B166-B133</f>
        <v>-32.701999999999998</v>
      </c>
      <c r="C114" s="406">
        <f t="shared" ref="C114:U114" si="596">C156+C165+C157+C166-C133</f>
        <v>-41.282999999999994</v>
      </c>
      <c r="D114" s="406">
        <f t="shared" si="596"/>
        <v>-41.282999999999994</v>
      </c>
      <c r="E114" s="406">
        <f t="shared" si="596"/>
        <v>9.0000000000003411E-3</v>
      </c>
      <c r="F114" s="406">
        <f t="shared" si="596"/>
        <v>-57.992000000000004</v>
      </c>
      <c r="G114" s="406">
        <f t="shared" si="596"/>
        <v>-57.992000000000004</v>
      </c>
      <c r="H114" s="406">
        <f t="shared" si="596"/>
        <v>-0.43000000000000682</v>
      </c>
      <c r="I114" s="406">
        <f t="shared" si="596"/>
        <v>-9.8459999999999965</v>
      </c>
      <c r="J114" s="406">
        <f t="shared" si="596"/>
        <v>-9.8459999999999965</v>
      </c>
      <c r="K114" s="406">
        <f t="shared" si="596"/>
        <v>79.821000000000012</v>
      </c>
      <c r="L114" s="406">
        <f t="shared" si="596"/>
        <v>-104.11099999999999</v>
      </c>
      <c r="M114" s="406">
        <f t="shared" si="596"/>
        <v>-104.11099999999999</v>
      </c>
      <c r="N114" s="406">
        <f>N156+N165+N157+N166-N133</f>
        <v>-69.935000000000002</v>
      </c>
      <c r="O114" s="406">
        <f t="shared" si="596"/>
        <v>-91.191000000000003</v>
      </c>
      <c r="P114" s="406">
        <f t="shared" si="596"/>
        <v>-91.191000000000003</v>
      </c>
      <c r="Q114" s="406">
        <f t="shared" si="596"/>
        <v>4.1640000000000157</v>
      </c>
      <c r="R114" s="406">
        <f t="shared" si="596"/>
        <v>53.907999999999987</v>
      </c>
      <c r="S114" s="406">
        <f t="shared" si="596"/>
        <v>53.907999999999987</v>
      </c>
      <c r="T114" s="406">
        <f t="shared" si="596"/>
        <v>290.87199999999996</v>
      </c>
      <c r="U114" s="406">
        <f t="shared" si="596"/>
        <v>196.33899999999991</v>
      </c>
      <c r="V114" s="406">
        <f>V156+V165+V157+V166-V133</f>
        <v>196.33899999999991</v>
      </c>
      <c r="W114" s="406">
        <f t="shared" ref="W114:X114" si="597">W156+W165+W157+W166-W133</f>
        <v>174.51599999999999</v>
      </c>
      <c r="X114" s="406">
        <f t="shared" si="597"/>
        <v>18.210999999999956</v>
      </c>
      <c r="Y114" s="406">
        <f>Y156+Y165-Y133</f>
        <v>-53.606000000000037</v>
      </c>
      <c r="Z114" s="406">
        <f t="shared" ref="Z114:AB114" si="598">Z156+Z165-Z133</f>
        <v>55.083999999999989</v>
      </c>
      <c r="AA114" s="406">
        <f t="shared" ref="AA114" si="599">AA156+AA165+AA157+AA166-AA133</f>
        <v>12.723999999999961</v>
      </c>
      <c r="AB114" s="829">
        <f t="shared" si="598"/>
        <v>-48.457000000000043</v>
      </c>
      <c r="AC114" s="406">
        <f>AC156+AC165-AC133</f>
        <v>43.564999999999998</v>
      </c>
      <c r="AD114" s="406">
        <f t="shared" ref="AD114:BI114" si="600">AD156+AD165-AD133</f>
        <v>0.43480273388340152</v>
      </c>
      <c r="AE114" s="406">
        <f t="shared" si="600"/>
        <v>0.43480273388340152</v>
      </c>
      <c r="AF114" s="406" t="e">
        <f t="shared" si="600"/>
        <v>#REF!</v>
      </c>
      <c r="AG114" s="406">
        <f t="shared" si="600"/>
        <v>-150.90192695204271</v>
      </c>
      <c r="AH114" s="406">
        <f t="shared" si="600"/>
        <v>-150.90192695204271</v>
      </c>
      <c r="AI114" s="406" t="e">
        <f t="shared" si="600"/>
        <v>#REF!</v>
      </c>
      <c r="AJ114" s="406">
        <f t="shared" si="600"/>
        <v>-269.28535129254738</v>
      </c>
      <c r="AK114" s="406">
        <f t="shared" si="600"/>
        <v>-192.00235129254742</v>
      </c>
      <c r="AL114" s="406">
        <f t="shared" si="600"/>
        <v>0</v>
      </c>
      <c r="AM114" s="406">
        <f t="shared" si="600"/>
        <v>0</v>
      </c>
      <c r="AN114" s="406">
        <f t="shared" si="600"/>
        <v>-307.58763603978696</v>
      </c>
      <c r="AO114" s="406">
        <f t="shared" si="600"/>
        <v>0</v>
      </c>
      <c r="AP114" s="406">
        <f t="shared" si="600"/>
        <v>0</v>
      </c>
      <c r="AQ114" s="406">
        <f t="shared" si="600"/>
        <v>-399.66926036931727</v>
      </c>
      <c r="AR114" s="406">
        <f t="shared" si="600"/>
        <v>0</v>
      </c>
      <c r="AS114" s="406">
        <f t="shared" si="600"/>
        <v>0</v>
      </c>
      <c r="AT114" s="406">
        <f t="shared" si="600"/>
        <v>-484.61848900095532</v>
      </c>
      <c r="AU114" s="406">
        <f t="shared" si="600"/>
        <v>0</v>
      </c>
      <c r="AV114" s="406">
        <f t="shared" si="600"/>
        <v>0</v>
      </c>
      <c r="AW114" s="406">
        <f t="shared" si="600"/>
        <v>-589.25535618827485</v>
      </c>
      <c r="AX114" s="406">
        <f t="shared" si="600"/>
        <v>0</v>
      </c>
      <c r="AY114" s="406">
        <f t="shared" si="600"/>
        <v>0</v>
      </c>
      <c r="AZ114" s="406">
        <f t="shared" si="600"/>
        <v>-712.55001614113212</v>
      </c>
      <c r="BA114" s="406">
        <f t="shared" si="600"/>
        <v>0</v>
      </c>
      <c r="BB114" s="406">
        <f t="shared" si="600"/>
        <v>0</v>
      </c>
      <c r="BC114" s="406">
        <f t="shared" si="600"/>
        <v>-849.10108152016642</v>
      </c>
      <c r="BD114" s="406">
        <f t="shared" si="600"/>
        <v>0</v>
      </c>
      <c r="BE114" s="406">
        <f t="shared" si="600"/>
        <v>0</v>
      </c>
      <c r="BF114" s="406">
        <f t="shared" si="600"/>
        <v>-1007.1966386992656</v>
      </c>
      <c r="BG114" s="406">
        <f t="shared" si="600"/>
        <v>0</v>
      </c>
      <c r="BH114" s="406">
        <f t="shared" si="600"/>
        <v>0</v>
      </c>
      <c r="BI114" s="406">
        <f t="shared" si="600"/>
        <v>-1190.2112406104536</v>
      </c>
      <c r="BJ114" s="322"/>
    </row>
    <row r="115" spans="1:62" s="312" customFormat="1">
      <c r="B115" s="409"/>
      <c r="C115" s="409"/>
      <c r="D115" s="1179">
        <f>D112/D5</f>
        <v>7.1607457411103553E-2</v>
      </c>
      <c r="E115" s="409"/>
      <c r="F115" s="409"/>
      <c r="G115" s="1179">
        <f t="shared" ref="G115:BI115" si="601">G112/G5</f>
        <v>9.2153267887691834E-2</v>
      </c>
      <c r="H115" s="1179">
        <f t="shared" si="601"/>
        <v>-7.4221508682451837E-2</v>
      </c>
      <c r="I115" s="1179">
        <f t="shared" si="601"/>
        <v>0.10840248313495787</v>
      </c>
      <c r="J115" s="1179">
        <f t="shared" si="601"/>
        <v>2.579059353892999E-3</v>
      </c>
      <c r="K115" s="1179">
        <f t="shared" si="601"/>
        <v>-7.04177641232243E-2</v>
      </c>
      <c r="L115" s="1179">
        <f t="shared" si="601"/>
        <v>0.27811399015516847</v>
      </c>
      <c r="M115" s="1179">
        <f t="shared" si="601"/>
        <v>7.6063487929564258E-2</v>
      </c>
      <c r="N115" s="1179">
        <f t="shared" si="601"/>
        <v>-4.5674990646423559E-2</v>
      </c>
      <c r="O115" s="1179">
        <f t="shared" si="601"/>
        <v>0.12065361725693882</v>
      </c>
      <c r="P115" s="1179">
        <f t="shared" si="601"/>
        <v>2.1085766200567665E-2</v>
      </c>
      <c r="Q115" s="1179">
        <f t="shared" si="601"/>
        <v>-9.033197178882818E-2</v>
      </c>
      <c r="R115" s="1179">
        <f t="shared" si="601"/>
        <v>-5.8033869165063375E-2</v>
      </c>
      <c r="S115" s="1179">
        <f t="shared" si="601"/>
        <v>-6.5227721376198533E-2</v>
      </c>
      <c r="T115" s="1179">
        <f t="shared" si="601"/>
        <v>-0.18956595574084148</v>
      </c>
      <c r="U115" s="1179">
        <f t="shared" si="601"/>
        <v>0.17160285383816828</v>
      </c>
      <c r="V115" s="1179">
        <f t="shared" si="601"/>
        <v>-4.1185509626297037E-2</v>
      </c>
      <c r="W115" s="1179" t="e">
        <f t="shared" si="601"/>
        <v>#REF!</v>
      </c>
      <c r="X115" s="1179">
        <f t="shared" si="601"/>
        <v>0.28832168235437344</v>
      </c>
      <c r="Y115" s="1179">
        <f t="shared" si="601"/>
        <v>0.14392614868172601</v>
      </c>
      <c r="Z115" s="1179" t="e">
        <f t="shared" si="601"/>
        <v>#REF!</v>
      </c>
      <c r="AA115" s="1179">
        <f t="shared" si="601"/>
        <v>0.18107128911418183</v>
      </c>
      <c r="AB115" s="1179">
        <f t="shared" si="601"/>
        <v>2.8566780485820929E-2</v>
      </c>
      <c r="AC115" s="1179" t="e">
        <f t="shared" si="601"/>
        <v>#REF!</v>
      </c>
      <c r="AD115" s="1179">
        <f t="shared" si="601"/>
        <v>9.1130155085467374E-2</v>
      </c>
      <c r="AE115" s="1179">
        <f t="shared" si="601"/>
        <v>2.634668616123494E-3</v>
      </c>
      <c r="AF115" s="1179" t="e">
        <f t="shared" si="601"/>
        <v>#REF!</v>
      </c>
      <c r="AG115" s="1179">
        <f t="shared" si="601"/>
        <v>0.19555474203393397</v>
      </c>
      <c r="AH115" s="1179">
        <f t="shared" si="601"/>
        <v>0.1049871604790034</v>
      </c>
      <c r="AI115" s="1179" t="e">
        <f t="shared" si="601"/>
        <v>#REF!</v>
      </c>
      <c r="AJ115" s="1179">
        <f t="shared" si="601"/>
        <v>0.11696454855416014</v>
      </c>
      <c r="AK115" s="1179">
        <f t="shared" si="601"/>
        <v>5.0500265128802069E-2</v>
      </c>
      <c r="AL115" s="1179" t="e">
        <f t="shared" si="601"/>
        <v>#DIV/0!</v>
      </c>
      <c r="AM115" s="1179" t="e">
        <f t="shared" si="601"/>
        <v>#DIV/0!</v>
      </c>
      <c r="AN115" s="1179">
        <f t="shared" si="601"/>
        <v>8.0156337148654735E-2</v>
      </c>
      <c r="AO115" s="1179" t="e">
        <f t="shared" si="601"/>
        <v>#DIV/0!</v>
      </c>
      <c r="AP115" s="1179" t="e">
        <f t="shared" si="601"/>
        <v>#DIV/0!</v>
      </c>
      <c r="AQ115" s="1179">
        <f t="shared" si="601"/>
        <v>6.8761204337729073E-2</v>
      </c>
      <c r="AR115" s="1179" t="e">
        <f t="shared" si="601"/>
        <v>#DIV/0!</v>
      </c>
      <c r="AS115" s="1179" t="e">
        <f t="shared" si="601"/>
        <v>#DIV/0!</v>
      </c>
      <c r="AT115" s="1179">
        <f t="shared" si="601"/>
        <v>6.4230750433982894E-2</v>
      </c>
      <c r="AU115" s="1179" t="e">
        <f t="shared" si="601"/>
        <v>#DIV/0!</v>
      </c>
      <c r="AV115" s="1179" t="e">
        <f t="shared" si="601"/>
        <v>#DIV/0!</v>
      </c>
      <c r="AW115" s="1179">
        <f t="shared" si="601"/>
        <v>6.8742864719294069E-2</v>
      </c>
      <c r="AX115" s="1179" t="e">
        <f t="shared" si="601"/>
        <v>#DIV/0!</v>
      </c>
      <c r="AY115" s="1179" t="e">
        <f t="shared" si="601"/>
        <v>#DIV/0!</v>
      </c>
      <c r="AZ115" s="1179">
        <f t="shared" si="601"/>
        <v>7.1489494880749405E-2</v>
      </c>
      <c r="BA115" s="1179" t="e">
        <f t="shared" si="601"/>
        <v>#DIV/0!</v>
      </c>
      <c r="BB115" s="1179" t="e">
        <f t="shared" si="601"/>
        <v>#DIV/0!</v>
      </c>
      <c r="BC115" s="1179">
        <f t="shared" si="601"/>
        <v>7.2423566691755759E-2</v>
      </c>
      <c r="BD115" s="1179" t="e">
        <f t="shared" si="601"/>
        <v>#DIV/0!</v>
      </c>
      <c r="BE115" s="1179" t="e">
        <f t="shared" si="601"/>
        <v>#DIV/0!</v>
      </c>
      <c r="BF115" s="1179">
        <f t="shared" si="601"/>
        <v>7.4922631278986865E-2</v>
      </c>
      <c r="BG115" s="1179" t="e">
        <f t="shared" si="601"/>
        <v>#DIV/0!</v>
      </c>
      <c r="BH115" s="1179" t="e">
        <f t="shared" si="601"/>
        <v>#DIV/0!</v>
      </c>
      <c r="BI115" s="1179">
        <f t="shared" si="601"/>
        <v>7.7161449291146753E-2</v>
      </c>
      <c r="BJ115" s="323"/>
    </row>
    <row r="116" spans="1:62" s="312" customFormat="1">
      <c r="A116" s="369" t="s">
        <v>1891</v>
      </c>
      <c r="B116" s="409"/>
      <c r="C116" s="409"/>
      <c r="D116" s="409"/>
      <c r="E116" s="409"/>
      <c r="F116" s="409"/>
      <c r="G116" s="409"/>
      <c r="H116" s="409"/>
      <c r="I116" s="409"/>
      <c r="J116" s="409"/>
      <c r="K116" s="409"/>
      <c r="L116" s="409"/>
      <c r="M116" s="409"/>
      <c r="N116" s="409"/>
      <c r="O116" s="409"/>
      <c r="P116" s="409"/>
      <c r="Q116" s="409"/>
      <c r="R116" s="409"/>
      <c r="S116" s="409"/>
      <c r="T116" s="409"/>
      <c r="U116" s="409"/>
      <c r="V116" s="409"/>
      <c r="W116" s="409"/>
      <c r="X116" s="409"/>
      <c r="Y116" s="409"/>
      <c r="Z116" s="409"/>
      <c r="AA116" s="409"/>
      <c r="AB116" s="831"/>
      <c r="AC116" s="409"/>
      <c r="AD116" s="409"/>
      <c r="AE116" s="409"/>
      <c r="AF116" s="409"/>
      <c r="AG116" s="409"/>
      <c r="AH116" s="409"/>
      <c r="AI116" s="409"/>
      <c r="AJ116" s="409"/>
      <c r="AK116" s="409"/>
      <c r="AL116" s="409"/>
      <c r="AM116" s="409"/>
      <c r="AN116" s="409"/>
      <c r="AO116" s="409"/>
      <c r="AP116" s="409"/>
      <c r="AQ116" s="409"/>
      <c r="AR116" s="409"/>
      <c r="AS116" s="409"/>
      <c r="AT116" s="409"/>
      <c r="AU116" s="409"/>
      <c r="AV116" s="409"/>
      <c r="AW116" s="409"/>
      <c r="AX116" s="409"/>
      <c r="AY116" s="409"/>
      <c r="AZ116" s="409"/>
      <c r="BA116" s="409"/>
      <c r="BB116" s="409"/>
      <c r="BC116" s="409"/>
      <c r="BD116" s="409"/>
      <c r="BE116" s="409"/>
      <c r="BF116" s="409"/>
      <c r="BG116" s="409"/>
      <c r="BH116" s="409"/>
      <c r="BI116" s="409"/>
      <c r="BJ116" s="323"/>
    </row>
    <row r="117" spans="1:62" s="312" customFormat="1">
      <c r="A117" s="312" t="s">
        <v>1337</v>
      </c>
      <c r="B117" s="497">
        <v>0.23300000000000001</v>
      </c>
      <c r="C117" s="497">
        <f>D117-B117</f>
        <v>0.39100000000000001</v>
      </c>
      <c r="D117" s="497">
        <v>0.624</v>
      </c>
      <c r="E117" s="497">
        <v>0.42799999999999999</v>
      </c>
      <c r="F117" s="497">
        <f>G117-E117</f>
        <v>0.6160000000000001</v>
      </c>
      <c r="G117" s="497">
        <v>1.044</v>
      </c>
      <c r="H117" s="497">
        <v>0.249</v>
      </c>
      <c r="I117" s="497">
        <f>J117-H117</f>
        <v>0.2</v>
      </c>
      <c r="J117" s="497">
        <v>0.44900000000000001</v>
      </c>
      <c r="K117" s="497">
        <v>9.7000000000000003E-2</v>
      </c>
      <c r="L117" s="497">
        <f>M117-K117</f>
        <v>9.5000000000000001E-2</v>
      </c>
      <c r="M117" s="497">
        <v>0.192</v>
      </c>
      <c r="N117" s="497">
        <v>5.8000000000000003E-2</v>
      </c>
      <c r="O117" s="497">
        <f>P117-N117</f>
        <v>7.2000000000000008E-2</v>
      </c>
      <c r="P117" s="497">
        <v>0.13</v>
      </c>
      <c r="Q117" s="497">
        <v>8.4000000000000005E-2</v>
      </c>
      <c r="R117" s="454">
        <f>S117-Q117</f>
        <v>0.23299999999999998</v>
      </c>
      <c r="S117" s="821">
        <v>0.317</v>
      </c>
      <c r="T117" s="497">
        <v>0.20799999999999999</v>
      </c>
      <c r="U117" s="454">
        <f>Debt!U14</f>
        <v>0.46100000000000008</v>
      </c>
      <c r="V117" s="821">
        <f>Debt!V14</f>
        <v>0.66900000000000004</v>
      </c>
      <c r="W117" s="497">
        <v>0.84199999999999997</v>
      </c>
      <c r="X117" s="454">
        <f>Debt!X14</f>
        <v>0</v>
      </c>
      <c r="Y117" s="821">
        <f>Debt!Y14</f>
        <v>2.431</v>
      </c>
      <c r="Z117" s="497">
        <v>0.85299999999999998</v>
      </c>
      <c r="AA117" s="454">
        <f>Debt!AA14</f>
        <v>0</v>
      </c>
      <c r="AB117" s="1157">
        <f>Debt!AB14</f>
        <v>1.845</v>
      </c>
      <c r="AC117" s="497">
        <v>0.75800000000000001</v>
      </c>
      <c r="AD117" s="454">
        <f>Debt!AD14</f>
        <v>0.61702102364289779</v>
      </c>
      <c r="AE117" s="454">
        <f>Debt!AE14</f>
        <v>1.4683750236428978</v>
      </c>
      <c r="AF117" s="454">
        <f>Debt!AF14</f>
        <v>0.70736399999999999</v>
      </c>
      <c r="AG117" s="454">
        <f>Debt!AG14</f>
        <v>1.6965450221297522</v>
      </c>
      <c r="AH117" s="454">
        <f>Debt!AH14</f>
        <v>2.4039090221297523</v>
      </c>
      <c r="AI117" s="454">
        <f>Debt!AI14</f>
        <v>0</v>
      </c>
      <c r="AJ117" s="454">
        <f>Debt!AJ14</f>
        <v>0</v>
      </c>
      <c r="AK117" s="454">
        <f>Debt!AK14</f>
        <v>1.845</v>
      </c>
      <c r="AL117" s="454"/>
      <c r="AM117" s="454"/>
      <c r="AN117" s="454">
        <f>Debt!AN14</f>
        <v>2.5246382857471557</v>
      </c>
      <c r="AO117" s="454"/>
      <c r="AP117" s="454"/>
      <c r="AQ117" s="454">
        <f>Debt!AQ14</f>
        <v>4.2096601513375047</v>
      </c>
      <c r="AR117" s="454"/>
      <c r="AS117" s="454"/>
      <c r="AT117" s="454">
        <f>Debt!AT14</f>
        <v>5.2371849747124823</v>
      </c>
      <c r="AU117" s="454"/>
      <c r="AV117" s="454"/>
      <c r="AW117" s="454">
        <f>Debt!AW14</f>
        <v>7.4851405863731904</v>
      </c>
      <c r="AX117" s="454"/>
      <c r="AY117" s="454"/>
      <c r="AZ117" s="454">
        <f>Debt!AZ14</f>
        <v>9.2759862341998645</v>
      </c>
      <c r="BA117" s="454"/>
      <c r="BB117" s="454"/>
      <c r="BC117" s="454">
        <f>Debt!BC14</f>
        <v>10.928117780411242</v>
      </c>
      <c r="BD117" s="454"/>
      <c r="BE117" s="454"/>
      <c r="BF117" s="454">
        <f>Debt!BF14</f>
        <v>12.963143547702511</v>
      </c>
      <c r="BG117" s="454"/>
      <c r="BH117" s="454"/>
      <c r="BI117" s="454">
        <f>Debt!BI14</f>
        <v>15.3610346229801</v>
      </c>
      <c r="BJ117" s="355"/>
    </row>
    <row r="118" spans="1:62" s="312" customFormat="1">
      <c r="A118" s="312" t="s">
        <v>1338</v>
      </c>
      <c r="B118" s="497">
        <v>-1.24</v>
      </c>
      <c r="C118" s="497">
        <f t="shared" ref="C118" si="602">D118-B118</f>
        <v>-1.1809999999999998</v>
      </c>
      <c r="D118" s="421">
        <v>-2.4209999999999998</v>
      </c>
      <c r="E118" s="421">
        <v>-2.0579999999999998</v>
      </c>
      <c r="F118" s="421">
        <f t="shared" ref="F118" si="603">G118-E118</f>
        <v>-1.5220000000000002</v>
      </c>
      <c r="G118" s="421">
        <v>-3.58</v>
      </c>
      <c r="H118" s="421">
        <v>-1.7450000000000001</v>
      </c>
      <c r="I118" s="421">
        <f t="shared" ref="I118" si="604">J118-H118</f>
        <v>-1.738</v>
      </c>
      <c r="J118" s="421">
        <v>-3.4830000000000001</v>
      </c>
      <c r="K118" s="421">
        <f>-4.297-K119</f>
        <v>-3.4829999999999997</v>
      </c>
      <c r="L118" s="421">
        <f t="shared" ref="L118:L119" si="605">M118-K118</f>
        <v>-3.2970000000000006</v>
      </c>
      <c r="M118" s="421">
        <f>-8.368-M119</f>
        <v>-6.78</v>
      </c>
      <c r="N118" s="421">
        <f>-4.566+0.656</f>
        <v>-3.9099999999999997</v>
      </c>
      <c r="O118" s="421">
        <f t="shared" ref="O118:O119" si="606">P118-N118</f>
        <v>-4.0329999999999995</v>
      </c>
      <c r="P118" s="421">
        <f>-9.157+1.214</f>
        <v>-7.9429999999999996</v>
      </c>
      <c r="Q118" s="421">
        <f>-3.586+0.472</f>
        <v>-3.1139999999999999</v>
      </c>
      <c r="R118" s="421">
        <f>S118-Q118</f>
        <v>-4.1509999999999998</v>
      </c>
      <c r="S118" s="421">
        <f>-(8.844-1.579)</f>
        <v>-7.2649999999999997</v>
      </c>
      <c r="T118" s="506">
        <f>-10.687+1.955</f>
        <v>-8.7319999999999993</v>
      </c>
      <c r="U118" s="421">
        <f>Debt!U13</f>
        <v>-8.8270000000000017</v>
      </c>
      <c r="V118" s="421">
        <f>Debt!V13</f>
        <v>-17.559000000000001</v>
      </c>
      <c r="W118" s="506">
        <f>-13.683+2.245</f>
        <v>-11.437999999999999</v>
      </c>
      <c r="X118" s="421">
        <f>Debt!X13</f>
        <v>-6.4890000000000008</v>
      </c>
      <c r="Y118" s="421">
        <f>Debt!Y13</f>
        <v>-17.927</v>
      </c>
      <c r="Z118" s="506">
        <v>-7.0410000000000004</v>
      </c>
      <c r="AA118" s="421">
        <f>Debt!AA13</f>
        <v>-5.2859999999999996</v>
      </c>
      <c r="AB118" s="849">
        <f>Debt!AB13</f>
        <v>-12.327</v>
      </c>
      <c r="AC118" s="506">
        <v>-6.9889999999999999</v>
      </c>
      <c r="AD118" s="421">
        <f>AE118-AC118</f>
        <v>-7.6034499999999925</v>
      </c>
      <c r="AE118" s="421">
        <f>Debt!AE13</f>
        <v>-14.592449999999992</v>
      </c>
      <c r="AF118" s="421">
        <f>Debt!AF13</f>
        <v>-8.2369799999999973</v>
      </c>
      <c r="AG118" s="421">
        <f>AH118-AF118</f>
        <v>-4.6369799999999977</v>
      </c>
      <c r="AH118" s="421">
        <f>Debt!AH13</f>
        <v>-12.873959999999995</v>
      </c>
      <c r="AI118" s="421">
        <f>Debt!AI13</f>
        <v>0</v>
      </c>
      <c r="AJ118" s="421">
        <f>AK118-AI118</f>
        <v>-8.5011299999999963</v>
      </c>
      <c r="AK118" s="421">
        <f>Debt!AK13</f>
        <v>-8.5011299999999963</v>
      </c>
      <c r="AL118" s="421"/>
      <c r="AM118" s="421"/>
      <c r="AN118" s="421">
        <f>Debt!AN13</f>
        <v>-8.5011299999999963</v>
      </c>
      <c r="AO118" s="421"/>
      <c r="AP118" s="421"/>
      <c r="AQ118" s="421">
        <f>Debt!AQ13</f>
        <v>-8.5011299999999963</v>
      </c>
      <c r="AR118" s="421"/>
      <c r="AS118" s="421"/>
      <c r="AT118" s="421">
        <f>Debt!AT13</f>
        <v>-8.5011299999999963</v>
      </c>
      <c r="AU118" s="421"/>
      <c r="AV118" s="421"/>
      <c r="AW118" s="421">
        <f>Debt!AW13</f>
        <v>-8.5011299999999963</v>
      </c>
      <c r="AX118" s="421"/>
      <c r="AY118" s="421"/>
      <c r="AZ118" s="421">
        <f>Debt!AZ13</f>
        <v>-8.5011299999999963</v>
      </c>
      <c r="BA118" s="421"/>
      <c r="BB118" s="421"/>
      <c r="BC118" s="421">
        <f>Debt!BC13</f>
        <v>-8.5011299999999963</v>
      </c>
      <c r="BD118" s="421"/>
      <c r="BE118" s="421"/>
      <c r="BF118" s="421">
        <f>Debt!BF13</f>
        <v>-8.5011299999999963</v>
      </c>
      <c r="BG118" s="421"/>
      <c r="BH118" s="421"/>
      <c r="BI118" s="421">
        <f>Debt!BI13</f>
        <v>-8.5011299999999963</v>
      </c>
      <c r="BJ118" s="355"/>
    </row>
    <row r="119" spans="1:62" s="312" customFormat="1">
      <c r="A119" s="312" t="s">
        <v>1642</v>
      </c>
      <c r="B119" s="497"/>
      <c r="C119" s="497"/>
      <c r="D119" s="497"/>
      <c r="E119" s="497"/>
      <c r="F119" s="497"/>
      <c r="G119" s="497"/>
      <c r="H119" s="497"/>
      <c r="I119" s="497"/>
      <c r="J119" s="497"/>
      <c r="K119" s="497">
        <v>-0.81399999999999995</v>
      </c>
      <c r="L119" s="497">
        <f t="shared" si="605"/>
        <v>-0.77400000000000013</v>
      </c>
      <c r="M119" s="432">
        <v>-1.5880000000000001</v>
      </c>
      <c r="N119" s="432">
        <v>-0.65600000000000003</v>
      </c>
      <c r="O119" s="432">
        <f t="shared" si="606"/>
        <v>-0.55799999999999994</v>
      </c>
      <c r="P119" s="432">
        <v>-1.214</v>
      </c>
      <c r="Q119" s="432">
        <v>-0.47199999999999998</v>
      </c>
      <c r="R119" s="432">
        <f>S119-Q119</f>
        <v>-1.107</v>
      </c>
      <c r="S119" s="432">
        <f>-1.579</f>
        <v>-1.579</v>
      </c>
      <c r="T119" s="982">
        <v>-1.9550000000000001</v>
      </c>
      <c r="U119" s="432">
        <f>PPE_and_intangibles!U54</f>
        <v>-3.4839999999999995</v>
      </c>
      <c r="V119" s="432">
        <f>PPE_and_intangibles!V54</f>
        <v>-4.1399999999999997</v>
      </c>
      <c r="W119" s="982">
        <v>-2.2450000000000001</v>
      </c>
      <c r="X119" s="432">
        <f>Y119-W119</f>
        <v>-2.2850000000000001</v>
      </c>
      <c r="Y119" s="432">
        <f>PPE_and_intangibles!Y54</f>
        <v>-4.53</v>
      </c>
      <c r="Z119" s="982">
        <v>-2.2280000000000002</v>
      </c>
      <c r="AA119" s="432">
        <f>AB119-Z119</f>
        <v>-1.9579999999999997</v>
      </c>
      <c r="AB119" s="989">
        <f>PPE_and_intangibles!AB54</f>
        <v>-4.1859999999999999</v>
      </c>
      <c r="AC119" s="982">
        <v>-2.1589999999999998</v>
      </c>
      <c r="AD119" s="432">
        <f>AE119-AC119</f>
        <v>-1.4070590946433299</v>
      </c>
      <c r="AE119" s="432">
        <f>PPE_and_intangibles!AE54</f>
        <v>-3.5660590946433297</v>
      </c>
      <c r="AF119" s="432">
        <f>PPE_and_intangibles!AF54</f>
        <v>-2.0983460873122417</v>
      </c>
      <c r="AG119" s="432">
        <f>AH119-AF119</f>
        <v>-1.8440581862465746</v>
      </c>
      <c r="AH119" s="432">
        <f>PPE_and_intangibles!AH54</f>
        <v>-3.9424042735588163</v>
      </c>
      <c r="AI119" s="432">
        <f>PPE_and_intangibles!AI54</f>
        <v>-2.2954001778735105</v>
      </c>
      <c r="AJ119" s="432">
        <f>AK119-AI119</f>
        <v>-2.0172322927631656</v>
      </c>
      <c r="AK119" s="432">
        <f>PPE_and_intangibles!AK54</f>
        <v>-4.3126324706366761</v>
      </c>
      <c r="AL119" s="432"/>
      <c r="AM119" s="432"/>
      <c r="AN119" s="432">
        <f>PPE_and_intangibles!AN54</f>
        <v>-4.7373390051919326</v>
      </c>
      <c r="AO119" s="432"/>
      <c r="AP119" s="432"/>
      <c r="AQ119" s="432">
        <f>PPE_and_intangibles!AQ54</f>
        <v>-5.218994883106852</v>
      </c>
      <c r="AR119" s="432"/>
      <c r="AS119" s="432"/>
      <c r="AT119" s="432">
        <f>PPE_and_intangibles!AT54</f>
        <v>-5.7560722674693734</v>
      </c>
      <c r="AU119" s="432"/>
      <c r="AV119" s="432"/>
      <c r="AW119" s="432">
        <f>PPE_and_intangibles!AW54</f>
        <v>-6.3511162810563437</v>
      </c>
      <c r="AX119" s="432"/>
      <c r="AY119" s="432"/>
      <c r="AZ119" s="432">
        <f>PPE_and_intangibles!AZ54</f>
        <v>-7.0114825509080374</v>
      </c>
      <c r="BA119" s="432"/>
      <c r="BB119" s="432"/>
      <c r="BC119" s="432">
        <f>PPE_and_intangibles!BC54</f>
        <v>-7.7452504531551982</v>
      </c>
      <c r="BD119" s="432"/>
      <c r="BE119" s="432"/>
      <c r="BF119" s="432">
        <f>PPE_and_intangibles!BF54</f>
        <v>-8.561373107260545</v>
      </c>
      <c r="BG119" s="432"/>
      <c r="BH119" s="432"/>
      <c r="BI119" s="432">
        <f>PPE_and_intangibles!BI54</f>
        <v>-9.4698288475456636</v>
      </c>
      <c r="BJ119" s="355"/>
    </row>
    <row r="120" spans="1:62" s="312" customFormat="1">
      <c r="A120" s="312" t="s">
        <v>398</v>
      </c>
      <c r="B120" s="421">
        <f>B117+B118</f>
        <v>-1.0069999999999999</v>
      </c>
      <c r="C120" s="421">
        <f t="shared" ref="C120" si="607">C117+C118</f>
        <v>-0.78999999999999981</v>
      </c>
      <c r="D120" s="421">
        <f>D117+D118</f>
        <v>-1.7969999999999997</v>
      </c>
      <c r="E120" s="421">
        <f t="shared" ref="E120:H120" si="608">E117+E118</f>
        <v>-1.63</v>
      </c>
      <c r="F120" s="421">
        <f t="shared" si="608"/>
        <v>-0.90600000000000014</v>
      </c>
      <c r="G120" s="421">
        <f t="shared" si="608"/>
        <v>-2.536</v>
      </c>
      <c r="H120" s="421">
        <f t="shared" si="608"/>
        <v>-1.496</v>
      </c>
      <c r="I120" s="421">
        <f t="shared" ref="I120" si="609">I117+I118</f>
        <v>-1.538</v>
      </c>
      <c r="J120" s="421">
        <f t="shared" ref="J120" si="610">J117+J118</f>
        <v>-3.0340000000000003</v>
      </c>
      <c r="K120" s="421">
        <f t="shared" ref="K120:L120" si="611">SUM(K117:K119)</f>
        <v>-4.1999999999999993</v>
      </c>
      <c r="L120" s="421">
        <f t="shared" si="611"/>
        <v>-3.9760000000000004</v>
      </c>
      <c r="M120" s="421">
        <f>SUM(M117:M119)</f>
        <v>-8.1760000000000002</v>
      </c>
      <c r="N120" s="421">
        <f t="shared" ref="N120:Q120" si="612">SUM(N117:N119)</f>
        <v>-4.508</v>
      </c>
      <c r="O120" s="421">
        <f t="shared" si="612"/>
        <v>-4.5189999999999992</v>
      </c>
      <c r="P120" s="421">
        <f t="shared" si="612"/>
        <v>-9.0269999999999992</v>
      </c>
      <c r="Q120" s="421">
        <f t="shared" si="612"/>
        <v>-3.5019999999999998</v>
      </c>
      <c r="R120" s="421">
        <f t="shared" ref="R120" si="613">SUM(R117:R119)</f>
        <v>-5.0249999999999995</v>
      </c>
      <c r="S120" s="421">
        <f t="shared" ref="S120" si="614">SUM(S117:S119)</f>
        <v>-8.5269999999999992</v>
      </c>
      <c r="T120" s="421">
        <f>SUM(T117:T119)</f>
        <v>-10.478999999999999</v>
      </c>
      <c r="U120" s="421">
        <f t="shared" ref="U120" si="615">SUM(U117:U119)</f>
        <v>-11.850000000000001</v>
      </c>
      <c r="V120" s="453">
        <f>SUM(V117:V119)</f>
        <v>-21.03</v>
      </c>
      <c r="W120" s="421">
        <f t="shared" ref="W120:X120" si="616">SUM(W117:W119)</f>
        <v>-12.840999999999998</v>
      </c>
      <c r="X120" s="421">
        <f t="shared" si="616"/>
        <v>-8.7740000000000009</v>
      </c>
      <c r="Y120" s="421">
        <f>SUM(Y117:Y119)</f>
        <v>-20.026</v>
      </c>
      <c r="Z120" s="421">
        <f t="shared" ref="Z120:AA120" si="617">SUM(Z117:Z119)</f>
        <v>-8.4160000000000004</v>
      </c>
      <c r="AA120" s="421">
        <f t="shared" si="617"/>
        <v>-7.2439999999999998</v>
      </c>
      <c r="AB120" s="849">
        <f t="shared" ref="AB120:AD120" si="618">SUM(AB117:AB119)</f>
        <v>-14.667999999999999</v>
      </c>
      <c r="AC120" s="421">
        <f t="shared" si="618"/>
        <v>-8.39</v>
      </c>
      <c r="AD120" s="421">
        <f t="shared" si="618"/>
        <v>-8.3934880710004247</v>
      </c>
      <c r="AE120" s="421">
        <f>SUM(AE117:AE119)</f>
        <v>-16.690134071000426</v>
      </c>
      <c r="AF120" s="421">
        <f t="shared" ref="AF120:AG120" si="619">SUM(AF117:AF119)</f>
        <v>-9.6279620873122393</v>
      </c>
      <c r="AG120" s="421">
        <f t="shared" si="619"/>
        <v>-4.78449316411682</v>
      </c>
      <c r="AH120" s="421">
        <f t="shared" ref="AH120:AJ120" si="620">SUM(AH117:AH119)</f>
        <v>-14.412455251429058</v>
      </c>
      <c r="AI120" s="421">
        <f t="shared" si="620"/>
        <v>-2.2954001778735105</v>
      </c>
      <c r="AJ120" s="421">
        <f t="shared" si="620"/>
        <v>-10.518362292763161</v>
      </c>
      <c r="AK120" s="421">
        <f t="shared" ref="AK120" si="621">SUM(AK117:AK119)</f>
        <v>-10.968762470636673</v>
      </c>
      <c r="AL120" s="421"/>
      <c r="AM120" s="421"/>
      <c r="AN120" s="421">
        <f>SUM(AN117:AN119)</f>
        <v>-10.713830719444774</v>
      </c>
      <c r="AO120" s="421"/>
      <c r="AP120" s="421"/>
      <c r="AQ120" s="421">
        <f t="shared" ref="AQ120" si="622">SUM(AQ117:AQ119)</f>
        <v>-9.5104647317693427</v>
      </c>
      <c r="AR120" s="421"/>
      <c r="AS120" s="421"/>
      <c r="AT120" s="421">
        <f t="shared" ref="AT120:AW120" si="623">SUM(AT117:AT119)</f>
        <v>-9.0200172927568865</v>
      </c>
      <c r="AU120" s="421"/>
      <c r="AV120" s="421"/>
      <c r="AW120" s="421">
        <f t="shared" si="623"/>
        <v>-7.3671056946831497</v>
      </c>
      <c r="AX120" s="421"/>
      <c r="AY120" s="421"/>
      <c r="AZ120" s="421">
        <f t="shared" ref="AZ120:BC120" si="624">SUM(AZ117:AZ119)</f>
        <v>-6.2366263167081692</v>
      </c>
      <c r="BA120" s="421"/>
      <c r="BB120" s="421"/>
      <c r="BC120" s="421">
        <f t="shared" si="624"/>
        <v>-5.3182626727439528</v>
      </c>
      <c r="BD120" s="421"/>
      <c r="BE120" s="421"/>
      <c r="BF120" s="421">
        <f t="shared" ref="BF120" si="625">SUM(BF117:BF119)</f>
        <v>-4.0993595595580299</v>
      </c>
      <c r="BG120" s="421"/>
      <c r="BH120" s="421"/>
      <c r="BI120" s="421">
        <f t="shared" ref="BI120" si="626">SUM(BI117:BI119)</f>
        <v>-2.6099242245655603</v>
      </c>
      <c r="BJ120" s="355"/>
    </row>
    <row r="121" spans="1:62" s="312" customFormat="1">
      <c r="B121" s="409"/>
      <c r="C121" s="409"/>
      <c r="D121" s="409"/>
      <c r="E121" s="409"/>
      <c r="F121" s="409"/>
      <c r="G121" s="409"/>
      <c r="H121" s="409"/>
      <c r="I121" s="409"/>
      <c r="J121" s="409"/>
      <c r="K121" s="409"/>
      <c r="L121" s="409"/>
      <c r="M121" s="409"/>
      <c r="N121" s="409"/>
      <c r="O121" s="409"/>
      <c r="P121" s="409"/>
      <c r="Q121" s="409"/>
      <c r="R121" s="409"/>
      <c r="S121" s="409"/>
      <c r="T121" s="409"/>
      <c r="U121" s="409"/>
      <c r="V121" s="399"/>
      <c r="W121" s="409"/>
      <c r="X121" s="409"/>
      <c r="Y121" s="399"/>
      <c r="Z121" s="409"/>
      <c r="AA121" s="409"/>
      <c r="AB121" s="841"/>
      <c r="AC121" s="409"/>
      <c r="AD121" s="409"/>
      <c r="AE121" s="409"/>
      <c r="AF121" s="409"/>
      <c r="AG121" s="409"/>
      <c r="AH121" s="409"/>
      <c r="AI121" s="409"/>
      <c r="AJ121" s="409"/>
      <c r="AK121" s="409"/>
      <c r="AL121" s="409"/>
      <c r="AM121" s="409"/>
      <c r="AN121" s="409"/>
      <c r="AO121" s="409"/>
      <c r="AP121" s="409"/>
      <c r="AQ121" s="409"/>
      <c r="AR121" s="409"/>
      <c r="AS121" s="409"/>
      <c r="AT121" s="409"/>
      <c r="AU121" s="409"/>
      <c r="AV121" s="409"/>
      <c r="AW121" s="409"/>
      <c r="AX121" s="409"/>
      <c r="AY121" s="409"/>
      <c r="AZ121" s="409"/>
      <c r="BA121" s="409"/>
      <c r="BB121" s="409"/>
      <c r="BC121" s="409"/>
      <c r="BD121" s="409"/>
      <c r="BE121" s="409"/>
      <c r="BF121" s="409"/>
      <c r="BG121" s="409"/>
      <c r="BH121" s="409"/>
      <c r="BI121" s="409"/>
      <c r="BJ121" s="355"/>
    </row>
    <row r="122" spans="1:62" s="312" customFormat="1">
      <c r="A122" s="369" t="s">
        <v>1892</v>
      </c>
      <c r="B122" s="409">
        <v>70</v>
      </c>
      <c r="C122" s="409"/>
      <c r="D122" s="409"/>
      <c r="E122" s="409"/>
      <c r="F122" s="409"/>
      <c r="G122" s="409"/>
      <c r="H122" s="409"/>
      <c r="I122" s="409"/>
      <c r="J122" s="409"/>
      <c r="K122" s="409"/>
      <c r="L122" s="409"/>
      <c r="M122" s="409"/>
      <c r="N122" s="409"/>
      <c r="O122" s="409"/>
      <c r="P122" s="409"/>
      <c r="Q122" s="409"/>
      <c r="R122" s="409"/>
      <c r="S122" s="409"/>
      <c r="T122" s="409"/>
      <c r="U122" s="409"/>
      <c r="V122" s="409"/>
      <c r="W122" s="409"/>
      <c r="X122" s="409"/>
      <c r="Y122" s="409"/>
      <c r="Z122" s="409"/>
      <c r="AA122" s="409"/>
      <c r="AB122" s="831"/>
      <c r="AC122" s="409"/>
      <c r="AD122" s="409"/>
      <c r="AE122" s="409"/>
      <c r="AF122" s="409"/>
      <c r="AG122" s="409"/>
      <c r="AH122" s="409"/>
      <c r="AI122" s="409"/>
      <c r="AJ122" s="409"/>
      <c r="AK122" s="409"/>
      <c r="AL122" s="409"/>
      <c r="AM122" s="409"/>
      <c r="AN122" s="409"/>
      <c r="AO122" s="409"/>
      <c r="AP122" s="409"/>
      <c r="AQ122" s="409"/>
      <c r="AR122" s="409"/>
      <c r="AS122" s="409"/>
      <c r="AT122" s="409"/>
      <c r="AU122" s="409"/>
      <c r="AV122" s="409"/>
      <c r="AW122" s="409"/>
      <c r="AX122" s="409"/>
      <c r="AY122" s="409"/>
      <c r="AZ122" s="409"/>
      <c r="BA122" s="409"/>
      <c r="BB122" s="409"/>
      <c r="BC122" s="409"/>
      <c r="BD122" s="409"/>
      <c r="BE122" s="409"/>
      <c r="BF122" s="409"/>
      <c r="BG122" s="409"/>
      <c r="BH122" s="409"/>
      <c r="BI122" s="409"/>
      <c r="BJ122" s="323"/>
    </row>
    <row r="123" spans="1:62" s="312" customFormat="1">
      <c r="A123" s="344" t="s">
        <v>1583</v>
      </c>
      <c r="B123" s="508"/>
      <c r="C123" s="508"/>
      <c r="D123" s="403">
        <f>+D114/D33</f>
        <v>-0.4597779237991288</v>
      </c>
      <c r="E123" s="508"/>
      <c r="F123" s="508"/>
      <c r="G123" s="403">
        <f>+G114/G33</f>
        <v>-0.57869894522557386</v>
      </c>
      <c r="H123" s="508"/>
      <c r="I123" s="508"/>
      <c r="J123" s="403">
        <f>+J114/J33</f>
        <v>-8.639797825571896E-2</v>
      </c>
      <c r="K123" s="508"/>
      <c r="L123" s="508"/>
      <c r="M123" s="403">
        <f>+M114/M33</f>
        <v>-0.78730017090397608</v>
      </c>
      <c r="N123" s="403"/>
      <c r="O123" s="403"/>
      <c r="P123" s="403">
        <f t="shared" ref="P123:Q123" si="627">+P114/P33</f>
        <v>-0.55843304878198108</v>
      </c>
      <c r="Q123" s="403">
        <f t="shared" si="627"/>
        <v>3.3179282868525992E-2</v>
      </c>
      <c r="R123" s="403"/>
      <c r="S123" s="403">
        <f>+S114/S33</f>
        <v>0.28860526372143802</v>
      </c>
      <c r="T123" s="403"/>
      <c r="U123" s="403"/>
      <c r="V123" s="403">
        <f>+V114/V33</f>
        <v>0.89996470528916417</v>
      </c>
      <c r="W123" s="403"/>
      <c r="X123" s="403"/>
      <c r="Y123" s="403">
        <f>+Y114/Y33</f>
        <v>-0.21835615768763916</v>
      </c>
      <c r="Z123" s="403"/>
      <c r="AA123" s="403"/>
      <c r="AB123" s="827">
        <f>+AB114/AB33</f>
        <v>-0.17822018875002774</v>
      </c>
      <c r="AC123" s="403"/>
      <c r="AD123" s="403"/>
      <c r="AE123" s="403">
        <f t="shared" ref="AE123:AT123" si="628">+AE114/AE33</f>
        <v>1.5508939067693309E-3</v>
      </c>
      <c r="AF123" s="403"/>
      <c r="AG123" s="403"/>
      <c r="AH123" s="403">
        <f t="shared" si="628"/>
        <v>-0.4733764219948059</v>
      </c>
      <c r="AI123" s="403"/>
      <c r="AJ123" s="403"/>
      <c r="AK123" s="403">
        <f t="shared" si="628"/>
        <v>-0.5359772924775279</v>
      </c>
      <c r="AL123" s="403"/>
      <c r="AM123" s="403"/>
      <c r="AN123" s="403">
        <f t="shared" si="628"/>
        <v>-0.75696576659824177</v>
      </c>
      <c r="AO123" s="403"/>
      <c r="AP123" s="403"/>
      <c r="AQ123" s="403">
        <f t="shared" si="628"/>
        <v>-0.87081232221393512</v>
      </c>
      <c r="AR123" s="403"/>
      <c r="AS123" s="403"/>
      <c r="AT123" s="403">
        <f t="shared" si="628"/>
        <v>-0.9348596405367795</v>
      </c>
      <c r="AU123" s="403"/>
      <c r="AV123" s="403"/>
      <c r="AW123" s="403">
        <f t="shared" ref="AW123" si="629">+AW114/AW33</f>
        <v>-1.0120293471001751</v>
      </c>
      <c r="AX123" s="403"/>
      <c r="AY123" s="403"/>
      <c r="AZ123" s="403">
        <f t="shared" ref="AZ123:BC123" si="630">+AZ114/AZ33</f>
        <v>-1.0891102801637698</v>
      </c>
      <c r="BA123" s="403"/>
      <c r="BB123" s="403"/>
      <c r="BC123" s="403">
        <f t="shared" si="630"/>
        <v>-1.1545395254705331</v>
      </c>
      <c r="BD123" s="403"/>
      <c r="BE123" s="403"/>
      <c r="BF123" s="403">
        <f t="shared" ref="BF123" si="631">+BF114/BF33</f>
        <v>-1.2178235524770655</v>
      </c>
      <c r="BG123" s="403"/>
      <c r="BH123" s="403"/>
      <c r="BI123" s="403">
        <f t="shared" ref="BI123" si="632">+BI114/BI33</f>
        <v>-1.2814613638661314</v>
      </c>
      <c r="BJ123" s="347"/>
    </row>
    <row r="124" spans="1:62" s="312" customFormat="1">
      <c r="A124" s="386" t="s">
        <v>422</v>
      </c>
      <c r="B124" s="409">
        <f>B44/B48</f>
        <v>-48.800397219463761</v>
      </c>
      <c r="C124" s="409"/>
      <c r="D124" s="409">
        <f>D44/D48</f>
        <v>-43.973288814691159</v>
      </c>
      <c r="E124" s="409">
        <f>E44/E48</f>
        <v>-33.864417177914113</v>
      </c>
      <c r="F124" s="409"/>
      <c r="G124" s="409">
        <f>G44/G48</f>
        <v>-34.270110410094638</v>
      </c>
      <c r="H124" s="409">
        <f>H44/H48</f>
        <v>-41.669786096256679</v>
      </c>
      <c r="I124" s="409"/>
      <c r="J124" s="409">
        <f>J44/J48</f>
        <v>-32.084706657877383</v>
      </c>
      <c r="K124" s="409">
        <f>K44/K48</f>
        <v>-17.378095238095241</v>
      </c>
      <c r="L124" s="409"/>
      <c r="M124" s="409">
        <f>M44/M48</f>
        <v>-13.441780821917808</v>
      </c>
      <c r="N124" s="409">
        <f>N44/N48</f>
        <v>-20.986246672582077</v>
      </c>
      <c r="O124" s="409"/>
      <c r="P124" s="409">
        <f>P44/P48</f>
        <v>-15.113548244156421</v>
      </c>
      <c r="Q124" s="409">
        <f>Q44/Q48</f>
        <v>-32.127641347801259</v>
      </c>
      <c r="R124" s="409"/>
      <c r="S124" s="409">
        <f>S44/S48</f>
        <v>-18.34173800867832</v>
      </c>
      <c r="T124" s="409"/>
      <c r="U124" s="409"/>
      <c r="V124" s="409">
        <f t="shared" ref="V124:AT124" si="633">V44/V48</f>
        <v>-8.1797907750832142</v>
      </c>
      <c r="W124" s="409"/>
      <c r="X124" s="409"/>
      <c r="Y124" s="409">
        <f t="shared" ref="Y124" si="634">Y44/Y48</f>
        <v>-9.273594327374413</v>
      </c>
      <c r="Z124" s="409"/>
      <c r="AA124" s="409"/>
      <c r="AB124" s="831">
        <f t="shared" si="633"/>
        <v>-13.946413962367059</v>
      </c>
      <c r="AC124" s="409"/>
      <c r="AD124" s="409"/>
      <c r="AE124" s="409">
        <f>AE44/AE48</f>
        <v>-12.370950921057529</v>
      </c>
      <c r="AF124" s="409"/>
      <c r="AG124" s="409"/>
      <c r="AH124" s="409">
        <f t="shared" si="633"/>
        <v>-16.56332026224554</v>
      </c>
      <c r="AI124" s="409"/>
      <c r="AJ124" s="409"/>
      <c r="AK124" s="409">
        <f t="shared" si="633"/>
        <v>-24.688641395314423</v>
      </c>
      <c r="AL124" s="409"/>
      <c r="AM124" s="409"/>
      <c r="AN124" s="409">
        <f t="shared" si="633"/>
        <v>-29.010944961659067</v>
      </c>
      <c r="AO124" s="409"/>
      <c r="AP124" s="409"/>
      <c r="AQ124" s="409">
        <f t="shared" si="633"/>
        <v>-37.305432599146322</v>
      </c>
      <c r="AR124" s="409"/>
      <c r="AS124" s="409"/>
      <c r="AT124" s="409">
        <f t="shared" si="633"/>
        <v>-44.88794584602001</v>
      </c>
      <c r="AU124" s="409"/>
      <c r="AV124" s="409"/>
      <c r="AW124" s="409">
        <f t="shared" ref="AW124" si="635">AW44/AW48</f>
        <v>-62.011277138001773</v>
      </c>
      <c r="AX124" s="409"/>
      <c r="AY124" s="409"/>
      <c r="AZ124" s="409">
        <f t="shared" ref="AZ124:BC124" si="636">AZ44/AZ48</f>
        <v>-82.669787042239463</v>
      </c>
      <c r="BA124" s="409"/>
      <c r="BB124" s="409"/>
      <c r="BC124" s="409">
        <f t="shared" si="636"/>
        <v>-109.43495990453283</v>
      </c>
      <c r="BD124" s="409"/>
      <c r="BE124" s="409"/>
      <c r="BF124" s="409">
        <f t="shared" ref="BF124" si="637">BF44/BF48</f>
        <v>-160.3029579326101</v>
      </c>
      <c r="BG124" s="409"/>
      <c r="BH124" s="409"/>
      <c r="BI124" s="409">
        <f t="shared" ref="BI124" si="638">BI44/BI48</f>
        <v>-283.73375503673856</v>
      </c>
      <c r="BJ124" s="323"/>
    </row>
    <row r="125" spans="1:62" s="312" customFormat="1">
      <c r="A125" s="312" t="s">
        <v>1591</v>
      </c>
      <c r="B125" s="414">
        <f>B88/B5</f>
        <v>1.4995518445136337E-2</v>
      </c>
      <c r="C125" s="414"/>
      <c r="D125" s="414">
        <f>D88/D5</f>
        <v>1.7778460146632261E-2</v>
      </c>
      <c r="E125" s="414">
        <f>E88/E5</f>
        <v>1.638774292312083E-2</v>
      </c>
      <c r="F125" s="414"/>
      <c r="G125" s="414">
        <f>G88/G5</f>
        <v>2.0390956973885103E-2</v>
      </c>
      <c r="H125" s="414">
        <f>H88/H5</f>
        <v>1.8529830529258284E-2</v>
      </c>
      <c r="I125" s="414"/>
      <c r="J125" s="414">
        <f>J88/J5</f>
        <v>2.1864107257288799E-2</v>
      </c>
      <c r="K125" s="414">
        <f>K88/K5</f>
        <v>2.2033063180891033E-2</v>
      </c>
      <c r="L125" s="414"/>
      <c r="M125" s="414">
        <f>M88/M5</f>
        <v>2.3458273299700499E-2</v>
      </c>
      <c r="N125" s="414">
        <f>N88/N5</f>
        <v>2.5057738994427241E-2</v>
      </c>
      <c r="O125" s="414"/>
      <c r="P125" s="414">
        <f>P88/P5</f>
        <v>2.2622655156067522E-2</v>
      </c>
      <c r="Q125" s="414">
        <f>Q88/Q5</f>
        <v>1.4782754174258728E-2</v>
      </c>
      <c r="R125" s="414"/>
      <c r="S125" s="414">
        <f t="shared" ref="S125:BF125" si="639">S88/S5</f>
        <v>2.1477721376198532E-2</v>
      </c>
      <c r="T125" s="414">
        <f t="shared" si="639"/>
        <v>2.3398727698404388E-2</v>
      </c>
      <c r="U125" s="414">
        <f t="shared" si="639"/>
        <v>4.2953211075980977E-2</v>
      </c>
      <c r="V125" s="414">
        <f t="shared" si="639"/>
        <v>3.1207517615183478E-2</v>
      </c>
      <c r="W125" s="414">
        <f t="shared" si="639"/>
        <v>3.1161407413295181E-2</v>
      </c>
      <c r="X125" s="414">
        <f t="shared" si="639"/>
        <v>5.055200651002454E-2</v>
      </c>
      <c r="Y125" s="414">
        <f t="shared" ref="Y125" si="640">Y88/Y5</f>
        <v>3.9075342174768123E-2</v>
      </c>
      <c r="Z125" s="414">
        <f t="shared" si="639"/>
        <v>3.2874185463659153E-2</v>
      </c>
      <c r="AA125" s="414">
        <f t="shared" ref="AA125" si="641">AA88/AA5</f>
        <v>4.9397902276943496E-2</v>
      </c>
      <c r="AB125" s="988">
        <f t="shared" si="639"/>
        <v>3.968522019084602E-2</v>
      </c>
      <c r="AC125" s="414">
        <f t="shared" si="639"/>
        <v>3.3618822244470735E-2</v>
      </c>
      <c r="AD125" s="414">
        <f t="shared" si="639"/>
        <v>4.9091647571669665E-2</v>
      </c>
      <c r="AE125" s="414">
        <f t="shared" si="639"/>
        <v>3.9908915205024785E-2</v>
      </c>
      <c r="AF125" s="414">
        <f t="shared" ref="AF125:AG125" si="642">AF88/AF5</f>
        <v>3.3988173473242393E-2</v>
      </c>
      <c r="AG125" s="414">
        <f t="shared" si="642"/>
        <v>4.6604740915843004E-2</v>
      </c>
      <c r="AH125" s="414">
        <f t="shared" si="639"/>
        <v>3.9308915205024782E-2</v>
      </c>
      <c r="AI125" s="414">
        <f t="shared" si="639"/>
        <v>3.4518870234662768E-2</v>
      </c>
      <c r="AJ125" s="414">
        <f t="shared" si="639"/>
        <v>4.4316638049853439E-2</v>
      </c>
      <c r="AK125" s="414">
        <f t="shared" si="639"/>
        <v>3.8808915205024781E-2</v>
      </c>
      <c r="AL125" s="414"/>
      <c r="AM125" s="414"/>
      <c r="AN125" s="414">
        <f t="shared" si="639"/>
        <v>3.8308915205024781E-2</v>
      </c>
      <c r="AO125" s="414"/>
      <c r="AP125" s="414"/>
      <c r="AQ125" s="414">
        <f t="shared" si="639"/>
        <v>3.780891520502478E-2</v>
      </c>
      <c r="AR125" s="414"/>
      <c r="AS125" s="414"/>
      <c r="AT125" s="414">
        <f t="shared" si="639"/>
        <v>3.7308915205024787E-2</v>
      </c>
      <c r="AU125" s="414"/>
      <c r="AV125" s="414"/>
      <c r="AW125" s="414">
        <f t="shared" si="639"/>
        <v>3.730891520502478E-2</v>
      </c>
      <c r="AX125" s="414"/>
      <c r="AY125" s="414"/>
      <c r="AZ125" s="414">
        <f t="shared" si="639"/>
        <v>3.730891520502478E-2</v>
      </c>
      <c r="BA125" s="414"/>
      <c r="BB125" s="414"/>
      <c r="BC125" s="414">
        <f t="shared" si="639"/>
        <v>3.730891520502478E-2</v>
      </c>
      <c r="BD125" s="414"/>
      <c r="BE125" s="414"/>
      <c r="BF125" s="414">
        <f t="shared" si="639"/>
        <v>3.7308915205024787E-2</v>
      </c>
      <c r="BG125" s="414"/>
      <c r="BH125" s="414"/>
      <c r="BI125" s="414">
        <f t="shared" ref="BI125" si="643">BI88/BI5</f>
        <v>3.7308915205024787E-2</v>
      </c>
      <c r="BJ125" s="332"/>
    </row>
    <row r="126" spans="1:62" s="312" customFormat="1">
      <c r="A126" s="312" t="s">
        <v>491</v>
      </c>
      <c r="B126" s="414">
        <f>-(B96+B97)/B5</f>
        <v>2.7251981318992362E-2</v>
      </c>
      <c r="C126" s="414"/>
      <c r="D126" s="414">
        <f>-(D96+D97)/D5</f>
        <v>3.189854275728745E-2</v>
      </c>
      <c r="E126" s="414">
        <f>-(E96+E97)/E5</f>
        <v>1.6644612231130482E-2</v>
      </c>
      <c r="F126" s="414"/>
      <c r="G126" s="414">
        <f>-(G96+G97)/G5</f>
        <v>2.9838368478174223E-2</v>
      </c>
      <c r="H126" s="414">
        <f>-(H96+H97)/H5</f>
        <v>2.5024354464758123E-2</v>
      </c>
      <c r="I126" s="414"/>
      <c r="J126" s="414">
        <f>-(J96+J97)/J5</f>
        <v>3.7470048041559692E-2</v>
      </c>
      <c r="K126" s="414">
        <f>-(K96+K97)/K5</f>
        <v>3.4898212791241119E-2</v>
      </c>
      <c r="L126" s="414"/>
      <c r="M126" s="414">
        <f>-(M96+M97)/M5</f>
        <v>4.0300595225593434E-2</v>
      </c>
      <c r="N126" s="414">
        <f>-(N96+N97)/N5</f>
        <v>2.5486737613192343E-2</v>
      </c>
      <c r="O126" s="414"/>
      <c r="P126" s="414">
        <f>-(P96+P97)/P5</f>
        <v>2.6198597408852203E-2</v>
      </c>
      <c r="Q126" s="414">
        <f>-(Q96+Q97)/Q5</f>
        <v>2.0412924695473442E-2</v>
      </c>
      <c r="R126" s="414"/>
      <c r="S126" s="414">
        <f t="shared" ref="S126:BF126" si="644">-(S96+S97)/S5</f>
        <v>3.009870276367738E-2</v>
      </c>
      <c r="T126" s="414">
        <f t="shared" si="644"/>
        <v>2.6808649128319127E-2</v>
      </c>
      <c r="U126" s="414">
        <f t="shared" si="644"/>
        <v>4.9850720487448839E-2</v>
      </c>
      <c r="V126" s="414">
        <f t="shared" si="644"/>
        <v>3.6010182921962945E-2</v>
      </c>
      <c r="W126" s="414">
        <f t="shared" si="644"/>
        <v>3.4383859258670484E-2</v>
      </c>
      <c r="X126" s="414">
        <f t="shared" si="644"/>
        <v>4.9614908981399024E-2</v>
      </c>
      <c r="Y126" s="414">
        <f t="shared" ref="Y126" si="645">-(Y96+Y97)/Y5</f>
        <v>4.0600839350245395E-2</v>
      </c>
      <c r="Z126" s="414">
        <f t="shared" si="644"/>
        <v>4.2161403508771934E-2</v>
      </c>
      <c r="AA126" s="414">
        <f t="shared" ref="AA126" si="646">-(AA96+AA97)/AA5</f>
        <v>6.5080048459605314E-2</v>
      </c>
      <c r="AB126" s="988">
        <f t="shared" si="644"/>
        <v>5.1608233410018335E-2</v>
      </c>
      <c r="AC126" s="414">
        <f t="shared" si="644"/>
        <v>4.1939564940384089E-2</v>
      </c>
      <c r="AD126" s="414">
        <f t="shared" si="644"/>
        <v>4.6454027332752758E-2</v>
      </c>
      <c r="AE126" s="414">
        <f t="shared" si="644"/>
        <v>4.3774807535995088E-2</v>
      </c>
      <c r="AF126" s="414">
        <f t="shared" ref="AF126:AG126" si="647">-(AF96+AF97)/AF5</f>
        <v>4.3206015037593991E-2</v>
      </c>
      <c r="AG126" s="414">
        <f t="shared" si="647"/>
        <v>3.9079447227250978E-2</v>
      </c>
      <c r="AH126" s="414">
        <f t="shared" si="644"/>
        <v>4.1465731742837859E-2</v>
      </c>
      <c r="AI126" s="414">
        <f t="shared" si="644"/>
        <v>4.3106015037593988E-2</v>
      </c>
      <c r="AJ126" s="414">
        <f t="shared" si="644"/>
        <v>3.8674722277483517E-2</v>
      </c>
      <c r="AK126" s="414">
        <f t="shared" si="644"/>
        <v>4.1165731742837865E-2</v>
      </c>
      <c r="AL126" s="414"/>
      <c r="AM126" s="414"/>
      <c r="AN126" s="414">
        <f t="shared" si="644"/>
        <v>4.086573174283787E-2</v>
      </c>
      <c r="AO126" s="414"/>
      <c r="AP126" s="414"/>
      <c r="AQ126" s="414">
        <f t="shared" si="644"/>
        <v>4.0565731742837868E-2</v>
      </c>
      <c r="AR126" s="414"/>
      <c r="AS126" s="414"/>
      <c r="AT126" s="414">
        <f t="shared" si="644"/>
        <v>4.0265731742837867E-2</v>
      </c>
      <c r="AU126" s="414"/>
      <c r="AV126" s="414"/>
      <c r="AW126" s="414">
        <f t="shared" si="644"/>
        <v>3.9965731742837858E-2</v>
      </c>
      <c r="AX126" s="414"/>
      <c r="AY126" s="414"/>
      <c r="AZ126" s="414">
        <f t="shared" si="644"/>
        <v>3.9665731742837856E-2</v>
      </c>
      <c r="BA126" s="414"/>
      <c r="BB126" s="414"/>
      <c r="BC126" s="414">
        <f t="shared" si="644"/>
        <v>3.9365731742837862E-2</v>
      </c>
      <c r="BD126" s="414"/>
      <c r="BE126" s="414"/>
      <c r="BF126" s="414">
        <f t="shared" si="644"/>
        <v>3.9065731742837853E-2</v>
      </c>
      <c r="BG126" s="414"/>
      <c r="BH126" s="414"/>
      <c r="BI126" s="414">
        <f t="shared" ref="BI126" si="648">-(BI96+BI97)/BI5</f>
        <v>3.8765731742837858E-2</v>
      </c>
      <c r="BJ126" s="387"/>
    </row>
    <row r="127" spans="1:62" s="312" customFormat="1">
      <c r="B127" s="414"/>
      <c r="C127" s="414"/>
      <c r="D127" s="414"/>
      <c r="E127" s="414"/>
      <c r="F127" s="414"/>
      <c r="G127" s="414"/>
      <c r="H127" s="414"/>
      <c r="I127" s="414"/>
      <c r="J127" s="414"/>
      <c r="K127" s="414"/>
      <c r="L127" s="414"/>
      <c r="M127" s="414"/>
      <c r="N127" s="414"/>
      <c r="O127" s="414"/>
      <c r="P127" s="414"/>
      <c r="Q127" s="414"/>
      <c r="R127" s="414"/>
      <c r="S127" s="414"/>
      <c r="T127" s="414"/>
      <c r="U127" s="414"/>
      <c r="V127" s="414"/>
      <c r="W127" s="414"/>
      <c r="X127" s="414"/>
      <c r="Y127" s="414"/>
      <c r="Z127" s="414"/>
      <c r="AA127" s="414"/>
      <c r="AB127" s="988"/>
      <c r="AC127" s="414"/>
      <c r="AD127" s="414"/>
      <c r="AE127" s="414"/>
      <c r="AF127" s="414"/>
      <c r="AG127" s="414"/>
      <c r="AH127" s="414"/>
      <c r="AI127" s="414"/>
      <c r="AJ127" s="414"/>
      <c r="AK127" s="414"/>
      <c r="AL127" s="414"/>
      <c r="AM127" s="414"/>
      <c r="AN127" s="414"/>
      <c r="AO127" s="414"/>
      <c r="AP127" s="414"/>
      <c r="AQ127" s="414"/>
      <c r="AR127" s="414"/>
      <c r="AS127" s="414"/>
      <c r="AT127" s="414"/>
      <c r="AU127" s="414"/>
      <c r="AV127" s="414"/>
      <c r="AW127" s="414"/>
      <c r="AX127" s="414"/>
      <c r="AY127" s="414"/>
      <c r="AZ127" s="414"/>
      <c r="BA127" s="414"/>
      <c r="BB127" s="414"/>
      <c r="BC127" s="414"/>
      <c r="BD127" s="414"/>
      <c r="BE127" s="414"/>
      <c r="BF127" s="414"/>
      <c r="BG127" s="414"/>
      <c r="BH127" s="414"/>
      <c r="BI127" s="414"/>
      <c r="BJ127" s="387"/>
    </row>
    <row r="128" spans="1:62" s="312" customFormat="1">
      <c r="A128" s="312" t="s">
        <v>1893</v>
      </c>
      <c r="B128" s="402"/>
      <c r="C128" s="402"/>
      <c r="D128" s="402"/>
      <c r="E128" s="402"/>
      <c r="F128" s="402"/>
      <c r="G128" s="402"/>
      <c r="H128" s="402"/>
      <c r="I128" s="402"/>
      <c r="J128" s="402"/>
      <c r="K128" s="402"/>
      <c r="L128" s="402"/>
      <c r="M128" s="402"/>
      <c r="N128" s="402"/>
      <c r="O128" s="402"/>
      <c r="P128" s="402"/>
      <c r="Q128" s="402"/>
      <c r="R128" s="402"/>
      <c r="S128" s="402"/>
      <c r="T128" s="402"/>
      <c r="U128" s="402"/>
      <c r="V128" s="402"/>
      <c r="W128" s="402"/>
      <c r="X128" s="402"/>
      <c r="Y128" s="402"/>
      <c r="Z128" s="402"/>
      <c r="AA128" s="402"/>
      <c r="AB128" s="83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c r="AW128" s="402"/>
      <c r="AX128" s="402"/>
      <c r="AY128" s="402"/>
      <c r="AZ128" s="402"/>
      <c r="BA128" s="402"/>
      <c r="BB128" s="402"/>
      <c r="BC128" s="402"/>
      <c r="BD128" s="402"/>
      <c r="BE128" s="402"/>
      <c r="BF128" s="402"/>
      <c r="BG128" s="402"/>
      <c r="BH128" s="402"/>
      <c r="BI128" s="402"/>
      <c r="BJ128" s="341"/>
    </row>
    <row r="129" spans="1:62" s="312" customFormat="1">
      <c r="B129" s="509"/>
      <c r="C129" s="509"/>
      <c r="D129" s="509"/>
      <c r="E129" s="509"/>
      <c r="F129" s="509"/>
      <c r="G129" s="509"/>
      <c r="H129" s="509"/>
      <c r="I129" s="509"/>
      <c r="J129" s="509"/>
      <c r="K129" s="509"/>
      <c r="L129" s="509"/>
      <c r="M129" s="509"/>
      <c r="N129" s="509"/>
      <c r="O129" s="509"/>
      <c r="P129" s="509"/>
      <c r="Q129" s="509"/>
      <c r="R129" s="402"/>
      <c r="S129" s="402"/>
      <c r="T129" s="402"/>
      <c r="U129" s="402"/>
      <c r="V129" s="402"/>
      <c r="W129" s="402"/>
      <c r="X129" s="402"/>
      <c r="Y129" s="402"/>
      <c r="Z129" s="402"/>
      <c r="AA129" s="402"/>
      <c r="AB129" s="83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c r="AW129" s="402"/>
      <c r="AX129" s="402"/>
      <c r="AY129" s="402"/>
      <c r="AZ129" s="402"/>
      <c r="BA129" s="402"/>
      <c r="BB129" s="402"/>
      <c r="BC129" s="402"/>
      <c r="BD129" s="402"/>
      <c r="BE129" s="402"/>
      <c r="BF129" s="402"/>
      <c r="BG129" s="402"/>
      <c r="BH129" s="402"/>
      <c r="BI129" s="402"/>
      <c r="BJ129" s="341"/>
    </row>
    <row r="130" spans="1:62">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850"/>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331"/>
    </row>
    <row r="131" spans="1:62">
      <c r="A131" s="316" t="s">
        <v>423</v>
      </c>
      <c r="B131" s="395"/>
      <c r="C131" s="395"/>
      <c r="D131" s="395"/>
      <c r="E131" s="395"/>
      <c r="F131" s="395"/>
      <c r="G131" s="395"/>
      <c r="H131" s="395"/>
      <c r="I131" s="395"/>
      <c r="J131" s="395"/>
      <c r="K131" s="395"/>
      <c r="L131" s="395"/>
      <c r="M131" s="395"/>
      <c r="N131" s="395"/>
      <c r="O131" s="395"/>
      <c r="P131" s="395"/>
      <c r="Q131" s="395"/>
      <c r="R131" s="395"/>
      <c r="S131" s="395"/>
      <c r="T131" s="395"/>
      <c r="U131" s="395"/>
      <c r="V131" s="395"/>
      <c r="W131" s="395"/>
      <c r="X131" s="395"/>
      <c r="Y131" s="395"/>
      <c r="Z131" s="395"/>
      <c r="AA131" s="395"/>
      <c r="AB131" s="824"/>
      <c r="AC131" s="395"/>
      <c r="AD131" s="395"/>
      <c r="AE131" s="395"/>
      <c r="AF131" s="395"/>
      <c r="AG131" s="395"/>
      <c r="AH131" s="395"/>
      <c r="AI131" s="395"/>
      <c r="AJ131" s="395"/>
      <c r="AK131" s="395"/>
      <c r="AL131" s="395"/>
      <c r="AM131" s="395"/>
      <c r="AN131" s="395"/>
      <c r="AO131" s="395"/>
      <c r="AP131" s="395"/>
      <c r="AQ131" s="395"/>
      <c r="AR131" s="395"/>
      <c r="AS131" s="395"/>
      <c r="AT131" s="395"/>
      <c r="AU131" s="395"/>
      <c r="AV131" s="395"/>
      <c r="AW131" s="395"/>
      <c r="AX131" s="395"/>
      <c r="AY131" s="395"/>
      <c r="AZ131" s="395"/>
      <c r="BA131" s="395"/>
      <c r="BB131" s="395"/>
      <c r="BC131" s="395"/>
      <c r="BD131" s="395"/>
      <c r="BE131" s="395"/>
      <c r="BF131" s="395"/>
      <c r="BG131" s="395"/>
      <c r="BH131" s="395"/>
      <c r="BI131" s="395"/>
      <c r="BJ131" s="350"/>
    </row>
    <row r="132" spans="1:62" s="312" customFormat="1">
      <c r="A132" s="344" t="s">
        <v>424</v>
      </c>
      <c r="B132" s="363"/>
      <c r="C132" s="363"/>
      <c r="D132" s="363"/>
      <c r="E132" s="363"/>
      <c r="F132" s="363"/>
      <c r="G132" s="420"/>
      <c r="H132" s="420"/>
      <c r="I132" s="420"/>
      <c r="J132" s="420"/>
      <c r="K132" s="420"/>
      <c r="L132" s="420"/>
      <c r="M132" s="420"/>
      <c r="N132" s="420"/>
      <c r="O132" s="420"/>
      <c r="P132" s="420"/>
      <c r="Q132" s="420"/>
      <c r="R132" s="420"/>
      <c r="S132" s="420"/>
      <c r="T132" s="420"/>
      <c r="U132" s="420"/>
      <c r="V132" s="420"/>
      <c r="W132" s="420"/>
      <c r="X132" s="420"/>
      <c r="Y132" s="420"/>
      <c r="Z132" s="420"/>
      <c r="AA132" s="420"/>
      <c r="AB132" s="848"/>
      <c r="AC132" s="420"/>
      <c r="AD132" s="420"/>
      <c r="AE132" s="420"/>
      <c r="AF132" s="420"/>
      <c r="AG132" s="420"/>
      <c r="AH132" s="420"/>
      <c r="AI132" s="420"/>
      <c r="AJ132" s="420"/>
      <c r="AK132" s="420"/>
      <c r="AL132" s="420"/>
      <c r="AM132" s="420"/>
      <c r="AN132" s="420"/>
      <c r="AO132" s="420"/>
      <c r="AP132" s="420"/>
      <c r="AQ132" s="420"/>
      <c r="AR132" s="420"/>
      <c r="AS132" s="420"/>
      <c r="AT132" s="420"/>
      <c r="AU132" s="420"/>
      <c r="AV132" s="420"/>
      <c r="AW132" s="420"/>
      <c r="AX132" s="420"/>
      <c r="AY132" s="420"/>
      <c r="AZ132" s="420"/>
      <c r="BA132" s="420"/>
      <c r="BB132" s="420"/>
      <c r="BC132" s="420"/>
      <c r="BD132" s="420"/>
      <c r="BE132" s="420"/>
      <c r="BF132" s="420"/>
      <c r="BG132" s="420"/>
      <c r="BH132" s="420"/>
      <c r="BI132" s="420"/>
      <c r="BJ132" s="388"/>
    </row>
    <row r="133" spans="1:62" s="312" customFormat="1">
      <c r="A133" s="312" t="s">
        <v>425</v>
      </c>
      <c r="B133" s="497">
        <v>64.048000000000002</v>
      </c>
      <c r="C133" s="409">
        <f>D133</f>
        <v>77.123999999999995</v>
      </c>
      <c r="D133" s="497">
        <v>77.123999999999995</v>
      </c>
      <c r="E133" s="497">
        <v>94.820999999999998</v>
      </c>
      <c r="F133" s="409">
        <f>G133</f>
        <v>103.316</v>
      </c>
      <c r="G133" s="497">
        <v>103.316</v>
      </c>
      <c r="H133" s="497">
        <v>66.158000000000001</v>
      </c>
      <c r="I133" s="409">
        <f>J133</f>
        <v>57.128999999999998</v>
      </c>
      <c r="J133" s="497">
        <v>57.128999999999998</v>
      </c>
      <c r="K133" s="497">
        <v>116.14700000000001</v>
      </c>
      <c r="L133" s="409">
        <f>M133</f>
        <v>128.45699999999999</v>
      </c>
      <c r="M133" s="497">
        <v>128.45699999999999</v>
      </c>
      <c r="N133" s="497">
        <v>105.372</v>
      </c>
      <c r="O133" s="409">
        <f>P133</f>
        <v>129.90700000000001</v>
      </c>
      <c r="P133" s="497">
        <v>129.90700000000001</v>
      </c>
      <c r="Q133" s="497">
        <v>178.119</v>
      </c>
      <c r="R133" s="409">
        <f>S133</f>
        <v>168.256</v>
      </c>
      <c r="S133" s="497">
        <v>168.256</v>
      </c>
      <c r="T133" s="894">
        <v>115.199</v>
      </c>
      <c r="U133" s="399">
        <f>V133</f>
        <v>84.155000000000001</v>
      </c>
      <c r="V133" s="497">
        <v>84.155000000000001</v>
      </c>
      <c r="W133" s="1185">
        <v>146.16999999999999</v>
      </c>
      <c r="X133" s="409">
        <f>Y133</f>
        <v>137.77199999999999</v>
      </c>
      <c r="Y133" s="497">
        <v>137.77199999999999</v>
      </c>
      <c r="Z133" s="1185">
        <v>121.622</v>
      </c>
      <c r="AA133" s="409">
        <f>AB133</f>
        <v>105.74</v>
      </c>
      <c r="AB133" s="858">
        <v>105.74</v>
      </c>
      <c r="AC133" s="1185">
        <v>176.84100000000001</v>
      </c>
      <c r="AD133" s="409">
        <f>AE133</f>
        <v>136.84819726611656</v>
      </c>
      <c r="AE133" s="409">
        <f>AB133+AE109</f>
        <v>136.84819726611656</v>
      </c>
      <c r="AF133" s="409" t="e">
        <f>AE133+AF109</f>
        <v>#REF!</v>
      </c>
      <c r="AG133" s="409">
        <f>AH133</f>
        <v>228.18492695204267</v>
      </c>
      <c r="AH133" s="409">
        <f>AE133+AH109</f>
        <v>228.18492695204267</v>
      </c>
      <c r="AI133" s="409" t="e">
        <f>AH133+AI109</f>
        <v>#REF!</v>
      </c>
      <c r="AJ133" s="409">
        <f>AK133</f>
        <v>269.28535129254738</v>
      </c>
      <c r="AK133" s="409">
        <f>AH133+AK109</f>
        <v>269.28535129254738</v>
      </c>
      <c r="AL133" s="409"/>
      <c r="AM133" s="409"/>
      <c r="AN133" s="409">
        <f>AK133+AN109</f>
        <v>384.87063603978692</v>
      </c>
      <c r="AO133" s="409"/>
      <c r="AP133" s="409"/>
      <c r="AQ133" s="409">
        <f>AN133+AQ109</f>
        <v>476.95226036931723</v>
      </c>
      <c r="AR133" s="409"/>
      <c r="AS133" s="409"/>
      <c r="AT133" s="409">
        <f>AQ133+AT109</f>
        <v>561.90148900095528</v>
      </c>
      <c r="AU133" s="409"/>
      <c r="AV133" s="409"/>
      <c r="AW133" s="409">
        <f>AT133+AW109</f>
        <v>666.53835618827475</v>
      </c>
      <c r="AX133" s="409"/>
      <c r="AY133" s="409"/>
      <c r="AZ133" s="409">
        <f>AW133+AZ109</f>
        <v>789.83301614113213</v>
      </c>
      <c r="BA133" s="409"/>
      <c r="BB133" s="409"/>
      <c r="BC133" s="409">
        <f>AZ133+BC109</f>
        <v>926.38408152016643</v>
      </c>
      <c r="BD133" s="409"/>
      <c r="BE133" s="409"/>
      <c r="BF133" s="409">
        <f>BC133+BF109</f>
        <v>1084.4796386992655</v>
      </c>
      <c r="BG133" s="409"/>
      <c r="BH133" s="409"/>
      <c r="BI133" s="409">
        <f t="shared" ref="BI133" si="649">BF133+BI109</f>
        <v>1267.4942406104535</v>
      </c>
      <c r="BJ133" s="323"/>
    </row>
    <row r="134" spans="1:62" s="312" customFormat="1">
      <c r="A134" s="312" t="s">
        <v>1146</v>
      </c>
      <c r="B134" s="497">
        <v>158.38800000000001</v>
      </c>
      <c r="C134" s="409">
        <f t="shared" ref="C134:C136" si="650">D134</f>
        <v>106.41500000000001</v>
      </c>
      <c r="D134" s="497">
        <v>106.41500000000001</v>
      </c>
      <c r="E134" s="497">
        <v>171.28700000000001</v>
      </c>
      <c r="F134" s="409">
        <f t="shared" ref="F134:F136" si="651">G134</f>
        <v>104.42</v>
      </c>
      <c r="G134" s="497">
        <v>104.42</v>
      </c>
      <c r="H134" s="497">
        <v>217.279</v>
      </c>
      <c r="I134" s="409">
        <f t="shared" ref="I134:I136" si="652">J134</f>
        <v>154.595</v>
      </c>
      <c r="J134" s="497">
        <v>154.595</v>
      </c>
      <c r="K134" s="497">
        <v>257.39800000000002</v>
      </c>
      <c r="L134" s="409">
        <f t="shared" ref="L134:L136" si="653">M134</f>
        <v>156.10599999999999</v>
      </c>
      <c r="M134" s="497">
        <v>156.10599999999999</v>
      </c>
      <c r="N134" s="497">
        <v>270.65899999999999</v>
      </c>
      <c r="O134" s="409">
        <f t="shared" ref="O134:O136" si="654">P134</f>
        <v>119.33499999999999</v>
      </c>
      <c r="P134" s="497">
        <v>119.33499999999999</v>
      </c>
      <c r="Q134" s="497">
        <v>375.40600000000001</v>
      </c>
      <c r="R134" s="409">
        <f t="shared" ref="R134:R136" si="655">S134</f>
        <v>194.202</v>
      </c>
      <c r="S134" s="497">
        <v>194.202</v>
      </c>
      <c r="T134" s="894">
        <v>388.83499999999998</v>
      </c>
      <c r="U134" s="399">
        <f>V134</f>
        <v>276.75299999999999</v>
      </c>
      <c r="V134" s="497">
        <v>276.75299999999999</v>
      </c>
      <c r="W134" s="1185">
        <v>449.803</v>
      </c>
      <c r="X134" s="409">
        <f>Y134</f>
        <v>282.017</v>
      </c>
      <c r="Y134" s="497">
        <v>282.017</v>
      </c>
      <c r="Z134" s="1185">
        <v>479.149</v>
      </c>
      <c r="AA134" s="409">
        <f>AB134</f>
        <v>302.33300000000003</v>
      </c>
      <c r="AB134" s="858">
        <v>302.33300000000003</v>
      </c>
      <c r="AC134" s="1185">
        <v>515.74400000000003</v>
      </c>
      <c r="AD134" s="409">
        <f>AE134</f>
        <v>329.6835763171614</v>
      </c>
      <c r="AE134" s="409">
        <f t="shared" ref="AE134:BF134" si="656">AE5/365*AE193</f>
        <v>329.6835763171614</v>
      </c>
      <c r="AF134" s="409">
        <f>AF5/181*AF193</f>
        <v>390.41735937815844</v>
      </c>
      <c r="AG134" s="409">
        <f>AH134</f>
        <v>306.89727496511472</v>
      </c>
      <c r="AH134" s="409">
        <f t="shared" si="656"/>
        <v>306.89727496511472</v>
      </c>
      <c r="AI134" s="409">
        <f>AI5/181*AI193</f>
        <v>384.79690690937423</v>
      </c>
      <c r="AJ134" s="409">
        <f>AK134</f>
        <v>339.44729199674953</v>
      </c>
      <c r="AK134" s="409">
        <f t="shared" si="656"/>
        <v>339.44729199674953</v>
      </c>
      <c r="AL134" s="409"/>
      <c r="AM134" s="409"/>
      <c r="AN134" s="409">
        <f t="shared" si="656"/>
        <v>375.73770935354446</v>
      </c>
      <c r="AO134" s="409"/>
      <c r="AP134" s="409"/>
      <c r="AQ134" s="409">
        <f t="shared" si="656"/>
        <v>415.16033315749365</v>
      </c>
      <c r="AR134" s="409"/>
      <c r="AS134" s="409"/>
      <c r="AT134" s="409">
        <f t="shared" si="656"/>
        <v>458.39404328875469</v>
      </c>
      <c r="AU134" s="409"/>
      <c r="AV134" s="409"/>
      <c r="AW134" s="409">
        <f t="shared" si="656"/>
        <v>506.50196205807504</v>
      </c>
      <c r="AX134" s="409"/>
      <c r="AY134" s="409"/>
      <c r="AZ134" s="409">
        <f t="shared" si="656"/>
        <v>560.06293155607841</v>
      </c>
      <c r="BA134" s="409"/>
      <c r="BB134" s="409"/>
      <c r="BC134" s="409">
        <f t="shared" si="656"/>
        <v>619.72765513396655</v>
      </c>
      <c r="BD134" s="409"/>
      <c r="BE134" s="409"/>
      <c r="BF134" s="409">
        <f t="shared" si="656"/>
        <v>686.22798800332816</v>
      </c>
      <c r="BG134" s="409"/>
      <c r="BH134" s="409"/>
      <c r="BI134" s="409">
        <f t="shared" ref="BI134" si="657">BI5/365*BI193</f>
        <v>760.3874728044733</v>
      </c>
      <c r="BJ134" s="323"/>
    </row>
    <row r="135" spans="1:62" s="312" customFormat="1">
      <c r="A135" s="312" t="s">
        <v>1142</v>
      </c>
      <c r="B135" s="497">
        <v>91.777000000000001</v>
      </c>
      <c r="C135" s="409">
        <f t="shared" si="650"/>
        <v>116.562</v>
      </c>
      <c r="D135" s="497">
        <v>116.562</v>
      </c>
      <c r="E135" s="497">
        <v>116.30800000000001</v>
      </c>
      <c r="F135" s="409">
        <f t="shared" si="651"/>
        <v>99.668999999999997</v>
      </c>
      <c r="G135" s="497">
        <v>99.668999999999997</v>
      </c>
      <c r="H135" s="497">
        <v>112.006</v>
      </c>
      <c r="I135" s="409">
        <f t="shared" si="652"/>
        <v>152.32499999999999</v>
      </c>
      <c r="J135" s="497">
        <v>152.32499999999999</v>
      </c>
      <c r="K135" s="497">
        <v>175.17</v>
      </c>
      <c r="L135" s="409">
        <f t="shared" si="653"/>
        <v>153.73400000000001</v>
      </c>
      <c r="M135" s="497">
        <v>153.73400000000001</v>
      </c>
      <c r="N135" s="497">
        <v>160.51300000000001</v>
      </c>
      <c r="O135" s="409">
        <f t="shared" si="654"/>
        <v>216.67</v>
      </c>
      <c r="P135" s="497">
        <v>216.67</v>
      </c>
      <c r="Q135" s="497">
        <v>293.30599999999998</v>
      </c>
      <c r="R135" s="409">
        <f t="shared" si="655"/>
        <v>445.88400000000001</v>
      </c>
      <c r="S135" s="497">
        <v>445.88400000000001</v>
      </c>
      <c r="T135" s="894">
        <v>465.24400000000003</v>
      </c>
      <c r="U135" s="399">
        <f t="shared" ref="U135" si="658">V135</f>
        <v>439.63299999999998</v>
      </c>
      <c r="V135" s="497">
        <v>439.63299999999998</v>
      </c>
      <c r="W135" s="1185">
        <v>379.95299999999997</v>
      </c>
      <c r="X135" s="409">
        <f t="shared" ref="X135:X136" si="659">Y135</f>
        <v>332.79</v>
      </c>
      <c r="Y135" s="497">
        <v>332.79</v>
      </c>
      <c r="Z135" s="1185">
        <v>443.41199999999998</v>
      </c>
      <c r="AA135" s="409">
        <f t="shared" ref="AA135:AA136" si="660">AB135</f>
        <v>426.30900000000003</v>
      </c>
      <c r="AB135" s="858">
        <v>426.30900000000003</v>
      </c>
      <c r="AC135" s="1185">
        <v>435.209</v>
      </c>
      <c r="AD135" s="409">
        <f t="shared" ref="AD135:AD136" si="661">AE135</f>
        <v>556.0568670458315</v>
      </c>
      <c r="AE135" s="409">
        <f t="shared" ref="AE135:BF135" si="662">-AE8/365*AE194</f>
        <v>556.0568670458315</v>
      </c>
      <c r="AF135" s="409">
        <f>-AF8/181*AF194</f>
        <v>600.74876970145976</v>
      </c>
      <c r="AG135" s="409">
        <f t="shared" ref="AG135:AG136" si="663">AH135</f>
        <v>501.53395873018155</v>
      </c>
      <c r="AH135" s="409">
        <f t="shared" si="662"/>
        <v>501.53395873018155</v>
      </c>
      <c r="AI135" s="409">
        <f>-AI8/181*AI194</f>
        <v>624.91065873230025</v>
      </c>
      <c r="AJ135" s="409">
        <f t="shared" ref="AJ135:AJ136" si="664">AK135</f>
        <v>553.42800062767935</v>
      </c>
      <c r="AK135" s="409">
        <f t="shared" si="662"/>
        <v>553.42800062767935</v>
      </c>
      <c r="AL135" s="409"/>
      <c r="AM135" s="409"/>
      <c r="AN135" s="409">
        <f t="shared" si="662"/>
        <v>544.96463557147695</v>
      </c>
      <c r="AO135" s="409"/>
      <c r="AP135" s="409"/>
      <c r="AQ135" s="409">
        <f t="shared" si="662"/>
        <v>576.13296782936368</v>
      </c>
      <c r="AR135" s="409"/>
      <c r="AS135" s="409"/>
      <c r="AT135" s="409">
        <f t="shared" si="662"/>
        <v>633.80661598534357</v>
      </c>
      <c r="AU135" s="409"/>
      <c r="AV135" s="409"/>
      <c r="AW135" s="409">
        <f t="shared" si="662"/>
        <v>691.95129412513882</v>
      </c>
      <c r="AX135" s="409"/>
      <c r="AY135" s="409"/>
      <c r="AZ135" s="409">
        <f t="shared" si="662"/>
        <v>755.92315232527858</v>
      </c>
      <c r="BA135" s="409"/>
      <c r="BB135" s="409"/>
      <c r="BC135" s="409">
        <f t="shared" si="662"/>
        <v>833.40113176037949</v>
      </c>
      <c r="BD135" s="409"/>
      <c r="BE135" s="409"/>
      <c r="BF135" s="409">
        <f t="shared" si="662"/>
        <v>919.46565257787995</v>
      </c>
      <c r="BG135" s="409"/>
      <c r="BH135" s="409"/>
      <c r="BI135" s="409">
        <f t="shared" ref="BI135" si="665">-BI8/365*BI194</f>
        <v>1015.6479346482382</v>
      </c>
      <c r="BJ135" s="323"/>
    </row>
    <row r="136" spans="1:62" s="312" customFormat="1">
      <c r="A136" s="312" t="s">
        <v>1143</v>
      </c>
      <c r="B136" s="497">
        <f>1.912+0.31</f>
        <v>2.222</v>
      </c>
      <c r="C136" s="409">
        <f t="shared" si="650"/>
        <v>0.83299999999999996</v>
      </c>
      <c r="D136" s="497">
        <f>0.422+0.411</f>
        <v>0.83299999999999996</v>
      </c>
      <c r="E136" s="497">
        <f>0.148+0.137</f>
        <v>0.28500000000000003</v>
      </c>
      <c r="F136" s="409">
        <f t="shared" si="651"/>
        <v>8.3000000000000007</v>
      </c>
      <c r="G136" s="497">
        <f>3.721+4.579</f>
        <v>8.3000000000000007</v>
      </c>
      <c r="H136" s="497">
        <f>4.335+0.206</f>
        <v>4.5410000000000004</v>
      </c>
      <c r="I136" s="409">
        <f t="shared" si="652"/>
        <v>3.9390000000000001</v>
      </c>
      <c r="J136" s="497">
        <f>2.016+1.923</f>
        <v>3.9390000000000001</v>
      </c>
      <c r="K136" s="497">
        <f>0.683+2.871</f>
        <v>3.5540000000000003</v>
      </c>
      <c r="L136" s="409">
        <f t="shared" si="653"/>
        <v>5.0309999999999997</v>
      </c>
      <c r="M136" s="497">
        <f>2.243+2.788</f>
        <v>5.0309999999999997</v>
      </c>
      <c r="N136" s="497">
        <f>0.274+0.097</f>
        <v>0.371</v>
      </c>
      <c r="O136" s="409">
        <f t="shared" si="654"/>
        <v>7.5519999999999996</v>
      </c>
      <c r="P136" s="497">
        <f>2.625+4.927</f>
        <v>7.5519999999999996</v>
      </c>
      <c r="Q136" s="497">
        <v>9.0079999999999991</v>
      </c>
      <c r="R136" s="409">
        <f t="shared" si="655"/>
        <v>35.948</v>
      </c>
      <c r="S136" s="497">
        <f>2.464+33.484</f>
        <v>35.948</v>
      </c>
      <c r="T136" s="894">
        <f>12.204+2.173+0.269</f>
        <v>14.646000000000001</v>
      </c>
      <c r="U136" s="399">
        <f t="shared" ref="U136" si="666">V136</f>
        <v>20.276999999999997</v>
      </c>
      <c r="V136" s="497">
        <f>4.366+14.2+1.711</f>
        <v>20.276999999999997</v>
      </c>
      <c r="W136" s="1185">
        <f>2.28+7.133+4.437</f>
        <v>13.850000000000001</v>
      </c>
      <c r="X136" s="409">
        <f t="shared" si="659"/>
        <v>11.430999999999999</v>
      </c>
      <c r="Y136" s="497">
        <f>6.93+3.942+0.559</f>
        <v>11.430999999999999</v>
      </c>
      <c r="Z136" s="1185">
        <f>5.075+5.864</f>
        <v>10.939</v>
      </c>
      <c r="AA136" s="409">
        <f t="shared" si="660"/>
        <v>6.96</v>
      </c>
      <c r="AB136" s="858">
        <f>6.196+0.764</f>
        <v>6.96</v>
      </c>
      <c r="AC136" s="1185">
        <f>5.954+2.035</f>
        <v>7.9889999999999999</v>
      </c>
      <c r="AD136" s="409">
        <f t="shared" si="661"/>
        <v>6.96</v>
      </c>
      <c r="AE136" s="409">
        <f>AB136</f>
        <v>6.96</v>
      </c>
      <c r="AF136" s="409">
        <f>AE136</f>
        <v>6.96</v>
      </c>
      <c r="AG136" s="409">
        <f t="shared" si="663"/>
        <v>6.96</v>
      </c>
      <c r="AH136" s="409">
        <f>AE136</f>
        <v>6.96</v>
      </c>
      <c r="AI136" s="409">
        <f>AH136</f>
        <v>6.96</v>
      </c>
      <c r="AJ136" s="409">
        <f t="shared" si="664"/>
        <v>6.96</v>
      </c>
      <c r="AK136" s="409">
        <f>AH136</f>
        <v>6.96</v>
      </c>
      <c r="AL136" s="409"/>
      <c r="AM136" s="409"/>
      <c r="AN136" s="409">
        <f>AK136</f>
        <v>6.96</v>
      </c>
      <c r="AO136" s="409"/>
      <c r="AP136" s="409"/>
      <c r="AQ136" s="409">
        <f>AN136</f>
        <v>6.96</v>
      </c>
      <c r="AR136" s="409"/>
      <c r="AS136" s="409"/>
      <c r="AT136" s="409">
        <f>AQ136</f>
        <v>6.96</v>
      </c>
      <c r="AU136" s="409"/>
      <c r="AV136" s="409"/>
      <c r="AW136" s="409">
        <f>AT136</f>
        <v>6.96</v>
      </c>
      <c r="AX136" s="409"/>
      <c r="AY136" s="409"/>
      <c r="AZ136" s="409">
        <f>AW136</f>
        <v>6.96</v>
      </c>
      <c r="BA136" s="409"/>
      <c r="BB136" s="409"/>
      <c r="BC136" s="409">
        <f>AZ136</f>
        <v>6.96</v>
      </c>
      <c r="BD136" s="409"/>
      <c r="BE136" s="409"/>
      <c r="BF136" s="409">
        <f>BC136</f>
        <v>6.96</v>
      </c>
      <c r="BG136" s="409"/>
      <c r="BH136" s="409"/>
      <c r="BI136" s="409">
        <f t="shared" ref="BI136" si="667">BF136</f>
        <v>6.96</v>
      </c>
      <c r="BJ136" s="323"/>
    </row>
    <row r="137" spans="1:62" s="312" customFormat="1">
      <c r="A137" s="344" t="s">
        <v>426</v>
      </c>
      <c r="B137" s="406">
        <f>SUM(B133:B136)</f>
        <v>316.435</v>
      </c>
      <c r="C137" s="406">
        <f>SUM(C133:C136)</f>
        <v>300.93400000000003</v>
      </c>
      <c r="D137" s="406">
        <f>SUM(D133:D136)</f>
        <v>300.93400000000003</v>
      </c>
      <c r="E137" s="406">
        <f t="shared" ref="E137:P137" si="668">SUM(E133:E136)</f>
        <v>382.70100000000002</v>
      </c>
      <c r="F137" s="406">
        <f>SUM(F133:F136)</f>
        <v>315.70499999999998</v>
      </c>
      <c r="G137" s="406">
        <f t="shared" si="668"/>
        <v>315.70499999999998</v>
      </c>
      <c r="H137" s="406">
        <f>SUM(H133:H136)</f>
        <v>399.98399999999998</v>
      </c>
      <c r="I137" s="406">
        <f>SUM(I133:I136)</f>
        <v>367.988</v>
      </c>
      <c r="J137" s="406">
        <f t="shared" si="668"/>
        <v>367.988</v>
      </c>
      <c r="K137" s="406">
        <f>SUM(K133:K136)</f>
        <v>552.26900000000001</v>
      </c>
      <c r="L137" s="406">
        <f>SUM(L133:L136)</f>
        <v>443.32800000000003</v>
      </c>
      <c r="M137" s="406">
        <f t="shared" si="668"/>
        <v>443.32800000000003</v>
      </c>
      <c r="N137" s="406">
        <f>SUM(N133:N136)</f>
        <v>536.91499999999996</v>
      </c>
      <c r="O137" s="406">
        <f>SUM(O133:O136)</f>
        <v>473.46400000000006</v>
      </c>
      <c r="P137" s="406">
        <f t="shared" si="668"/>
        <v>473.46400000000006</v>
      </c>
      <c r="Q137" s="406">
        <f t="shared" ref="Q137" si="669">SUM(Q133:Q136)</f>
        <v>855.83899999999994</v>
      </c>
      <c r="R137" s="406">
        <f>SUM(R133:R136)</f>
        <v>844.29</v>
      </c>
      <c r="S137" s="406">
        <f t="shared" ref="S137:AN137" si="670">SUM(S133:S136)</f>
        <v>844.29</v>
      </c>
      <c r="T137" s="485">
        <f t="shared" ref="T137:U137" si="671">SUM(T133:T136)</f>
        <v>983.92399999999998</v>
      </c>
      <c r="U137" s="899">
        <f t="shared" si="671"/>
        <v>820.81799999999998</v>
      </c>
      <c r="V137" s="406">
        <f>SUM(V133:V136)</f>
        <v>820.81799999999998</v>
      </c>
      <c r="W137" s="1186">
        <f t="shared" si="670"/>
        <v>989.77599999999995</v>
      </c>
      <c r="X137" s="406">
        <f t="shared" si="670"/>
        <v>764.01</v>
      </c>
      <c r="Y137" s="406">
        <f t="shared" si="670"/>
        <v>764.01</v>
      </c>
      <c r="Z137" s="1186">
        <f>SUM(Z133:Z136)</f>
        <v>1055.1220000000001</v>
      </c>
      <c r="AA137" s="406">
        <f t="shared" ref="AA137" si="672">SUM(AA133:AA136)</f>
        <v>841.3420000000001</v>
      </c>
      <c r="AB137" s="829">
        <f t="shared" si="670"/>
        <v>841.3420000000001</v>
      </c>
      <c r="AC137" s="1186">
        <f t="shared" si="670"/>
        <v>1135.7830000000001</v>
      </c>
      <c r="AD137" s="406">
        <f t="shared" si="670"/>
        <v>1029.5486406291095</v>
      </c>
      <c r="AE137" s="406">
        <f t="shared" si="670"/>
        <v>1029.5486406291095</v>
      </c>
      <c r="AF137" s="406" t="e">
        <f t="shared" ref="AF137:AG137" si="673">SUM(AF133:AF136)</f>
        <v>#REF!</v>
      </c>
      <c r="AG137" s="406">
        <f t="shared" si="673"/>
        <v>1043.5761606473388</v>
      </c>
      <c r="AH137" s="406">
        <f t="shared" si="670"/>
        <v>1043.5761606473388</v>
      </c>
      <c r="AI137" s="406" t="e">
        <f t="shared" si="670"/>
        <v>#REF!</v>
      </c>
      <c r="AJ137" s="406">
        <f t="shared" si="670"/>
        <v>1169.1206439169764</v>
      </c>
      <c r="AK137" s="406">
        <f t="shared" si="670"/>
        <v>1169.1206439169764</v>
      </c>
      <c r="AL137" s="406"/>
      <c r="AM137" s="406"/>
      <c r="AN137" s="406">
        <f t="shared" si="670"/>
        <v>1312.5329809648083</v>
      </c>
      <c r="AO137" s="406"/>
      <c r="AP137" s="406"/>
      <c r="AQ137" s="406">
        <f t="shared" ref="AQ137:AT137" si="674">SUM(AQ133:AQ136)</f>
        <v>1475.2055613561747</v>
      </c>
      <c r="AR137" s="406"/>
      <c r="AS137" s="406"/>
      <c r="AT137" s="406">
        <f t="shared" si="674"/>
        <v>1661.0621482750535</v>
      </c>
      <c r="AU137" s="406"/>
      <c r="AV137" s="406"/>
      <c r="AW137" s="406">
        <f t="shared" ref="AW137" si="675">SUM(AW133:AW136)</f>
        <v>1871.9516123714884</v>
      </c>
      <c r="AX137" s="406"/>
      <c r="AY137" s="406"/>
      <c r="AZ137" s="406">
        <f t="shared" ref="AZ137:BC137" si="676">SUM(AZ133:AZ136)</f>
        <v>2112.7791000224888</v>
      </c>
      <c r="BA137" s="406"/>
      <c r="BB137" s="406"/>
      <c r="BC137" s="406">
        <f t="shared" si="676"/>
        <v>2386.4728684145125</v>
      </c>
      <c r="BD137" s="406"/>
      <c r="BE137" s="406"/>
      <c r="BF137" s="406">
        <f t="shared" ref="BF137" si="677">SUM(BF133:BF136)</f>
        <v>2697.1332792804737</v>
      </c>
      <c r="BG137" s="406"/>
      <c r="BH137" s="406"/>
      <c r="BI137" s="406">
        <f t="shared" ref="BI137" si="678">SUM(BI133:BI136)</f>
        <v>3050.4896480631651</v>
      </c>
      <c r="BJ137" s="322"/>
    </row>
    <row r="138" spans="1:62" s="312" customFormat="1">
      <c r="B138" s="409"/>
      <c r="C138" s="409"/>
      <c r="D138" s="409"/>
      <c r="E138" s="409"/>
      <c r="F138" s="409"/>
      <c r="G138" s="409"/>
      <c r="H138" s="409"/>
      <c r="I138" s="409"/>
      <c r="J138" s="409"/>
      <c r="K138" s="409"/>
      <c r="L138" s="409"/>
      <c r="M138" s="409"/>
      <c r="N138" s="409"/>
      <c r="O138" s="409"/>
      <c r="P138" s="409"/>
      <c r="Q138" s="409"/>
      <c r="R138" s="409"/>
      <c r="S138" s="409"/>
      <c r="T138" s="482"/>
      <c r="U138" s="399"/>
      <c r="V138" s="409"/>
      <c r="W138" s="1187"/>
      <c r="X138" s="409"/>
      <c r="Y138" s="409"/>
      <c r="Z138" s="1187"/>
      <c r="AA138" s="409"/>
      <c r="AB138" s="831"/>
      <c r="AC138" s="1187"/>
      <c r="AD138" s="409"/>
      <c r="AE138" s="409"/>
      <c r="AF138" s="409"/>
      <c r="AG138" s="409"/>
      <c r="AH138" s="409"/>
      <c r="AI138" s="409"/>
      <c r="AJ138" s="409"/>
      <c r="AK138" s="409"/>
      <c r="AL138" s="409"/>
      <c r="AM138" s="409"/>
      <c r="AN138" s="409"/>
      <c r="AO138" s="409"/>
      <c r="AP138" s="409"/>
      <c r="AQ138" s="409"/>
      <c r="AR138" s="409"/>
      <c r="AS138" s="409"/>
      <c r="AT138" s="409"/>
      <c r="AU138" s="409"/>
      <c r="AV138" s="409"/>
      <c r="AW138" s="409"/>
      <c r="AX138" s="409"/>
      <c r="AY138" s="409"/>
      <c r="AZ138" s="409"/>
      <c r="BA138" s="409"/>
      <c r="BB138" s="409"/>
      <c r="BC138" s="409"/>
      <c r="BD138" s="409"/>
      <c r="BE138" s="409"/>
      <c r="BF138" s="409"/>
      <c r="BG138" s="409"/>
      <c r="BH138" s="409"/>
      <c r="BI138" s="409"/>
      <c r="BJ138" s="323"/>
    </row>
    <row r="139" spans="1:62" s="312" customFormat="1">
      <c r="A139" s="344" t="s">
        <v>427</v>
      </c>
      <c r="B139" s="409"/>
      <c r="C139" s="409"/>
      <c r="D139" s="409"/>
      <c r="E139" s="409"/>
      <c r="F139" s="409"/>
      <c r="G139" s="409"/>
      <c r="H139" s="409"/>
      <c r="I139" s="409"/>
      <c r="J139" s="409"/>
      <c r="K139" s="409"/>
      <c r="L139" s="409"/>
      <c r="M139" s="409"/>
      <c r="N139" s="409"/>
      <c r="O139" s="409"/>
      <c r="P139" s="409"/>
      <c r="Q139" s="409"/>
      <c r="R139" s="409"/>
      <c r="S139" s="409"/>
      <c r="T139" s="482"/>
      <c r="U139" s="399"/>
      <c r="V139" s="409"/>
      <c r="W139" s="1187"/>
      <c r="X139" s="409"/>
      <c r="Y139" s="409"/>
      <c r="Z139" s="1187"/>
      <c r="AA139" s="409"/>
      <c r="AB139" s="831"/>
      <c r="AC139" s="1187"/>
      <c r="AD139" s="409"/>
      <c r="AE139" s="409"/>
      <c r="AF139" s="409"/>
      <c r="AG139" s="409"/>
      <c r="AH139" s="409"/>
      <c r="AI139" s="409"/>
      <c r="AJ139" s="409"/>
      <c r="AK139" s="409"/>
      <c r="AL139" s="409"/>
      <c r="AM139" s="409"/>
      <c r="AN139" s="409"/>
      <c r="AO139" s="409"/>
      <c r="AP139" s="409"/>
      <c r="AQ139" s="409"/>
      <c r="AR139" s="409"/>
      <c r="AS139" s="409"/>
      <c r="AT139" s="409"/>
      <c r="AU139" s="409"/>
      <c r="AV139" s="409"/>
      <c r="AW139" s="409"/>
      <c r="AX139" s="409"/>
      <c r="AY139" s="409"/>
      <c r="AZ139" s="409"/>
      <c r="BA139" s="409"/>
      <c r="BB139" s="409"/>
      <c r="BC139" s="409"/>
      <c r="BD139" s="409"/>
      <c r="BE139" s="409"/>
      <c r="BF139" s="409"/>
      <c r="BG139" s="409"/>
      <c r="BH139" s="409"/>
      <c r="BI139" s="409"/>
      <c r="BJ139" s="323"/>
    </row>
    <row r="140" spans="1:62" s="312" customFormat="1">
      <c r="A140" s="312" t="s">
        <v>519</v>
      </c>
      <c r="B140" s="497">
        <v>11.34</v>
      </c>
      <c r="C140" s="409">
        <f>D140</f>
        <v>10.706</v>
      </c>
      <c r="D140" s="497">
        <v>10.706</v>
      </c>
      <c r="E140" s="497">
        <v>10.08</v>
      </c>
      <c r="F140" s="409">
        <f>G140</f>
        <v>11.379</v>
      </c>
      <c r="G140" s="497">
        <v>11.379</v>
      </c>
      <c r="H140" s="497">
        <v>11.401</v>
      </c>
      <c r="I140" s="409">
        <f>J140</f>
        <v>12.042999999999999</v>
      </c>
      <c r="J140" s="497">
        <v>12.042999999999999</v>
      </c>
      <c r="K140" s="497">
        <v>13.47</v>
      </c>
      <c r="L140" s="409">
        <f>M140</f>
        <v>13.541</v>
      </c>
      <c r="M140" s="497">
        <v>13.541</v>
      </c>
      <c r="N140" s="497">
        <v>12.183999999999999</v>
      </c>
      <c r="O140" s="409">
        <f>P140</f>
        <v>14.433999999999999</v>
      </c>
      <c r="P140" s="497">
        <v>14.433999999999999</v>
      </c>
      <c r="Q140" s="497">
        <v>14.368</v>
      </c>
      <c r="R140" s="409">
        <f>S140</f>
        <v>33.476999999999997</v>
      </c>
      <c r="S140" s="497">
        <v>33.476999999999997</v>
      </c>
      <c r="T140" s="894">
        <v>45.031999999999996</v>
      </c>
      <c r="U140" s="399">
        <f t="shared" ref="U140:U149" si="679">V140</f>
        <v>53.766000000000012</v>
      </c>
      <c r="V140" s="497">
        <f>PPE_and_intangibles!V5</f>
        <v>53.766000000000012</v>
      </c>
      <c r="W140" s="1185">
        <v>60.779000000000003</v>
      </c>
      <c r="X140" s="409">
        <f t="shared" ref="X140" si="680">Y140</f>
        <v>62.858000000000018</v>
      </c>
      <c r="Y140" s="497">
        <f>PPE_and_intangibles!Y5</f>
        <v>62.858000000000018</v>
      </c>
      <c r="Z140" s="1185">
        <v>70.108000000000004</v>
      </c>
      <c r="AA140" s="409">
        <f t="shared" ref="AA140" si="681">AB140</f>
        <v>92.319000000000031</v>
      </c>
      <c r="AB140" s="858">
        <f>PPE_and_intangibles!AB5</f>
        <v>92.319000000000031</v>
      </c>
      <c r="AC140" s="1185">
        <v>103.523</v>
      </c>
      <c r="AD140" s="409">
        <f t="shared" ref="AD140" si="682">AE140</f>
        <v>106.20375061797279</v>
      </c>
      <c r="AE140" s="409">
        <f>PPE_and_intangibles!AE5</f>
        <v>106.20375061797279</v>
      </c>
      <c r="AF140" s="409">
        <f>PPE_and_intangibles!AF5</f>
        <v>111.82830985147314</v>
      </c>
      <c r="AG140" s="409">
        <f t="shared" ref="AG140" si="683">AH140</f>
        <v>116.97968026727023</v>
      </c>
      <c r="AH140" s="409">
        <f>PPE_and_intangibles!AH5</f>
        <v>116.97968026727023</v>
      </c>
      <c r="AI140" s="409">
        <f>PPE_and_intangibles!AI5</f>
        <v>123.2447495182268</v>
      </c>
      <c r="AJ140" s="409">
        <f t="shared" ref="AJ140" si="684">AK140</f>
        <v>129.57433099175617</v>
      </c>
      <c r="AK140" s="409">
        <f>PPE_and_intangibles!AK5</f>
        <v>129.57433099175617</v>
      </c>
      <c r="AL140" s="409"/>
      <c r="AM140" s="409"/>
      <c r="AN140" s="409">
        <f>PPE_and_intangibles!AN5</f>
        <v>144.76224584455042</v>
      </c>
      <c r="AO140" s="409"/>
      <c r="AP140" s="409"/>
      <c r="AQ140" s="409">
        <f>PPE_and_intangibles!AQ5</f>
        <v>162.9212632205132</v>
      </c>
      <c r="AR140" s="409"/>
      <c r="AS140" s="409"/>
      <c r="AT140" s="409">
        <f>PPE_and_intangibles!AT5</f>
        <v>184.49234790246774</v>
      </c>
      <c r="AU140" s="409"/>
      <c r="AV140" s="409"/>
      <c r="AW140" s="409">
        <f>PPE_and_intangibles!AW5</f>
        <v>208.32729269525692</v>
      </c>
      <c r="AX140" s="409"/>
      <c r="AY140" s="409"/>
      <c r="AZ140" s="409">
        <f>PPE_and_intangibles!AZ5</f>
        <v>234.68270699589527</v>
      </c>
      <c r="BA140" s="409"/>
      <c r="BB140" s="409"/>
      <c r="BC140" s="409">
        <f>PPE_and_intangibles!BC5</f>
        <v>263.84582096817462</v>
      </c>
      <c r="BD140" s="409"/>
      <c r="BE140" s="409"/>
      <c r="BF140" s="409">
        <f>PPE_and_intangibles!BF5</f>
        <v>296.13830438297867</v>
      </c>
      <c r="BG140" s="409"/>
      <c r="BH140" s="409"/>
      <c r="BI140" s="409">
        <f>PPE_and_intangibles!BI5</f>
        <v>331.92058124086191</v>
      </c>
      <c r="BJ140" s="323"/>
    </row>
    <row r="141" spans="1:62" s="312" customFormat="1">
      <c r="B141" s="409"/>
      <c r="C141" s="409"/>
      <c r="D141" s="497"/>
      <c r="E141" s="497"/>
      <c r="F141" s="409"/>
      <c r="G141" s="497"/>
      <c r="H141" s="497"/>
      <c r="I141" s="409"/>
      <c r="J141" s="497"/>
      <c r="K141" s="497"/>
      <c r="L141" s="409"/>
      <c r="M141" s="497"/>
      <c r="N141" s="497"/>
      <c r="O141" s="409"/>
      <c r="P141" s="497"/>
      <c r="Q141" s="497"/>
      <c r="R141" s="409"/>
      <c r="S141" s="409"/>
      <c r="T141" s="482"/>
      <c r="U141" s="399"/>
      <c r="V141" s="409"/>
      <c r="W141" s="1187"/>
      <c r="X141" s="409"/>
      <c r="Y141" s="409"/>
      <c r="Z141" s="1187"/>
      <c r="AA141" s="409"/>
      <c r="AB141" s="831"/>
      <c r="AC141" s="1187"/>
      <c r="AD141" s="409"/>
      <c r="AE141" s="409"/>
      <c r="AF141" s="409"/>
      <c r="AG141" s="409"/>
      <c r="AH141" s="409"/>
      <c r="AI141" s="409"/>
      <c r="AJ141" s="409"/>
      <c r="AK141" s="409"/>
      <c r="AL141" s="409"/>
      <c r="AM141" s="409"/>
      <c r="AN141" s="409"/>
      <c r="AO141" s="409"/>
      <c r="AP141" s="409"/>
      <c r="AQ141" s="409"/>
      <c r="AR141" s="409"/>
      <c r="AS141" s="409"/>
      <c r="AT141" s="409"/>
      <c r="AU141" s="409"/>
      <c r="AV141" s="409"/>
      <c r="AW141" s="409"/>
      <c r="AX141" s="409"/>
      <c r="AY141" s="409"/>
      <c r="AZ141" s="409"/>
      <c r="BA141" s="409"/>
      <c r="BB141" s="409"/>
      <c r="BC141" s="409"/>
      <c r="BD141" s="409"/>
      <c r="BE141" s="409"/>
      <c r="BF141" s="409"/>
      <c r="BG141" s="409"/>
      <c r="BH141" s="409"/>
      <c r="BI141" s="409"/>
      <c r="BJ141" s="323"/>
    </row>
    <row r="142" spans="1:62" s="312" customFormat="1">
      <c r="A142" s="312" t="s">
        <v>1659</v>
      </c>
      <c r="B142" s="497">
        <v>30.494</v>
      </c>
      <c r="C142" s="409">
        <f>D142</f>
        <v>30.494</v>
      </c>
      <c r="D142" s="497">
        <v>30.494</v>
      </c>
      <c r="E142" s="409">
        <f>+D142+8.083</f>
        <v>38.576999999999998</v>
      </c>
      <c r="F142" s="409">
        <f>G142</f>
        <v>38.576999999999998</v>
      </c>
      <c r="G142" s="497">
        <v>38.576999999999998</v>
      </c>
      <c r="H142" s="409">
        <f>G142</f>
        <v>38.576999999999998</v>
      </c>
      <c r="I142" s="409">
        <f>J142</f>
        <v>38.603000000000002</v>
      </c>
      <c r="J142" s="497">
        <v>38.603000000000002</v>
      </c>
      <c r="K142" s="409">
        <f>J142</f>
        <v>38.603000000000002</v>
      </c>
      <c r="L142" s="409">
        <f>M142</f>
        <v>66.617000000000004</v>
      </c>
      <c r="M142" s="497">
        <v>66.617000000000004</v>
      </c>
      <c r="N142" s="497">
        <f>M142+78.576</f>
        <v>145.19299999999998</v>
      </c>
      <c r="O142" s="409">
        <f>P142</f>
        <v>175.05600000000001</v>
      </c>
      <c r="P142" s="497">
        <v>175.05600000000001</v>
      </c>
      <c r="Q142" s="409">
        <f>P142</f>
        <v>175.05600000000001</v>
      </c>
      <c r="R142" s="409">
        <f>S142</f>
        <v>184.40199999999999</v>
      </c>
      <c r="S142" s="497">
        <v>184.40199999999999</v>
      </c>
      <c r="T142" s="482">
        <f>PPE_and_intangibles!T26</f>
        <v>287.01499999999999</v>
      </c>
      <c r="U142" s="399">
        <f t="shared" si="679"/>
        <v>325.94800000000004</v>
      </c>
      <c r="V142" s="497">
        <f>PPE_and_intangibles!V26</f>
        <v>325.94800000000004</v>
      </c>
      <c r="W142" s="1187">
        <f>PPE_and_intangibles!W26</f>
        <v>325.94800000000004</v>
      </c>
      <c r="X142" s="409">
        <f t="shared" ref="X142" si="685">Y142</f>
        <v>323.67500000000001</v>
      </c>
      <c r="Y142" s="497">
        <f>PPE_and_intangibles!Y26</f>
        <v>323.67500000000001</v>
      </c>
      <c r="Z142" s="1187">
        <f>PPE_and_intangibles!Z26</f>
        <v>323.67500000000001</v>
      </c>
      <c r="AA142" s="409">
        <f t="shared" ref="AA142" si="686">AB142</f>
        <v>347.94300000000004</v>
      </c>
      <c r="AB142" s="858">
        <f>PPE_and_intangibles!AB26</f>
        <v>347.94300000000004</v>
      </c>
      <c r="AC142" s="1196">
        <f>PPE_and_intangibles!AC26</f>
        <v>347.94300000000004</v>
      </c>
      <c r="AD142" s="409">
        <f t="shared" ref="AD142" si="687">AE142</f>
        <v>347.94300000000004</v>
      </c>
      <c r="AE142" s="409">
        <f>PPE_and_intangibles!AE26</f>
        <v>347.94300000000004</v>
      </c>
      <c r="AF142" s="409">
        <f>PPE_and_intangibles!AF26</f>
        <v>347.94300000000004</v>
      </c>
      <c r="AG142" s="409">
        <f t="shared" ref="AG142" si="688">AH142</f>
        <v>347.94300000000004</v>
      </c>
      <c r="AH142" s="409">
        <f>PPE_and_intangibles!AH26</f>
        <v>347.94300000000004</v>
      </c>
      <c r="AI142" s="409">
        <f>PPE_and_intangibles!AI26</f>
        <v>347.94300000000004</v>
      </c>
      <c r="AJ142" s="409">
        <f t="shared" ref="AJ142" si="689">AK142</f>
        <v>347.94300000000004</v>
      </c>
      <c r="AK142" s="409">
        <f>PPE_and_intangibles!AK26</f>
        <v>347.94300000000004</v>
      </c>
      <c r="AL142" s="409"/>
      <c r="AM142" s="409"/>
      <c r="AN142" s="409">
        <f>PPE_and_intangibles!AN26</f>
        <v>347.94300000000004</v>
      </c>
      <c r="AO142" s="409"/>
      <c r="AP142" s="409"/>
      <c r="AQ142" s="409">
        <f>PPE_and_intangibles!AQ26</f>
        <v>347.94300000000004</v>
      </c>
      <c r="AR142" s="409"/>
      <c r="AS142" s="409"/>
      <c r="AT142" s="409">
        <f>PPE_and_intangibles!AT26</f>
        <v>347.94300000000004</v>
      </c>
      <c r="AU142" s="409"/>
      <c r="AV142" s="409"/>
      <c r="AW142" s="409">
        <f>PPE_and_intangibles!AW26</f>
        <v>347.94300000000004</v>
      </c>
      <c r="AX142" s="409"/>
      <c r="AY142" s="409"/>
      <c r="AZ142" s="409">
        <f>PPE_and_intangibles!AZ26</f>
        <v>347.94300000000004</v>
      </c>
      <c r="BA142" s="409"/>
      <c r="BB142" s="409"/>
      <c r="BC142" s="409">
        <f>PPE_and_intangibles!BC26</f>
        <v>347.94300000000004</v>
      </c>
      <c r="BD142" s="409"/>
      <c r="BE142" s="409"/>
      <c r="BF142" s="409">
        <f>PPE_and_intangibles!BF26</f>
        <v>347.94300000000004</v>
      </c>
      <c r="BG142" s="409"/>
      <c r="BH142" s="409"/>
      <c r="BI142" s="409">
        <f>PPE_and_intangibles!BI26</f>
        <v>347.94300000000004</v>
      </c>
      <c r="BJ142" s="323"/>
    </row>
    <row r="143" spans="1:62" s="312" customFormat="1">
      <c r="B143" s="409"/>
      <c r="C143" s="409"/>
      <c r="D143" s="497"/>
      <c r="E143" s="497"/>
      <c r="F143" s="409"/>
      <c r="G143" s="497"/>
      <c r="H143" s="497"/>
      <c r="I143" s="409"/>
      <c r="J143" s="497"/>
      <c r="K143" s="497"/>
      <c r="L143" s="409"/>
      <c r="M143" s="497"/>
      <c r="N143" s="497"/>
      <c r="O143" s="409"/>
      <c r="P143" s="497"/>
      <c r="Q143" s="497"/>
      <c r="R143" s="409"/>
      <c r="S143" s="409"/>
      <c r="T143" s="482"/>
      <c r="U143" s="399"/>
      <c r="V143" s="409"/>
      <c r="W143" s="1187"/>
      <c r="X143" s="409"/>
      <c r="Y143" s="409"/>
      <c r="Z143" s="1187"/>
      <c r="AA143" s="409"/>
      <c r="AB143" s="831"/>
      <c r="AC143" s="1187"/>
      <c r="AD143" s="409"/>
      <c r="AE143" s="409"/>
      <c r="AF143" s="409"/>
      <c r="AG143" s="409"/>
      <c r="AH143" s="409"/>
      <c r="AI143" s="409"/>
      <c r="AJ143" s="409"/>
      <c r="AK143" s="409"/>
      <c r="AL143" s="409"/>
      <c r="AM143" s="409"/>
      <c r="AN143" s="409"/>
      <c r="AO143" s="409"/>
      <c r="AP143" s="409"/>
      <c r="AQ143" s="409"/>
      <c r="AR143" s="409"/>
      <c r="AS143" s="409"/>
      <c r="AT143" s="409"/>
      <c r="AU143" s="409"/>
      <c r="AV143" s="409"/>
      <c r="AW143" s="409"/>
      <c r="AX143" s="409"/>
      <c r="AY143" s="409"/>
      <c r="AZ143" s="409"/>
      <c r="BA143" s="409"/>
      <c r="BB143" s="409"/>
      <c r="BC143" s="409"/>
      <c r="BD143" s="409"/>
      <c r="BE143" s="409"/>
      <c r="BF143" s="409"/>
      <c r="BG143" s="409"/>
      <c r="BH143" s="409"/>
      <c r="BI143" s="409"/>
      <c r="BJ143" s="323"/>
    </row>
    <row r="144" spans="1:62" s="312" customFormat="1">
      <c r="A144" s="312" t="s">
        <v>428</v>
      </c>
      <c r="B144" s="497">
        <f>96.464-B142</f>
        <v>65.97</v>
      </c>
      <c r="C144" s="409">
        <f>D144</f>
        <v>69.566000000000003</v>
      </c>
      <c r="D144" s="497">
        <f>100.06-D142</f>
        <v>69.566000000000003</v>
      </c>
      <c r="E144" s="497">
        <f>107.951-E142</f>
        <v>69.373999999999995</v>
      </c>
      <c r="F144" s="409">
        <f>G144</f>
        <v>74.010999999999996</v>
      </c>
      <c r="G144" s="497">
        <f>112.588-G142</f>
        <v>74.010999999999996</v>
      </c>
      <c r="H144" s="497">
        <f>115.178-H142</f>
        <v>76.600999999999999</v>
      </c>
      <c r="I144" s="409">
        <f>J144</f>
        <v>84.811000000000007</v>
      </c>
      <c r="J144" s="497">
        <f>123.414-J142</f>
        <v>84.811000000000007</v>
      </c>
      <c r="K144" s="497">
        <f>160.151-K142</f>
        <v>121.548</v>
      </c>
      <c r="L144" s="409">
        <f>M144</f>
        <v>93.561999999999998</v>
      </c>
      <c r="M144" s="497">
        <f>160.179-M142</f>
        <v>93.561999999999998</v>
      </c>
      <c r="N144" s="497">
        <f>237.084-N142</f>
        <v>91.89100000000002</v>
      </c>
      <c r="O144" s="409">
        <f>P144</f>
        <v>54.74799999999999</v>
      </c>
      <c r="P144" s="497">
        <f>229.804-P142</f>
        <v>54.74799999999999</v>
      </c>
      <c r="Q144" s="497">
        <f>241.811-Q142</f>
        <v>66.754999999999995</v>
      </c>
      <c r="R144" s="409">
        <f>S144</f>
        <v>56.64500000000001</v>
      </c>
      <c r="S144" s="497">
        <f>241.047-S142</f>
        <v>56.64500000000001</v>
      </c>
      <c r="T144" s="894">
        <f>388.164-T142</f>
        <v>101.149</v>
      </c>
      <c r="U144" s="399">
        <f t="shared" si="679"/>
        <v>73.079999999999984</v>
      </c>
      <c r="V144" s="497">
        <f>PPE_and_intangibles!V31</f>
        <v>73.079999999999984</v>
      </c>
      <c r="W144" s="1185">
        <f>400.771-W142</f>
        <v>74.822999999999979</v>
      </c>
      <c r="X144" s="409">
        <f t="shared" ref="X144" si="690">Y144</f>
        <v>86.612999999999985</v>
      </c>
      <c r="Y144" s="497">
        <f>PPE_and_intangibles!Y31</f>
        <v>86.612999999999985</v>
      </c>
      <c r="Z144" s="1187">
        <f>438.299-Z142</f>
        <v>114.62399999999997</v>
      </c>
      <c r="AA144" s="409">
        <f t="shared" ref="AA144" si="691">AB144</f>
        <v>102.798</v>
      </c>
      <c r="AB144" s="858">
        <f>PPE_and_intangibles!AB31</f>
        <v>102.798</v>
      </c>
      <c r="AC144" s="1187">
        <f>454.416-AC142</f>
        <v>106.47299999999996</v>
      </c>
      <c r="AD144" s="409">
        <f t="shared" ref="AD144" si="692">AE144</f>
        <v>120.52650061393359</v>
      </c>
      <c r="AE144" s="409">
        <f>PPE_and_intangibles!AE31</f>
        <v>120.52650061393359</v>
      </c>
      <c r="AF144" s="409">
        <f>PPE_and_intangibles!AF31</f>
        <v>138.90547706182855</v>
      </c>
      <c r="AG144" s="409">
        <f t="shared" ref="AG144" si="693">AH144</f>
        <v>140.43759921034533</v>
      </c>
      <c r="AH144" s="409">
        <f>PPE_and_intangibles!AH31</f>
        <v>140.43759921034533</v>
      </c>
      <c r="AI144" s="409">
        <f>PPE_and_intangibles!AI31</f>
        <v>159.58824931135052</v>
      </c>
      <c r="AJ144" s="409">
        <f t="shared" ref="AJ144" si="694">AK144</f>
        <v>162.23523128087805</v>
      </c>
      <c r="AK144" s="409">
        <f>PPE_and_intangibles!AK31</f>
        <v>162.23523128087805</v>
      </c>
      <c r="AL144" s="409"/>
      <c r="AM144" s="409"/>
      <c r="AN144" s="409">
        <f>PPE_and_intangibles!AN31</f>
        <v>185.61519546945726</v>
      </c>
      <c r="AO144" s="409"/>
      <c r="AP144" s="409"/>
      <c r="AQ144" s="409">
        <f>PPE_and_intangibles!AQ31</f>
        <v>210.6216529162898</v>
      </c>
      <c r="AR144" s="409"/>
      <c r="AS144" s="409"/>
      <c r="AT144" s="409">
        <f>PPE_and_intangibles!AT31</f>
        <v>237.31959650227</v>
      </c>
      <c r="AU144" s="409"/>
      <c r="AV144" s="409"/>
      <c r="AW144" s="409">
        <f>PPE_and_intangibles!AW31</f>
        <v>265.81105868457735</v>
      </c>
      <c r="AX144" s="409"/>
      <c r="AY144" s="409"/>
      <c r="AZ144" s="409">
        <f>PPE_and_intangibles!AZ31</f>
        <v>296.20036787776581</v>
      </c>
      <c r="BA144" s="409"/>
      <c r="BB144" s="409"/>
      <c r="BC144" s="409">
        <f>PPE_and_intangibles!BC31</f>
        <v>328.59329492639438</v>
      </c>
      <c r="BD144" s="409"/>
      <c r="BE144" s="409"/>
      <c r="BF144" s="409">
        <f>PPE_and_intangibles!BF31</f>
        <v>363.09595135082537</v>
      </c>
      <c r="BG144" s="409"/>
      <c r="BH144" s="409"/>
      <c r="BI144" s="409">
        <f>PPE_and_intangibles!BI31</f>
        <v>399.81338850254156</v>
      </c>
      <c r="BJ144" s="323"/>
    </row>
    <row r="145" spans="1:62" s="312" customFormat="1">
      <c r="B145" s="409"/>
      <c r="C145" s="409"/>
      <c r="D145" s="497"/>
      <c r="E145" s="497"/>
      <c r="F145" s="409"/>
      <c r="G145" s="497"/>
      <c r="H145" s="497"/>
      <c r="I145" s="409"/>
      <c r="J145" s="497"/>
      <c r="K145" s="497"/>
      <c r="L145" s="409"/>
      <c r="M145" s="497"/>
      <c r="N145" s="497"/>
      <c r="O145" s="409"/>
      <c r="P145" s="497"/>
      <c r="Q145" s="497"/>
      <c r="R145" s="409"/>
      <c r="S145" s="409"/>
      <c r="T145" s="482"/>
      <c r="U145" s="399"/>
      <c r="V145" s="409"/>
      <c r="W145" s="1187"/>
      <c r="X145" s="409"/>
      <c r="Y145" s="409"/>
      <c r="Z145" s="1187"/>
      <c r="AA145" s="409"/>
      <c r="AB145" s="831"/>
      <c r="AC145" s="1187"/>
      <c r="AD145" s="409"/>
      <c r="AE145" s="409"/>
      <c r="AF145" s="409"/>
      <c r="AG145" s="409"/>
      <c r="AH145" s="409"/>
      <c r="AI145" s="409"/>
      <c r="AJ145" s="409"/>
      <c r="AK145" s="409"/>
      <c r="AL145" s="409"/>
      <c r="AM145" s="409"/>
      <c r="AN145" s="409"/>
      <c r="AO145" s="409"/>
      <c r="AP145" s="409"/>
      <c r="AQ145" s="409"/>
      <c r="AR145" s="409"/>
      <c r="AS145" s="409"/>
      <c r="AT145" s="409"/>
      <c r="AU145" s="409"/>
      <c r="AV145" s="409"/>
      <c r="AW145" s="409"/>
      <c r="AX145" s="409"/>
      <c r="AY145" s="409"/>
      <c r="AZ145" s="409"/>
      <c r="BA145" s="409"/>
      <c r="BB145" s="409"/>
      <c r="BC145" s="409"/>
      <c r="BD145" s="409"/>
      <c r="BE145" s="409"/>
      <c r="BF145" s="409"/>
      <c r="BG145" s="409"/>
      <c r="BH145" s="409"/>
      <c r="BI145" s="409"/>
      <c r="BJ145" s="323"/>
    </row>
    <row r="146" spans="1:62" s="312" customFormat="1">
      <c r="A146" s="312" t="s">
        <v>1141</v>
      </c>
      <c r="B146" s="409"/>
      <c r="C146" s="409">
        <f t="shared" ref="C146:C149" si="695">D146</f>
        <v>0</v>
      </c>
      <c r="D146" s="497">
        <v>0</v>
      </c>
      <c r="E146" s="497"/>
      <c r="F146" s="409">
        <f t="shared" ref="F146:F149" si="696">G146</f>
        <v>0</v>
      </c>
      <c r="G146" s="497">
        <v>0</v>
      </c>
      <c r="H146" s="497"/>
      <c r="I146" s="409">
        <f t="shared" ref="I146:I149" si="697">J146</f>
        <v>0</v>
      </c>
      <c r="J146" s="497">
        <v>0</v>
      </c>
      <c r="K146" s="497"/>
      <c r="L146" s="409">
        <f t="shared" ref="L146:L149" si="698">M146</f>
        <v>0</v>
      </c>
      <c r="M146" s="497"/>
      <c r="N146" s="497"/>
      <c r="O146" s="409">
        <f t="shared" ref="O146:O149" si="699">P146</f>
        <v>0</v>
      </c>
      <c r="P146" s="497">
        <f>M146+P55</f>
        <v>0</v>
      </c>
      <c r="Q146" s="497">
        <f>N146+Q55</f>
        <v>0</v>
      </c>
      <c r="R146" s="409">
        <f t="shared" ref="R146:R149" si="700">S146</f>
        <v>0</v>
      </c>
      <c r="S146" s="409">
        <f>P146+S55</f>
        <v>0</v>
      </c>
      <c r="T146" s="482">
        <f>Q146+T55</f>
        <v>0</v>
      </c>
      <c r="U146" s="399">
        <f t="shared" si="679"/>
        <v>0</v>
      </c>
      <c r="V146" s="409">
        <f>S146+V55</f>
        <v>0</v>
      </c>
      <c r="W146" s="1187">
        <f>T146+W55</f>
        <v>0</v>
      </c>
      <c r="X146" s="409">
        <f t="shared" ref="X146:X147" si="701">Y146</f>
        <v>0</v>
      </c>
      <c r="Y146" s="409">
        <f>V146+Y55</f>
        <v>0</v>
      </c>
      <c r="Z146" s="1187">
        <f>W146+Z55</f>
        <v>0</v>
      </c>
      <c r="AA146" s="409">
        <f t="shared" ref="AA146:AA147" si="702">AB146</f>
        <v>0</v>
      </c>
      <c r="AB146" s="831">
        <f>Y146+AB55</f>
        <v>0</v>
      </c>
      <c r="AC146" s="1187">
        <f>Z146+AC55</f>
        <v>0</v>
      </c>
      <c r="AD146" s="409">
        <f t="shared" ref="AD146:AD147" si="703">AE146</f>
        <v>0</v>
      </c>
      <c r="AE146" s="409">
        <f>AB146+AE55</f>
        <v>0</v>
      </c>
      <c r="AF146" s="409">
        <f>AC146+AF55</f>
        <v>0</v>
      </c>
      <c r="AG146" s="409">
        <f t="shared" ref="AG146:AG147" si="704">AH146</f>
        <v>0</v>
      </c>
      <c r="AH146" s="409">
        <f>AE146+AH55</f>
        <v>0</v>
      </c>
      <c r="AI146" s="409">
        <f>AF146+AI55</f>
        <v>0</v>
      </c>
      <c r="AJ146" s="409">
        <f t="shared" ref="AJ146:AJ147" si="705">AK146</f>
        <v>0</v>
      </c>
      <c r="AK146" s="409">
        <f>AH146+AK55</f>
        <v>0</v>
      </c>
      <c r="AL146" s="409"/>
      <c r="AM146" s="409"/>
      <c r="AN146" s="409">
        <f>AK146+AN55</f>
        <v>0</v>
      </c>
      <c r="AO146" s="409"/>
      <c r="AP146" s="409"/>
      <c r="AQ146" s="409">
        <f>AN146+AQ55</f>
        <v>0</v>
      </c>
      <c r="AR146" s="409"/>
      <c r="AS146" s="409"/>
      <c r="AT146" s="409">
        <f>AQ146+AT55</f>
        <v>0</v>
      </c>
      <c r="AU146" s="409"/>
      <c r="AV146" s="409"/>
      <c r="AW146" s="409">
        <f>AT146+AW55</f>
        <v>0</v>
      </c>
      <c r="AX146" s="409"/>
      <c r="AY146" s="409"/>
      <c r="AZ146" s="409">
        <f>AW146+AZ55</f>
        <v>0</v>
      </c>
      <c r="BA146" s="409"/>
      <c r="BB146" s="409"/>
      <c r="BC146" s="409">
        <f>AZ146+BC55</f>
        <v>0</v>
      </c>
      <c r="BD146" s="409"/>
      <c r="BE146" s="409"/>
      <c r="BF146" s="409">
        <f>BC146+BF55</f>
        <v>0</v>
      </c>
      <c r="BG146" s="409"/>
      <c r="BH146" s="409"/>
      <c r="BI146" s="409">
        <f t="shared" ref="BI146" si="706">BF146+BI55</f>
        <v>0</v>
      </c>
      <c r="BJ146" s="323"/>
    </row>
    <row r="147" spans="1:62" s="312" customFormat="1">
      <c r="A147" s="312" t="s">
        <v>429</v>
      </c>
      <c r="B147" s="497">
        <v>7.08</v>
      </c>
      <c r="C147" s="409">
        <f t="shared" si="695"/>
        <v>5.819</v>
      </c>
      <c r="D147" s="497">
        <v>5.819</v>
      </c>
      <c r="E147" s="497">
        <v>6.5679999999999996</v>
      </c>
      <c r="F147" s="409">
        <f t="shared" si="696"/>
        <v>5.6769999999999996</v>
      </c>
      <c r="G147" s="497">
        <v>5.6769999999999996</v>
      </c>
      <c r="H147" s="497">
        <v>6.6639999999999997</v>
      </c>
      <c r="I147" s="409">
        <f t="shared" si="697"/>
        <v>6.3220000000000001</v>
      </c>
      <c r="J147" s="497">
        <v>6.3220000000000001</v>
      </c>
      <c r="K147" s="497">
        <v>6.8940000000000001</v>
      </c>
      <c r="L147" s="409">
        <f t="shared" si="698"/>
        <v>9.9179999999999993</v>
      </c>
      <c r="M147" s="497">
        <v>9.9179999999999993</v>
      </c>
      <c r="N147" s="497">
        <v>20.623000000000001</v>
      </c>
      <c r="O147" s="409">
        <f t="shared" si="699"/>
        <v>17.425999999999998</v>
      </c>
      <c r="P147" s="497">
        <v>17.425999999999998</v>
      </c>
      <c r="Q147" s="497">
        <f>25.128</f>
        <v>25.128</v>
      </c>
      <c r="R147" s="409">
        <f t="shared" si="700"/>
        <v>13.683999999999999</v>
      </c>
      <c r="S147" s="497">
        <v>13.683999999999999</v>
      </c>
      <c r="T147" s="894">
        <v>20.257000000000001</v>
      </c>
      <c r="U147" s="399">
        <f t="shared" si="679"/>
        <v>29.111999999999998</v>
      </c>
      <c r="V147" s="497">
        <v>29.111999999999998</v>
      </c>
      <c r="W147" s="1185">
        <v>38.945</v>
      </c>
      <c r="X147" s="409">
        <f t="shared" si="701"/>
        <v>29.241</v>
      </c>
      <c r="Y147" s="497">
        <v>29.241</v>
      </c>
      <c r="Z147" s="1185">
        <v>30.405999999999999</v>
      </c>
      <c r="AA147" s="409">
        <f t="shared" si="702"/>
        <v>37.555999999999997</v>
      </c>
      <c r="AB147" s="858">
        <v>37.555999999999997</v>
      </c>
      <c r="AC147" s="1185">
        <v>32.969000000000001</v>
      </c>
      <c r="AD147" s="409">
        <f t="shared" si="703"/>
        <v>37.555999999999997</v>
      </c>
      <c r="AE147" s="409">
        <f>AB147</f>
        <v>37.555999999999997</v>
      </c>
      <c r="AF147" s="409">
        <f>AE147</f>
        <v>37.555999999999997</v>
      </c>
      <c r="AG147" s="409">
        <f t="shared" si="704"/>
        <v>37.555999999999997</v>
      </c>
      <c r="AH147" s="409">
        <f>AE147</f>
        <v>37.555999999999997</v>
      </c>
      <c r="AI147" s="409">
        <f>AH147</f>
        <v>37.555999999999997</v>
      </c>
      <c r="AJ147" s="409">
        <f t="shared" si="705"/>
        <v>37.555999999999997</v>
      </c>
      <c r="AK147" s="409">
        <f>AH147</f>
        <v>37.555999999999997</v>
      </c>
      <c r="AL147" s="409"/>
      <c r="AM147" s="409"/>
      <c r="AN147" s="409">
        <f>AK147</f>
        <v>37.555999999999997</v>
      </c>
      <c r="AO147" s="409"/>
      <c r="AP147" s="409"/>
      <c r="AQ147" s="409">
        <f>AN147</f>
        <v>37.555999999999997</v>
      </c>
      <c r="AR147" s="409"/>
      <c r="AS147" s="409"/>
      <c r="AT147" s="409">
        <f>AQ147</f>
        <v>37.555999999999997</v>
      </c>
      <c r="AU147" s="409"/>
      <c r="AV147" s="409"/>
      <c r="AW147" s="409">
        <f>AT147</f>
        <v>37.555999999999997</v>
      </c>
      <c r="AX147" s="409"/>
      <c r="AY147" s="409"/>
      <c r="AZ147" s="409">
        <f>AW147</f>
        <v>37.555999999999997</v>
      </c>
      <c r="BA147" s="409"/>
      <c r="BB147" s="409"/>
      <c r="BC147" s="409">
        <f>AZ147</f>
        <v>37.555999999999997</v>
      </c>
      <c r="BD147" s="409"/>
      <c r="BE147" s="409"/>
      <c r="BF147" s="409">
        <f>BC147</f>
        <v>37.555999999999997</v>
      </c>
      <c r="BG147" s="409"/>
      <c r="BH147" s="409"/>
      <c r="BI147" s="409">
        <f t="shared" ref="BI147:BI149" si="707">BF147</f>
        <v>37.555999999999997</v>
      </c>
      <c r="BJ147" s="323"/>
    </row>
    <row r="148" spans="1:62" s="312" customFormat="1">
      <c r="A148" s="312" t="s">
        <v>1631</v>
      </c>
      <c r="B148" s="497"/>
      <c r="C148" s="409"/>
      <c r="D148" s="497"/>
      <c r="E148" s="497"/>
      <c r="F148" s="409"/>
      <c r="G148" s="497"/>
      <c r="H148" s="497"/>
      <c r="I148" s="409"/>
      <c r="J148" s="497"/>
      <c r="K148" s="497">
        <v>19.308</v>
      </c>
      <c r="L148" s="409">
        <f>M148</f>
        <v>17.198</v>
      </c>
      <c r="M148" s="497">
        <v>17.198</v>
      </c>
      <c r="N148" s="497">
        <v>14.353</v>
      </c>
      <c r="O148" s="409">
        <f>P148</f>
        <v>33.186</v>
      </c>
      <c r="P148" s="497">
        <v>33.186</v>
      </c>
      <c r="Q148" s="497">
        <v>31.31</v>
      </c>
      <c r="R148" s="409">
        <f>S148</f>
        <v>44.655999999999999</v>
      </c>
      <c r="S148" s="497">
        <v>44.655999999999999</v>
      </c>
      <c r="T148" s="894">
        <v>73.861000000000004</v>
      </c>
      <c r="U148" s="399">
        <f>PPE_and_intangibles!U45</f>
        <v>69.967999999999989</v>
      </c>
      <c r="V148" s="497">
        <v>69.968000000000004</v>
      </c>
      <c r="W148" s="1185">
        <v>71.361000000000004</v>
      </c>
      <c r="X148" s="409">
        <f>PPE_and_intangibles!X45</f>
        <v>65.430999999999997</v>
      </c>
      <c r="Y148" s="497">
        <v>65.430999999999997</v>
      </c>
      <c r="Z148" s="1185">
        <v>66.117000000000004</v>
      </c>
      <c r="AA148" s="409">
        <f>PPE_and_intangibles!AA45</f>
        <v>55.435000000000002</v>
      </c>
      <c r="AB148" s="858">
        <v>55.435000000000002</v>
      </c>
      <c r="AC148" s="1185">
        <v>67.525000000000006</v>
      </c>
      <c r="AD148" s="409">
        <f>PPE_and_intangibles!AD45</f>
        <v>56.860486641188253</v>
      </c>
      <c r="AE148" s="409">
        <f>PPE_and_intangibles!AE45</f>
        <v>56.86048664118826</v>
      </c>
      <c r="AF148" s="409">
        <f>PPE_and_intangibles!AF45</f>
        <v>57.676221824072258</v>
      </c>
      <c r="AG148" s="409">
        <f>PPE_and_intangibles!AG45</f>
        <v>58.393102204721657</v>
      </c>
      <c r="AH148" s="409">
        <f>PPE_and_intangibles!AH45</f>
        <v>58.39310220472165</v>
      </c>
      <c r="AI148" s="409">
        <f>PPE_and_intangibles!AI45</f>
        <v>59.295355568971701</v>
      </c>
      <c r="AJ148" s="409">
        <f>PPE_and_intangibles!AJ45</f>
        <v>60.088269432168104</v>
      </c>
      <c r="AK148" s="409">
        <f>PPE_and_intangibles!AK45</f>
        <v>60.088269432168097</v>
      </c>
      <c r="AL148" s="409"/>
      <c r="AM148" s="409"/>
      <c r="AN148" s="409">
        <f>PPE_and_intangibles!AN45</f>
        <v>61.964667524093436</v>
      </c>
      <c r="AO148" s="409"/>
      <c r="AP148" s="409"/>
      <c r="AQ148" s="409">
        <f>PPE_and_intangibles!AQ45</f>
        <v>64.037938419155012</v>
      </c>
      <c r="AR148" s="409"/>
      <c r="AS148" s="409"/>
      <c r="AT148" s="409">
        <f>PPE_and_intangibles!AT45</f>
        <v>66.327114317035523</v>
      </c>
      <c r="AU148" s="409"/>
      <c r="AV148" s="409"/>
      <c r="AW148" s="409">
        <f>PPE_and_intangibles!AW45</f>
        <v>68.856536548297271</v>
      </c>
      <c r="AX148" s="409"/>
      <c r="AY148" s="409"/>
      <c r="AZ148" s="409">
        <f>PPE_and_intangibles!AZ45</f>
        <v>71.653437125399364</v>
      </c>
      <c r="BA148" s="409"/>
      <c r="BB148" s="409"/>
      <c r="BC148" s="409">
        <f>PPE_and_intangibles!BC45</f>
        <v>74.748297610942416</v>
      </c>
      <c r="BD148" s="409"/>
      <c r="BE148" s="409"/>
      <c r="BF148" s="409">
        <f>PPE_and_intangibles!BF45</f>
        <v>78.175254382277913</v>
      </c>
      <c r="BG148" s="409"/>
      <c r="BH148" s="409"/>
      <c r="BI148" s="409">
        <f>PPE_and_intangibles!BI45</f>
        <v>81.972556509735469</v>
      </c>
      <c r="BJ148" s="323"/>
    </row>
    <row r="149" spans="1:62" s="312" customFormat="1">
      <c r="A149" s="312" t="s">
        <v>1143</v>
      </c>
      <c r="B149" s="409"/>
      <c r="C149" s="409">
        <f t="shared" si="695"/>
        <v>0</v>
      </c>
      <c r="D149" s="497">
        <v>0</v>
      </c>
      <c r="E149" s="497"/>
      <c r="F149" s="409">
        <f t="shared" si="696"/>
        <v>0</v>
      </c>
      <c r="G149" s="497">
        <v>0</v>
      </c>
      <c r="H149" s="497">
        <f>E149</f>
        <v>0</v>
      </c>
      <c r="I149" s="409">
        <f t="shared" si="697"/>
        <v>0</v>
      </c>
      <c r="J149" s="497">
        <v>0</v>
      </c>
      <c r="K149" s="497">
        <v>0</v>
      </c>
      <c r="L149" s="409">
        <f t="shared" si="698"/>
        <v>0</v>
      </c>
      <c r="M149" s="497">
        <v>0</v>
      </c>
      <c r="N149" s="497">
        <v>0</v>
      </c>
      <c r="O149" s="409">
        <f t="shared" si="699"/>
        <v>2.3260000000000001</v>
      </c>
      <c r="P149" s="497">
        <v>2.3260000000000001</v>
      </c>
      <c r="Q149" s="497">
        <f>2.192</f>
        <v>2.1920000000000002</v>
      </c>
      <c r="R149" s="409">
        <f t="shared" si="700"/>
        <v>1.998</v>
      </c>
      <c r="S149" s="497">
        <v>1.998</v>
      </c>
      <c r="T149" s="895">
        <f>6.779+2.068</f>
        <v>8.8469999999999995</v>
      </c>
      <c r="U149" s="399">
        <f t="shared" si="679"/>
        <v>2.16</v>
      </c>
      <c r="V149" s="497">
        <v>2.16</v>
      </c>
      <c r="W149" s="1188">
        <v>0</v>
      </c>
      <c r="X149" s="409">
        <f t="shared" ref="X149" si="708">Y149</f>
        <v>9.2430000000000003</v>
      </c>
      <c r="Y149" s="497">
        <v>9.2430000000000003</v>
      </c>
      <c r="Z149" s="1188">
        <f>0.186+4.029</f>
        <v>4.2149999999999999</v>
      </c>
      <c r="AA149" s="409">
        <f t="shared" ref="AA149" si="709">AB149</f>
        <v>3.8159999999999998</v>
      </c>
      <c r="AB149" s="858">
        <v>3.8159999999999998</v>
      </c>
      <c r="AC149" s="1188">
        <v>3.7410000000000001</v>
      </c>
      <c r="AD149" s="409">
        <f t="shared" ref="AD149" si="710">AE149</f>
        <v>3.8159999999999998</v>
      </c>
      <c r="AE149" s="409">
        <f>AB149</f>
        <v>3.8159999999999998</v>
      </c>
      <c r="AF149" s="409" t="e">
        <f>AE149+#REF!</f>
        <v>#REF!</v>
      </c>
      <c r="AG149" s="409">
        <f t="shared" ref="AG149" si="711">AH149</f>
        <v>3.8159999999999998</v>
      </c>
      <c r="AH149" s="409">
        <f>AE149</f>
        <v>3.8159999999999998</v>
      </c>
      <c r="AI149" s="409" t="e">
        <f>AH149+#REF!</f>
        <v>#REF!</v>
      </c>
      <c r="AJ149" s="409">
        <f t="shared" ref="AJ149" si="712">AK149</f>
        <v>3.8159999999999998</v>
      </c>
      <c r="AK149" s="409">
        <f>AH149</f>
        <v>3.8159999999999998</v>
      </c>
      <c r="AL149" s="409"/>
      <c r="AM149" s="409"/>
      <c r="AN149" s="409">
        <f>AK149</f>
        <v>3.8159999999999998</v>
      </c>
      <c r="AO149" s="409"/>
      <c r="AP149" s="409"/>
      <c r="AQ149" s="409">
        <f>AN149</f>
        <v>3.8159999999999998</v>
      </c>
      <c r="AR149" s="409"/>
      <c r="AS149" s="409"/>
      <c r="AT149" s="409">
        <f>AQ149</f>
        <v>3.8159999999999998</v>
      </c>
      <c r="AU149" s="409"/>
      <c r="AV149" s="409"/>
      <c r="AW149" s="409">
        <f>AT149</f>
        <v>3.8159999999999998</v>
      </c>
      <c r="AX149" s="409"/>
      <c r="AY149" s="409"/>
      <c r="AZ149" s="409">
        <f>AW149</f>
        <v>3.8159999999999998</v>
      </c>
      <c r="BA149" s="409"/>
      <c r="BB149" s="409"/>
      <c r="BC149" s="409">
        <f>AZ149</f>
        <v>3.8159999999999998</v>
      </c>
      <c r="BD149" s="409"/>
      <c r="BE149" s="409"/>
      <c r="BF149" s="409">
        <f>BC149</f>
        <v>3.8159999999999998</v>
      </c>
      <c r="BG149" s="409"/>
      <c r="BH149" s="409"/>
      <c r="BI149" s="409">
        <f t="shared" si="707"/>
        <v>3.8159999999999998</v>
      </c>
      <c r="BJ149" s="323"/>
    </row>
    <row r="150" spans="1:62" s="312" customFormat="1">
      <c r="B150" s="409"/>
      <c r="C150" s="409"/>
      <c r="D150" s="409"/>
      <c r="E150" s="409"/>
      <c r="F150" s="409"/>
      <c r="G150" s="409"/>
      <c r="H150" s="409"/>
      <c r="I150" s="409"/>
      <c r="J150" s="409"/>
      <c r="K150" s="409"/>
      <c r="L150" s="409"/>
      <c r="M150" s="409"/>
      <c r="N150" s="409"/>
      <c r="O150" s="409"/>
      <c r="P150" s="409"/>
      <c r="Q150" s="409"/>
      <c r="R150" s="409"/>
      <c r="S150" s="409"/>
      <c r="T150" s="482"/>
      <c r="U150" s="399"/>
      <c r="V150" s="409"/>
      <c r="W150" s="1187"/>
      <c r="X150" s="409"/>
      <c r="Y150" s="409"/>
      <c r="Z150" s="1187"/>
      <c r="AA150" s="409"/>
      <c r="AB150" s="831"/>
      <c r="AC150" s="1187"/>
      <c r="AD150" s="409"/>
      <c r="AE150" s="409"/>
      <c r="AF150" s="409"/>
      <c r="AG150" s="409"/>
      <c r="AH150" s="409"/>
      <c r="AI150" s="409"/>
      <c r="AJ150" s="409"/>
      <c r="AK150" s="409"/>
      <c r="AL150" s="409"/>
      <c r="AM150" s="409"/>
      <c r="AN150" s="409"/>
      <c r="AO150" s="409"/>
      <c r="AP150" s="409"/>
      <c r="AQ150" s="409"/>
      <c r="AR150" s="409"/>
      <c r="AS150" s="409"/>
      <c r="AT150" s="409"/>
      <c r="AU150" s="409"/>
      <c r="AV150" s="409"/>
      <c r="AW150" s="409"/>
      <c r="AX150" s="409"/>
      <c r="AY150" s="409"/>
      <c r="AZ150" s="409"/>
      <c r="BA150" s="409"/>
      <c r="BB150" s="409"/>
      <c r="BC150" s="409"/>
      <c r="BD150" s="409"/>
      <c r="BE150" s="409"/>
      <c r="BF150" s="409"/>
      <c r="BG150" s="409"/>
      <c r="BH150" s="409"/>
      <c r="BI150" s="409"/>
      <c r="BJ150" s="323"/>
    </row>
    <row r="151" spans="1:62" s="312" customFormat="1">
      <c r="A151" s="344" t="s">
        <v>432</v>
      </c>
      <c r="B151" s="406">
        <f t="shared" ref="B151:J151" si="713">B140+B142+B144+B146+B147+B149</f>
        <v>114.884</v>
      </c>
      <c r="C151" s="406">
        <f t="shared" si="713"/>
        <v>116.58500000000001</v>
      </c>
      <c r="D151" s="406">
        <f t="shared" si="713"/>
        <v>116.58500000000001</v>
      </c>
      <c r="E151" s="406">
        <f t="shared" si="713"/>
        <v>124.59899999999999</v>
      </c>
      <c r="F151" s="406">
        <f t="shared" si="713"/>
        <v>129.64399999999998</v>
      </c>
      <c r="G151" s="406">
        <f t="shared" si="713"/>
        <v>129.64399999999998</v>
      </c>
      <c r="H151" s="406">
        <f t="shared" si="713"/>
        <v>133.24299999999999</v>
      </c>
      <c r="I151" s="406">
        <f t="shared" si="713"/>
        <v>141.779</v>
      </c>
      <c r="J151" s="406">
        <f t="shared" si="713"/>
        <v>141.779</v>
      </c>
      <c r="K151" s="406">
        <f t="shared" ref="K151:R151" si="714">K140+K142+K144+K146+K147+K149+K148</f>
        <v>199.82300000000001</v>
      </c>
      <c r="L151" s="406">
        <f t="shared" si="714"/>
        <v>200.83600000000001</v>
      </c>
      <c r="M151" s="406">
        <f t="shared" si="714"/>
        <v>200.83600000000001</v>
      </c>
      <c r="N151" s="406">
        <f t="shared" si="714"/>
        <v>284.24400000000003</v>
      </c>
      <c r="O151" s="406">
        <f t="shared" si="714"/>
        <v>297.17599999999999</v>
      </c>
      <c r="P151" s="406">
        <f t="shared" si="714"/>
        <v>297.17599999999999</v>
      </c>
      <c r="Q151" s="406">
        <f t="shared" si="714"/>
        <v>314.80899999999997</v>
      </c>
      <c r="R151" s="406">
        <f t="shared" si="714"/>
        <v>334.86200000000002</v>
      </c>
      <c r="S151" s="406">
        <f>S140+S142+S144+S146+S147+S149+S148</f>
        <v>334.86200000000002</v>
      </c>
      <c r="T151" s="485">
        <f t="shared" ref="T151:AT151" si="715">T140+T142+T144+T146+T147+T149+T148</f>
        <v>536.16099999999994</v>
      </c>
      <c r="U151" s="899">
        <f>U140+U142+U144+U146+U147+U149+U148</f>
        <v>554.03400000000011</v>
      </c>
      <c r="V151" s="406">
        <f t="shared" si="715"/>
        <v>554.03400000000011</v>
      </c>
      <c r="W151" s="1186">
        <f>W140+W142+W144+W146+W147+W149+W148</f>
        <v>571.85599999999999</v>
      </c>
      <c r="X151" s="406">
        <f>X140+X142+X144+X146+X147+X149+X148</f>
        <v>577.06100000000004</v>
      </c>
      <c r="Y151" s="406">
        <f t="shared" si="715"/>
        <v>577.06100000000004</v>
      </c>
      <c r="Z151" s="1186">
        <f t="shared" si="715"/>
        <v>609.14499999999998</v>
      </c>
      <c r="AA151" s="406">
        <f>AA140+AA142+AA144+AA146+AA147+AA149+AA148</f>
        <v>639.86700000000019</v>
      </c>
      <c r="AB151" s="829">
        <f t="shared" si="715"/>
        <v>639.86700000000019</v>
      </c>
      <c r="AC151" s="1186">
        <f t="shared" ref="AC151" si="716">AC140+AC142+AC144+AC146+AC147+AC149+AC148</f>
        <v>662.17399999999998</v>
      </c>
      <c r="AD151" s="406">
        <f>AD140+AD142+AD144+AD146+AD147+AD149+AD148</f>
        <v>672.90573787309472</v>
      </c>
      <c r="AE151" s="406">
        <f t="shared" si="715"/>
        <v>672.90573787309472</v>
      </c>
      <c r="AF151" s="406" t="e">
        <f t="shared" si="715"/>
        <v>#REF!</v>
      </c>
      <c r="AG151" s="406">
        <f>AG140+AG142+AG144+AG146+AG147+AG149+AG148</f>
        <v>705.12538168233732</v>
      </c>
      <c r="AH151" s="406">
        <f t="shared" si="715"/>
        <v>705.12538168233732</v>
      </c>
      <c r="AI151" s="406" t="e">
        <f t="shared" ref="AI151" si="717">AI140+AI142+AI144+AI146+AI147+AI149+AI148</f>
        <v>#REF!</v>
      </c>
      <c r="AJ151" s="406">
        <f>AJ140+AJ142+AJ144+AJ146+AJ147+AJ149+AJ148</f>
        <v>741.21283170480251</v>
      </c>
      <c r="AK151" s="406">
        <f t="shared" si="715"/>
        <v>741.21283170480251</v>
      </c>
      <c r="AL151" s="406"/>
      <c r="AM151" s="406"/>
      <c r="AN151" s="406">
        <f t="shared" si="715"/>
        <v>781.65710883810118</v>
      </c>
      <c r="AO151" s="406"/>
      <c r="AP151" s="406"/>
      <c r="AQ151" s="406">
        <f t="shared" si="715"/>
        <v>826.89585455595818</v>
      </c>
      <c r="AR151" s="406"/>
      <c r="AS151" s="406"/>
      <c r="AT151" s="406">
        <f t="shared" si="715"/>
        <v>877.45405872177344</v>
      </c>
      <c r="AU151" s="406"/>
      <c r="AV151" s="406"/>
      <c r="AW151" s="406">
        <f t="shared" ref="AW151" si="718">AW140+AW142+AW144+AW146+AW147+AW149+AW148</f>
        <v>932.30988792813173</v>
      </c>
      <c r="AX151" s="406"/>
      <c r="AY151" s="406"/>
      <c r="AZ151" s="406">
        <f t="shared" ref="AZ151:BC151" si="719">AZ140+AZ142+AZ144+AZ146+AZ147+AZ149+AZ148</f>
        <v>991.85151199906056</v>
      </c>
      <c r="BA151" s="406"/>
      <c r="BB151" s="406"/>
      <c r="BC151" s="406">
        <f t="shared" si="719"/>
        <v>1056.5024135055114</v>
      </c>
      <c r="BD151" s="406"/>
      <c r="BE151" s="406"/>
      <c r="BF151" s="406">
        <f t="shared" ref="BF151" si="720">BF140+BF142+BF144+BF146+BF147+BF149+BF148</f>
        <v>1126.724510116082</v>
      </c>
      <c r="BG151" s="406"/>
      <c r="BH151" s="406"/>
      <c r="BI151" s="406">
        <f t="shared" ref="BI151" si="721">BI140+BI142+BI144+BI146+BI147+BI149+BI148</f>
        <v>1203.0215262531392</v>
      </c>
      <c r="BJ151" s="322"/>
    </row>
    <row r="152" spans="1:62" s="312" customFormat="1" ht="12.75" customHeight="1">
      <c r="B152" s="409"/>
      <c r="C152" s="409"/>
      <c r="D152" s="409"/>
      <c r="E152" s="409"/>
      <c r="F152" s="409"/>
      <c r="G152" s="409"/>
      <c r="H152" s="409"/>
      <c r="I152" s="409"/>
      <c r="J152" s="409"/>
      <c r="K152" s="409"/>
      <c r="L152" s="409"/>
      <c r="M152" s="409"/>
      <c r="N152" s="409"/>
      <c r="O152" s="409"/>
      <c r="P152" s="409"/>
      <c r="Q152" s="409"/>
      <c r="R152" s="409"/>
      <c r="S152" s="409"/>
      <c r="T152" s="482"/>
      <c r="U152" s="399"/>
      <c r="V152" s="409"/>
      <c r="W152" s="1187"/>
      <c r="X152" s="409"/>
      <c r="Y152" s="409"/>
      <c r="Z152" s="1187"/>
      <c r="AA152" s="409"/>
      <c r="AB152" s="831"/>
      <c r="AC152" s="1187"/>
      <c r="AD152" s="409"/>
      <c r="AE152" s="409"/>
      <c r="AF152" s="409"/>
      <c r="AG152" s="409"/>
      <c r="AH152" s="409"/>
      <c r="AI152" s="409"/>
      <c r="AJ152" s="409"/>
      <c r="AK152" s="409"/>
      <c r="AL152" s="409"/>
      <c r="AM152" s="409"/>
      <c r="AN152" s="409"/>
      <c r="AO152" s="409"/>
      <c r="AP152" s="409"/>
      <c r="AQ152" s="409"/>
      <c r="AR152" s="409"/>
      <c r="AS152" s="409"/>
      <c r="AT152" s="409"/>
      <c r="AU152" s="409"/>
      <c r="AV152" s="409"/>
      <c r="AW152" s="409"/>
      <c r="AX152" s="409"/>
      <c r="AY152" s="409"/>
      <c r="AZ152" s="409"/>
      <c r="BA152" s="409"/>
      <c r="BB152" s="409"/>
      <c r="BC152" s="409"/>
      <c r="BD152" s="409"/>
      <c r="BE152" s="409"/>
      <c r="BF152" s="409"/>
      <c r="BG152" s="409"/>
      <c r="BH152" s="409"/>
      <c r="BI152" s="409"/>
      <c r="BJ152" s="323"/>
    </row>
    <row r="153" spans="1:62" s="344" customFormat="1">
      <c r="A153" s="389" t="s">
        <v>433</v>
      </c>
      <c r="B153" s="424">
        <f t="shared" ref="B153:S153" si="722">B137+B151</f>
        <v>431.31900000000002</v>
      </c>
      <c r="C153" s="424">
        <f t="shared" si="722"/>
        <v>417.51900000000001</v>
      </c>
      <c r="D153" s="424">
        <f t="shared" si="722"/>
        <v>417.51900000000001</v>
      </c>
      <c r="E153" s="424">
        <f t="shared" si="722"/>
        <v>507.3</v>
      </c>
      <c r="F153" s="424">
        <f t="shared" si="722"/>
        <v>445.34899999999993</v>
      </c>
      <c r="G153" s="424">
        <f t="shared" si="722"/>
        <v>445.34899999999993</v>
      </c>
      <c r="H153" s="424">
        <f t="shared" si="722"/>
        <v>533.22699999999998</v>
      </c>
      <c r="I153" s="424">
        <f t="shared" si="722"/>
        <v>509.767</v>
      </c>
      <c r="J153" s="424">
        <f t="shared" si="722"/>
        <v>509.767</v>
      </c>
      <c r="K153" s="424">
        <f t="shared" si="722"/>
        <v>752.09199999999998</v>
      </c>
      <c r="L153" s="424">
        <f t="shared" si="722"/>
        <v>644.16399999999999</v>
      </c>
      <c r="M153" s="424">
        <f t="shared" si="722"/>
        <v>644.16399999999999</v>
      </c>
      <c r="N153" s="424">
        <f t="shared" si="722"/>
        <v>821.15899999999999</v>
      </c>
      <c r="O153" s="424">
        <f t="shared" si="722"/>
        <v>770.6400000000001</v>
      </c>
      <c r="P153" s="424">
        <f t="shared" si="722"/>
        <v>770.6400000000001</v>
      </c>
      <c r="Q153" s="424">
        <f t="shared" si="722"/>
        <v>1170.6479999999999</v>
      </c>
      <c r="R153" s="424">
        <f t="shared" si="722"/>
        <v>1179.152</v>
      </c>
      <c r="S153" s="424">
        <f t="shared" si="722"/>
        <v>1179.152</v>
      </c>
      <c r="T153" s="896">
        <f t="shared" ref="T153" si="723">T137+T151</f>
        <v>1520.085</v>
      </c>
      <c r="U153" s="900">
        <f t="shared" ref="U153:AT153" si="724">U137+U151</f>
        <v>1374.8520000000001</v>
      </c>
      <c r="V153" s="424">
        <f t="shared" si="724"/>
        <v>1374.8520000000001</v>
      </c>
      <c r="W153" s="1189">
        <f t="shared" si="724"/>
        <v>1561.6320000000001</v>
      </c>
      <c r="X153" s="424">
        <f t="shared" ref="X153" si="725">X137+X151</f>
        <v>1341.0709999999999</v>
      </c>
      <c r="Y153" s="424">
        <f t="shared" si="724"/>
        <v>1341.0709999999999</v>
      </c>
      <c r="Z153" s="1189">
        <f t="shared" ref="Z153:AA153" si="726">Z137+Z151</f>
        <v>1664.2670000000001</v>
      </c>
      <c r="AA153" s="424">
        <f t="shared" si="726"/>
        <v>1481.2090000000003</v>
      </c>
      <c r="AB153" s="1190">
        <f t="shared" si="724"/>
        <v>1481.2090000000003</v>
      </c>
      <c r="AC153" s="1189">
        <f t="shared" si="724"/>
        <v>1797.9570000000001</v>
      </c>
      <c r="AD153" s="424">
        <f t="shared" si="724"/>
        <v>1702.4543785022042</v>
      </c>
      <c r="AE153" s="424">
        <f t="shared" si="724"/>
        <v>1702.4543785022042</v>
      </c>
      <c r="AF153" s="424" t="e">
        <f t="shared" ref="AF153:AG153" si="727">AF137+AF151</f>
        <v>#REF!</v>
      </c>
      <c r="AG153" s="424">
        <f t="shared" si="727"/>
        <v>1748.7015423296762</v>
      </c>
      <c r="AH153" s="424">
        <f t="shared" si="724"/>
        <v>1748.7015423296762</v>
      </c>
      <c r="AI153" s="424" t="e">
        <f t="shared" si="724"/>
        <v>#REF!</v>
      </c>
      <c r="AJ153" s="424">
        <f t="shared" si="724"/>
        <v>1910.3334756217789</v>
      </c>
      <c r="AK153" s="424">
        <f t="shared" si="724"/>
        <v>1910.3334756217789</v>
      </c>
      <c r="AL153" s="424"/>
      <c r="AM153" s="424"/>
      <c r="AN153" s="424">
        <f t="shared" si="724"/>
        <v>2094.1900898029094</v>
      </c>
      <c r="AO153" s="424"/>
      <c r="AP153" s="424"/>
      <c r="AQ153" s="424">
        <f t="shared" si="724"/>
        <v>2302.1014159121328</v>
      </c>
      <c r="AR153" s="424"/>
      <c r="AS153" s="424"/>
      <c r="AT153" s="424">
        <f t="shared" si="724"/>
        <v>2538.5162069968269</v>
      </c>
      <c r="AU153" s="424"/>
      <c r="AV153" s="424"/>
      <c r="AW153" s="424">
        <f t="shared" ref="AW153" si="728">AW137+AW151</f>
        <v>2804.2615002996199</v>
      </c>
      <c r="AX153" s="424"/>
      <c r="AY153" s="424"/>
      <c r="AZ153" s="424">
        <f t="shared" ref="AZ153:BC153" si="729">AZ137+AZ151</f>
        <v>3104.6306120215495</v>
      </c>
      <c r="BA153" s="424"/>
      <c r="BB153" s="424"/>
      <c r="BC153" s="424">
        <f t="shared" si="729"/>
        <v>3442.9752819200239</v>
      </c>
      <c r="BD153" s="424"/>
      <c r="BE153" s="424"/>
      <c r="BF153" s="424">
        <f t="shared" ref="BF153" si="730">BF137+BF151</f>
        <v>3823.8577893965557</v>
      </c>
      <c r="BG153" s="424"/>
      <c r="BH153" s="424"/>
      <c r="BI153" s="424">
        <f t="shared" ref="BI153" si="731">BI137+BI151</f>
        <v>4253.5111743163043</v>
      </c>
      <c r="BJ153" s="322"/>
    </row>
    <row r="154" spans="1:62" s="312" customFormat="1">
      <c r="B154" s="409"/>
      <c r="C154" s="409"/>
      <c r="D154" s="409"/>
      <c r="E154" s="409"/>
      <c r="F154" s="409"/>
      <c r="G154" s="409"/>
      <c r="H154" s="409"/>
      <c r="I154" s="409"/>
      <c r="J154" s="409"/>
      <c r="K154" s="409"/>
      <c r="L154" s="409"/>
      <c r="M154" s="409"/>
      <c r="N154" s="409"/>
      <c r="O154" s="409"/>
      <c r="P154" s="409"/>
      <c r="Q154" s="409"/>
      <c r="R154" s="409"/>
      <c r="S154" s="409"/>
      <c r="T154" s="482"/>
      <c r="U154" s="399"/>
      <c r="V154" s="409"/>
      <c r="W154" s="1187"/>
      <c r="X154" s="409"/>
      <c r="Y154" s="409"/>
      <c r="Z154" s="1187"/>
      <c r="AA154" s="409"/>
      <c r="AB154" s="831"/>
      <c r="AC154" s="1187"/>
      <c r="AD154" s="409"/>
      <c r="AE154" s="409"/>
      <c r="AF154" s="409"/>
      <c r="AG154" s="409"/>
      <c r="AH154" s="409"/>
      <c r="AI154" s="409"/>
      <c r="AJ154" s="409"/>
      <c r="AK154" s="409"/>
      <c r="AL154" s="409"/>
      <c r="AM154" s="409"/>
      <c r="AN154" s="409"/>
      <c r="AO154" s="409"/>
      <c r="AP154" s="409"/>
      <c r="AQ154" s="409"/>
      <c r="AR154" s="409"/>
      <c r="AS154" s="409"/>
      <c r="AT154" s="409"/>
      <c r="AU154" s="409"/>
      <c r="AV154" s="409"/>
      <c r="AW154" s="409"/>
      <c r="AX154" s="409"/>
      <c r="AY154" s="409"/>
      <c r="AZ154" s="409"/>
      <c r="BA154" s="409"/>
      <c r="BB154" s="409"/>
      <c r="BC154" s="409"/>
      <c r="BD154" s="409"/>
      <c r="BE154" s="409"/>
      <c r="BF154" s="409"/>
      <c r="BG154" s="409"/>
      <c r="BH154" s="409"/>
      <c r="BI154" s="409"/>
      <c r="BJ154" s="323"/>
    </row>
    <row r="155" spans="1:62" s="312" customFormat="1">
      <c r="A155" s="344" t="s">
        <v>434</v>
      </c>
      <c r="B155" s="409"/>
      <c r="C155" s="409"/>
      <c r="D155" s="409"/>
      <c r="E155" s="409"/>
      <c r="F155" s="409"/>
      <c r="G155" s="409"/>
      <c r="H155" s="409"/>
      <c r="I155" s="409"/>
      <c r="J155" s="409"/>
      <c r="K155" s="409"/>
      <c r="L155" s="409"/>
      <c r="M155" s="409"/>
      <c r="N155" s="409"/>
      <c r="O155" s="409"/>
      <c r="P155" s="409"/>
      <c r="Q155" s="409"/>
      <c r="R155" s="409"/>
      <c r="S155" s="409"/>
      <c r="T155" s="482"/>
      <c r="U155" s="399"/>
      <c r="V155" s="409"/>
      <c r="W155" s="1187"/>
      <c r="X155" s="409"/>
      <c r="Y155" s="409"/>
      <c r="Z155" s="1187"/>
      <c r="AA155" s="409"/>
      <c r="AB155" s="831"/>
      <c r="AC155" s="1187"/>
      <c r="AD155" s="409"/>
      <c r="AE155" s="409"/>
      <c r="AF155" s="409"/>
      <c r="AG155" s="409"/>
      <c r="AH155" s="409"/>
      <c r="AI155" s="409"/>
      <c r="AJ155" s="409"/>
      <c r="AK155" s="409"/>
      <c r="AL155" s="409"/>
      <c r="AM155" s="409"/>
      <c r="AN155" s="409"/>
      <c r="AO155" s="409"/>
      <c r="AP155" s="409"/>
      <c r="AQ155" s="409"/>
      <c r="AR155" s="409"/>
      <c r="AS155" s="409"/>
      <c r="AT155" s="409"/>
      <c r="AU155" s="409"/>
      <c r="AV155" s="409"/>
      <c r="AW155" s="409"/>
      <c r="AX155" s="409"/>
      <c r="AY155" s="409"/>
      <c r="AZ155" s="409"/>
      <c r="BA155" s="409"/>
      <c r="BB155" s="409"/>
      <c r="BC155" s="409"/>
      <c r="BD155" s="409"/>
      <c r="BE155" s="409"/>
      <c r="BF155" s="409"/>
      <c r="BG155" s="409"/>
      <c r="BH155" s="409"/>
      <c r="BI155" s="409"/>
      <c r="BJ155" s="323"/>
    </row>
    <row r="156" spans="1:62" s="312" customFormat="1">
      <c r="A156" s="312" t="s">
        <v>1155</v>
      </c>
      <c r="B156" s="497">
        <v>31.346</v>
      </c>
      <c r="C156" s="409">
        <f>D156</f>
        <v>0</v>
      </c>
      <c r="D156" s="497">
        <v>0</v>
      </c>
      <c r="E156" s="497">
        <v>94.83</v>
      </c>
      <c r="F156" s="409">
        <f>G156</f>
        <v>0</v>
      </c>
      <c r="G156" s="497">
        <v>0</v>
      </c>
      <c r="H156" s="497">
        <v>65.727999999999994</v>
      </c>
      <c r="I156" s="409">
        <f>J156</f>
        <v>0</v>
      </c>
      <c r="J156" s="497">
        <v>0</v>
      </c>
      <c r="K156" s="497">
        <v>169.02</v>
      </c>
      <c r="L156" s="409">
        <f>M156</f>
        <v>0</v>
      </c>
      <c r="M156" s="497">
        <v>0</v>
      </c>
      <c r="N156" s="497">
        <v>14.776</v>
      </c>
      <c r="O156" s="409">
        <f>P156</f>
        <v>0</v>
      </c>
      <c r="P156" s="497">
        <v>0</v>
      </c>
      <c r="Q156" s="497">
        <v>0</v>
      </c>
      <c r="R156" s="409">
        <f>S156</f>
        <v>0</v>
      </c>
      <c r="S156" s="409">
        <f>P156</f>
        <v>0</v>
      </c>
      <c r="T156" s="894">
        <v>80.992999999999995</v>
      </c>
      <c r="U156" s="399">
        <f>Debt!U9</f>
        <v>3.2450000000000001</v>
      </c>
      <c r="V156" s="409">
        <f>Debt!V9</f>
        <v>3.2450000000000001</v>
      </c>
      <c r="W156" s="1185">
        <v>102.068</v>
      </c>
      <c r="X156" s="409">
        <f>Debt!X9</f>
        <v>2.7349999999999999</v>
      </c>
      <c r="Y156" s="409">
        <f>Debt!Y9</f>
        <v>2.7349999999999999</v>
      </c>
      <c r="Z156" s="1185">
        <v>78.388999999999996</v>
      </c>
      <c r="AA156" s="409">
        <f>Debt!AA9</f>
        <v>1.0489999999999999</v>
      </c>
      <c r="AB156" s="831">
        <f>Debt!AB9</f>
        <v>1.0489999999999999</v>
      </c>
      <c r="AC156" s="1185">
        <v>123.116</v>
      </c>
      <c r="AD156" s="409">
        <f>Debt!AD9</f>
        <v>0</v>
      </c>
      <c r="AE156" s="409">
        <f>Debt!AE9</f>
        <v>0</v>
      </c>
      <c r="AF156" s="409">
        <f>Debt!AF9</f>
        <v>0</v>
      </c>
      <c r="AG156" s="409">
        <f>Debt!AG9</f>
        <v>0</v>
      </c>
      <c r="AH156" s="409">
        <f>Debt!AH9</f>
        <v>0</v>
      </c>
      <c r="AI156" s="409">
        <f>Debt!AI9</f>
        <v>0</v>
      </c>
      <c r="AJ156" s="409">
        <f>Debt!AJ9</f>
        <v>0</v>
      </c>
      <c r="AK156" s="409">
        <f>Debt!AK9</f>
        <v>0</v>
      </c>
      <c r="AL156" s="409"/>
      <c r="AM156" s="409"/>
      <c r="AN156" s="409">
        <f>Debt!AN9</f>
        <v>0</v>
      </c>
      <c r="AO156" s="409"/>
      <c r="AP156" s="409"/>
      <c r="AQ156" s="409">
        <f>Debt!AQ9</f>
        <v>0</v>
      </c>
      <c r="AR156" s="409"/>
      <c r="AS156" s="409"/>
      <c r="AT156" s="409">
        <f>Debt!AT9</f>
        <v>0</v>
      </c>
      <c r="AU156" s="409"/>
      <c r="AV156" s="409"/>
      <c r="AW156" s="409">
        <f>Debt!AW9</f>
        <v>0</v>
      </c>
      <c r="AX156" s="409"/>
      <c r="AY156" s="409"/>
      <c r="AZ156" s="409">
        <f>Debt!AZ9</f>
        <v>0</v>
      </c>
      <c r="BA156" s="409"/>
      <c r="BB156" s="409"/>
      <c r="BC156" s="409">
        <f>Debt!BC9</f>
        <v>0</v>
      </c>
      <c r="BD156" s="409"/>
      <c r="BE156" s="409"/>
      <c r="BF156" s="409">
        <f>Debt!BF9</f>
        <v>0</v>
      </c>
      <c r="BG156" s="409"/>
      <c r="BH156" s="409"/>
      <c r="BI156" s="409">
        <f>Debt!BI9</f>
        <v>0</v>
      </c>
      <c r="BJ156" s="323"/>
    </row>
    <row r="157" spans="1:62" s="312" customFormat="1">
      <c r="A157" s="312" t="s">
        <v>435</v>
      </c>
      <c r="B157" s="497"/>
      <c r="C157" s="409"/>
      <c r="D157" s="497"/>
      <c r="E157" s="497"/>
      <c r="F157" s="409"/>
      <c r="G157" s="497"/>
      <c r="H157" s="497"/>
      <c r="I157" s="409"/>
      <c r="J157" s="497"/>
      <c r="K157" s="497">
        <v>7.3760000000000003</v>
      </c>
      <c r="L157" s="409">
        <f>M157</f>
        <v>7.3819999999999997</v>
      </c>
      <c r="M157" s="497">
        <v>7.3819999999999997</v>
      </c>
      <c r="N157" s="497">
        <v>7.1219999999999999</v>
      </c>
      <c r="O157" s="409">
        <f>P157</f>
        <v>7.21</v>
      </c>
      <c r="P157" s="497">
        <v>7.21</v>
      </c>
      <c r="Q157" s="497">
        <v>7.9729999999999999</v>
      </c>
      <c r="R157" s="409">
        <f>S157</f>
        <v>12.172000000000001</v>
      </c>
      <c r="S157" s="497">
        <v>12.172000000000001</v>
      </c>
      <c r="T157" s="894">
        <v>19.056000000000001</v>
      </c>
      <c r="U157" s="399">
        <f>V157</f>
        <v>19.777000000000001</v>
      </c>
      <c r="V157" s="497">
        <v>19.777000000000001</v>
      </c>
      <c r="W157" s="1185">
        <v>20.888000000000002</v>
      </c>
      <c r="X157" s="409">
        <f>Y157</f>
        <v>22.02</v>
      </c>
      <c r="Y157" s="497">
        <v>22.02</v>
      </c>
      <c r="Z157" s="1185">
        <v>23.356000000000002</v>
      </c>
      <c r="AA157" s="409">
        <f>AB157</f>
        <v>24.245999999999999</v>
      </c>
      <c r="AB157" s="858">
        <v>24.245999999999999</v>
      </c>
      <c r="AC157" s="1185">
        <v>22.018999999999998</v>
      </c>
      <c r="AD157" s="409">
        <f t="shared" ref="AD157" si="732">AC157</f>
        <v>22.018999999999998</v>
      </c>
      <c r="AE157" s="409">
        <f>AB157</f>
        <v>24.245999999999999</v>
      </c>
      <c r="AF157" s="409">
        <f>AE157</f>
        <v>24.245999999999999</v>
      </c>
      <c r="AG157" s="409">
        <f t="shared" ref="AG157" si="733">AF157</f>
        <v>24.245999999999999</v>
      </c>
      <c r="AH157" s="409">
        <f>AE157</f>
        <v>24.245999999999999</v>
      </c>
      <c r="AI157" s="409">
        <f>AH157</f>
        <v>24.245999999999999</v>
      </c>
      <c r="AJ157" s="409">
        <f t="shared" ref="AJ157" si="734">AI157</f>
        <v>24.245999999999999</v>
      </c>
      <c r="AK157" s="409">
        <f>AH157</f>
        <v>24.245999999999999</v>
      </c>
      <c r="AL157" s="409"/>
      <c r="AM157" s="409"/>
      <c r="AN157" s="409">
        <f>AK157</f>
        <v>24.245999999999999</v>
      </c>
      <c r="AO157" s="409"/>
      <c r="AP157" s="409"/>
      <c r="AQ157" s="409">
        <f>AN157</f>
        <v>24.245999999999999</v>
      </c>
      <c r="AR157" s="409"/>
      <c r="AS157" s="409"/>
      <c r="AT157" s="409">
        <f>AQ157</f>
        <v>24.245999999999999</v>
      </c>
      <c r="AU157" s="409"/>
      <c r="AV157" s="409"/>
      <c r="AW157" s="409">
        <f>AT157</f>
        <v>24.245999999999999</v>
      </c>
      <c r="AX157" s="409"/>
      <c r="AY157" s="409"/>
      <c r="AZ157" s="409">
        <f>AW157</f>
        <v>24.245999999999999</v>
      </c>
      <c r="BA157" s="409"/>
      <c r="BB157" s="409"/>
      <c r="BC157" s="409">
        <f>AZ157</f>
        <v>24.245999999999999</v>
      </c>
      <c r="BD157" s="409"/>
      <c r="BE157" s="409"/>
      <c r="BF157" s="409">
        <f>BC157</f>
        <v>24.245999999999999</v>
      </c>
      <c r="BG157" s="409"/>
      <c r="BH157" s="409"/>
      <c r="BI157" s="409">
        <f t="shared" ref="BI157" si="735">BF157</f>
        <v>24.245999999999999</v>
      </c>
      <c r="BJ157" s="323"/>
    </row>
    <row r="158" spans="1:62" s="312" customFormat="1">
      <c r="A158" s="312" t="s">
        <v>436</v>
      </c>
      <c r="B158" s="497">
        <v>107.04300000000001</v>
      </c>
      <c r="C158" s="409">
        <f t="shared" ref="C158:C161" si="736">D158</f>
        <v>94.789000000000001</v>
      </c>
      <c r="D158" s="497">
        <v>94.789000000000001</v>
      </c>
      <c r="E158" s="497">
        <v>99.713999999999999</v>
      </c>
      <c r="F158" s="409">
        <f t="shared" ref="F158:F161" si="737">G158</f>
        <v>84.584999999999994</v>
      </c>
      <c r="G158" s="497">
        <v>84.584999999999994</v>
      </c>
      <c r="H158" s="497">
        <v>123.209</v>
      </c>
      <c r="I158" s="409">
        <f t="shared" ref="I158:I161" si="738">J158</f>
        <v>122.7</v>
      </c>
      <c r="J158" s="497">
        <v>122.7</v>
      </c>
      <c r="K158" s="497">
        <v>174.44200000000001</v>
      </c>
      <c r="L158" s="409">
        <f t="shared" ref="L158:L161" si="739">M158</f>
        <v>147.89099999999999</v>
      </c>
      <c r="M158" s="497">
        <v>147.89099999999999</v>
      </c>
      <c r="N158" s="497">
        <v>228.06200000000001</v>
      </c>
      <c r="O158" s="409">
        <f t="shared" ref="O158:O161" si="740">P158</f>
        <v>175.79599999999999</v>
      </c>
      <c r="P158" s="497">
        <v>175.79599999999999</v>
      </c>
      <c r="Q158" s="497">
        <v>335.13600000000002</v>
      </c>
      <c r="R158" s="409">
        <f t="shared" ref="R158:R161" si="741">S158</f>
        <v>292.27199999999999</v>
      </c>
      <c r="S158" s="497">
        <v>292.27199999999999</v>
      </c>
      <c r="T158" s="894">
        <v>303.76600000000002</v>
      </c>
      <c r="U158" s="399">
        <f>V158</f>
        <v>261.33600000000001</v>
      </c>
      <c r="V158" s="497">
        <v>261.33600000000001</v>
      </c>
      <c r="W158" s="1185">
        <v>333.74</v>
      </c>
      <c r="X158" s="409">
        <f>Y158</f>
        <v>273.26900000000001</v>
      </c>
      <c r="Y158" s="497">
        <v>273.26900000000001</v>
      </c>
      <c r="Z158" s="1185">
        <v>371.36599999999999</v>
      </c>
      <c r="AA158" s="409">
        <f>AB158</f>
        <v>309.91800000000001</v>
      </c>
      <c r="AB158" s="858">
        <v>309.91800000000001</v>
      </c>
      <c r="AC158" s="1185">
        <v>378.90800000000002</v>
      </c>
      <c r="AD158" s="409">
        <f>AE158</f>
        <v>359.80150220612626</v>
      </c>
      <c r="AE158" s="409">
        <f t="shared" ref="AE158:BF158" si="742">-AE8/365*AE195</f>
        <v>359.80150220612626</v>
      </c>
      <c r="AF158" s="409">
        <f>-AF8/181*AF195</f>
        <v>423.06251387426744</v>
      </c>
      <c r="AG158" s="409">
        <f>AH158</f>
        <v>358.23854195012967</v>
      </c>
      <c r="AH158" s="409">
        <f t="shared" si="742"/>
        <v>358.23854195012967</v>
      </c>
      <c r="AI158" s="409">
        <f>-AI8/181*AI195</f>
        <v>446.36475623735737</v>
      </c>
      <c r="AJ158" s="409">
        <f>AK158</f>
        <v>395.30571473405672</v>
      </c>
      <c r="AK158" s="409">
        <f t="shared" si="742"/>
        <v>395.30571473405672</v>
      </c>
      <c r="AL158" s="409"/>
      <c r="AM158" s="409"/>
      <c r="AN158" s="409">
        <f t="shared" si="742"/>
        <v>435.97170845718153</v>
      </c>
      <c r="AO158" s="409"/>
      <c r="AP158" s="409"/>
      <c r="AQ158" s="409">
        <f t="shared" si="742"/>
        <v>480.11080652446981</v>
      </c>
      <c r="AR158" s="409"/>
      <c r="AS158" s="409"/>
      <c r="AT158" s="409">
        <f t="shared" si="742"/>
        <v>528.17217998778631</v>
      </c>
      <c r="AU158" s="409"/>
      <c r="AV158" s="409"/>
      <c r="AW158" s="409">
        <f t="shared" si="742"/>
        <v>581.47167573541083</v>
      </c>
      <c r="AX158" s="409"/>
      <c r="AY158" s="409"/>
      <c r="AZ158" s="409">
        <f t="shared" si="742"/>
        <v>640.61284095362589</v>
      </c>
      <c r="BA158" s="409"/>
      <c r="BB158" s="409"/>
      <c r="BC158" s="409">
        <f t="shared" si="742"/>
        <v>706.2721455596436</v>
      </c>
      <c r="BD158" s="409"/>
      <c r="BE158" s="409"/>
      <c r="BF158" s="409">
        <f t="shared" si="742"/>
        <v>779.20818015074576</v>
      </c>
      <c r="BG158" s="409"/>
      <c r="BH158" s="409"/>
      <c r="BI158" s="409">
        <f t="shared" ref="BI158" si="743">-BI8/365*BI195</f>
        <v>860.71858868494769</v>
      </c>
      <c r="BJ158" s="323"/>
    </row>
    <row r="159" spans="1:62" s="312" customFormat="1">
      <c r="A159" s="312" t="s">
        <v>437</v>
      </c>
      <c r="B159" s="497">
        <v>0</v>
      </c>
      <c r="C159" s="409">
        <f t="shared" si="736"/>
        <v>0</v>
      </c>
      <c r="D159" s="497">
        <v>0</v>
      </c>
      <c r="E159" s="497"/>
      <c r="F159" s="409">
        <f t="shared" si="737"/>
        <v>0</v>
      </c>
      <c r="G159" s="497">
        <v>0</v>
      </c>
      <c r="H159" s="497"/>
      <c r="I159" s="409">
        <f t="shared" si="738"/>
        <v>0</v>
      </c>
      <c r="J159" s="497">
        <v>0</v>
      </c>
      <c r="K159" s="497"/>
      <c r="L159" s="409">
        <f t="shared" si="739"/>
        <v>0</v>
      </c>
      <c r="M159" s="497"/>
      <c r="N159" s="497"/>
      <c r="O159" s="409">
        <f t="shared" si="740"/>
        <v>0</v>
      </c>
      <c r="P159" s="497"/>
      <c r="Q159" s="497"/>
      <c r="R159" s="409">
        <f t="shared" si="741"/>
        <v>0</v>
      </c>
      <c r="S159" s="409"/>
      <c r="T159" s="482">
        <f>Q159</f>
        <v>0</v>
      </c>
      <c r="U159" s="399">
        <f t="shared" ref="U159:U161" si="744">V159</f>
        <v>0</v>
      </c>
      <c r="V159" s="409">
        <f>T159</f>
        <v>0</v>
      </c>
      <c r="W159" s="1187">
        <f>T159</f>
        <v>0</v>
      </c>
      <c r="X159" s="409">
        <f t="shared" ref="X159" si="745">Y159</f>
        <v>0</v>
      </c>
      <c r="Y159" s="409">
        <f>V159</f>
        <v>0</v>
      </c>
      <c r="Z159" s="1187">
        <f>W159</f>
        <v>0</v>
      </c>
      <c r="AA159" s="409">
        <f t="shared" ref="AA159" si="746">AB159</f>
        <v>0</v>
      </c>
      <c r="AB159" s="831">
        <f>Y159</f>
        <v>0</v>
      </c>
      <c r="AC159" s="1187">
        <f>Z159</f>
        <v>0</v>
      </c>
      <c r="AD159" s="409">
        <f t="shared" ref="AD159" si="747">AE159</f>
        <v>0</v>
      </c>
      <c r="AE159" s="409">
        <f>AB159</f>
        <v>0</v>
      </c>
      <c r="AF159" s="409">
        <f>AC159</f>
        <v>0</v>
      </c>
      <c r="AG159" s="409">
        <f t="shared" ref="AG159" si="748">AH159</f>
        <v>0</v>
      </c>
      <c r="AH159" s="409">
        <f>AE159</f>
        <v>0</v>
      </c>
      <c r="AI159" s="409">
        <f>AF159</f>
        <v>0</v>
      </c>
      <c r="AJ159" s="409">
        <f t="shared" ref="AJ159" si="749">AK159</f>
        <v>0</v>
      </c>
      <c r="AK159" s="409">
        <f>AH159</f>
        <v>0</v>
      </c>
      <c r="AL159" s="409"/>
      <c r="AM159" s="409"/>
      <c r="AN159" s="409">
        <f>AK159</f>
        <v>0</v>
      </c>
      <c r="AO159" s="409"/>
      <c r="AP159" s="409"/>
      <c r="AQ159" s="409">
        <f>AN159</f>
        <v>0</v>
      </c>
      <c r="AR159" s="409"/>
      <c r="AS159" s="409"/>
      <c r="AT159" s="409">
        <f>AQ159</f>
        <v>0</v>
      </c>
      <c r="AU159" s="409"/>
      <c r="AV159" s="409"/>
      <c r="AW159" s="409">
        <f>AT159</f>
        <v>0</v>
      </c>
      <c r="AX159" s="409"/>
      <c r="AY159" s="409"/>
      <c r="AZ159" s="409">
        <f>AW159</f>
        <v>0</v>
      </c>
      <c r="BA159" s="409"/>
      <c r="BB159" s="409"/>
      <c r="BC159" s="409">
        <f>AZ159</f>
        <v>0</v>
      </c>
      <c r="BD159" s="409"/>
      <c r="BE159" s="409"/>
      <c r="BF159" s="409">
        <f>BC159</f>
        <v>0</v>
      </c>
      <c r="BG159" s="409"/>
      <c r="BH159" s="409"/>
      <c r="BI159" s="409">
        <f t="shared" ref="BI159" si="750">BF159</f>
        <v>0</v>
      </c>
      <c r="BJ159" s="323"/>
    </row>
    <row r="160" spans="1:62" s="312" customFormat="1">
      <c r="A160" s="312" t="s">
        <v>1156</v>
      </c>
      <c r="B160" s="497">
        <v>16.690999999999999</v>
      </c>
      <c r="C160" s="409">
        <f t="shared" si="736"/>
        <v>14.827999999999999</v>
      </c>
      <c r="D160" s="497">
        <v>14.827999999999999</v>
      </c>
      <c r="E160" s="497">
        <v>19.809999999999999</v>
      </c>
      <c r="F160" s="409">
        <f t="shared" si="737"/>
        <v>13.744999999999999</v>
      </c>
      <c r="G160" s="497">
        <v>13.744999999999999</v>
      </c>
      <c r="H160" s="497">
        <v>18.856999999999999</v>
      </c>
      <c r="I160" s="409">
        <f t="shared" si="738"/>
        <v>13.96</v>
      </c>
      <c r="J160" s="497">
        <v>13.96</v>
      </c>
      <c r="K160" s="497">
        <v>20.952000000000002</v>
      </c>
      <c r="L160" s="409">
        <f t="shared" si="739"/>
        <v>20.213999999999999</v>
      </c>
      <c r="M160" s="497">
        <v>20.213999999999999</v>
      </c>
      <c r="N160" s="497">
        <v>29.445</v>
      </c>
      <c r="O160" s="409">
        <f t="shared" si="740"/>
        <v>23.591999999999999</v>
      </c>
      <c r="P160" s="497">
        <v>23.591999999999999</v>
      </c>
      <c r="Q160" s="497">
        <v>33.972999999999999</v>
      </c>
      <c r="R160" s="409">
        <f t="shared" si="741"/>
        <v>29.481999999999999</v>
      </c>
      <c r="S160" s="497">
        <v>29.481999999999999</v>
      </c>
      <c r="T160" s="894">
        <v>35.399000000000001</v>
      </c>
      <c r="U160" s="399">
        <f>V160</f>
        <v>29.699000000000002</v>
      </c>
      <c r="V160" s="497">
        <v>29.699000000000002</v>
      </c>
      <c r="W160" s="1185">
        <v>34.668999999999997</v>
      </c>
      <c r="X160" s="409">
        <f>Y160</f>
        <v>30.337</v>
      </c>
      <c r="Y160" s="497">
        <v>30.337</v>
      </c>
      <c r="Z160" s="1185">
        <v>35.32</v>
      </c>
      <c r="AA160" s="409">
        <f>AB160</f>
        <v>31.826000000000001</v>
      </c>
      <c r="AB160" s="858">
        <v>31.826000000000001</v>
      </c>
      <c r="AC160" s="1185">
        <v>39.298000000000002</v>
      </c>
      <c r="AD160" s="409">
        <f>AE160</f>
        <v>34.728974503181341</v>
      </c>
      <c r="AE160" s="409">
        <f>AB160/AB5*AE5</f>
        <v>34.728974503181341</v>
      </c>
      <c r="AF160" s="409">
        <f>AC160/AC5*AF5</f>
        <v>42.12576183035344</v>
      </c>
      <c r="AG160" s="409">
        <f>AH160</f>
        <v>38.206595998796764</v>
      </c>
      <c r="AH160" s="409">
        <f>AE160/AE5*AH5</f>
        <v>38.206595998796764</v>
      </c>
      <c r="AI160" s="409">
        <f>AF160/AF5*AI5</f>
        <v>45.293802451461659</v>
      </c>
      <c r="AJ160" s="409">
        <f>AK160</f>
        <v>42.25884882711852</v>
      </c>
      <c r="AK160" s="409">
        <f>AH160/AH5*AK5</f>
        <v>42.25884882711852</v>
      </c>
      <c r="AL160" s="409"/>
      <c r="AM160" s="409"/>
      <c r="AN160" s="409">
        <f>AK160/AK5*AN5</f>
        <v>46.776755721979008</v>
      </c>
      <c r="AO160" s="409"/>
      <c r="AP160" s="409"/>
      <c r="AQ160" s="409">
        <f>AN160/AN5*AQ5</f>
        <v>51.684600736442704</v>
      </c>
      <c r="AR160" s="409"/>
      <c r="AS160" s="409"/>
      <c r="AT160" s="409">
        <f>AQ160/AQ5*AT5</f>
        <v>57.066899737637627</v>
      </c>
      <c r="AU160" s="409"/>
      <c r="AV160" s="409"/>
      <c r="AW160" s="409">
        <f>AT160/AT5*AW5</f>
        <v>63.056004127604218</v>
      </c>
      <c r="AX160" s="409"/>
      <c r="AY160" s="409"/>
      <c r="AZ160" s="409">
        <f>AW160/AW5*AZ5</f>
        <v>69.723975758003036</v>
      </c>
      <c r="BA160" s="409"/>
      <c r="BB160" s="409"/>
      <c r="BC160" s="409">
        <f>AZ160/AZ5*BC5</f>
        <v>77.151822712262828</v>
      </c>
      <c r="BD160" s="409"/>
      <c r="BE160" s="409"/>
      <c r="BF160" s="409">
        <f>BC160/BC5*BF5</f>
        <v>85.430655921238085</v>
      </c>
      <c r="BG160" s="409"/>
      <c r="BH160" s="409"/>
      <c r="BI160" s="409">
        <f t="shared" ref="BI160" si="751">BF160/BF5*BI5</f>
        <v>94.663000768869381</v>
      </c>
      <c r="BJ160" s="323"/>
    </row>
    <row r="161" spans="1:62" s="312" customFormat="1">
      <c r="A161" s="312" t="s">
        <v>1143</v>
      </c>
      <c r="B161" s="497">
        <f>0.336+6.456</f>
        <v>6.7920000000000007</v>
      </c>
      <c r="C161" s="409">
        <f t="shared" si="736"/>
        <v>7.3289999999999997</v>
      </c>
      <c r="D161" s="497">
        <f>5.492+1.837</f>
        <v>7.3289999999999997</v>
      </c>
      <c r="E161" s="497">
        <f>10.723+1.79</f>
        <v>12.513000000000002</v>
      </c>
      <c r="F161" s="409">
        <f t="shared" si="737"/>
        <v>10.471</v>
      </c>
      <c r="G161" s="497">
        <f>10.18+0.291</f>
        <v>10.471</v>
      </c>
      <c r="H161" s="497">
        <f>7.565+0.131</f>
        <v>7.6960000000000006</v>
      </c>
      <c r="I161" s="409">
        <f t="shared" si="738"/>
        <v>6.74</v>
      </c>
      <c r="J161" s="497">
        <f>6.276+0.464</f>
        <v>6.74</v>
      </c>
      <c r="K161" s="497">
        <f>4.957+1.575</f>
        <v>6.532</v>
      </c>
      <c r="L161" s="409">
        <f t="shared" si="739"/>
        <v>6.03</v>
      </c>
      <c r="M161" s="497">
        <f>5.014+1.016</f>
        <v>6.03</v>
      </c>
      <c r="N161" s="497">
        <f>17.518+8.892</f>
        <v>26.41</v>
      </c>
      <c r="O161" s="409">
        <f t="shared" si="740"/>
        <v>12.487</v>
      </c>
      <c r="P161" s="497">
        <f>11.861+0.626</f>
        <v>12.487</v>
      </c>
      <c r="Q161" s="497">
        <f>20.901+0.218</f>
        <v>21.119</v>
      </c>
      <c r="R161" s="409">
        <f t="shared" si="741"/>
        <v>9.1790000000000003</v>
      </c>
      <c r="S161" s="497">
        <f>0.33+8.849</f>
        <v>9.1790000000000003</v>
      </c>
      <c r="T161" s="894">
        <f>1.166+12.638</f>
        <v>13.804</v>
      </c>
      <c r="U161" s="399">
        <f t="shared" si="744"/>
        <v>7.7149999999999999</v>
      </c>
      <c r="V161" s="409">
        <f>6.285+1.43</f>
        <v>7.7149999999999999</v>
      </c>
      <c r="W161" s="1185">
        <f>19.423+1.471</f>
        <v>20.893999999999998</v>
      </c>
      <c r="X161" s="409">
        <f t="shared" ref="X161" si="752">Y161</f>
        <v>9.5830000000000002</v>
      </c>
      <c r="Y161" s="497">
        <f>9.376+0.207</f>
        <v>9.5830000000000002</v>
      </c>
      <c r="Z161" s="1185">
        <f>9.224+1.678</f>
        <v>10.902000000000001</v>
      </c>
      <c r="AA161" s="409">
        <f t="shared" ref="AA161" si="753">AB161</f>
        <v>19.548000000000002</v>
      </c>
      <c r="AB161" s="858">
        <f>5.312+14.236</f>
        <v>19.548000000000002</v>
      </c>
      <c r="AC161" s="1185">
        <f>7.183+3.088</f>
        <v>10.271000000000001</v>
      </c>
      <c r="AD161" s="409">
        <f t="shared" ref="AD161" si="754">AE161</f>
        <v>19.548000000000002</v>
      </c>
      <c r="AE161" s="409">
        <f>AB161</f>
        <v>19.548000000000002</v>
      </c>
      <c r="AF161" s="409">
        <f>AE161</f>
        <v>19.548000000000002</v>
      </c>
      <c r="AG161" s="409">
        <f t="shared" ref="AG161" si="755">AH161</f>
        <v>19.548000000000002</v>
      </c>
      <c r="AH161" s="409">
        <f>AE161</f>
        <v>19.548000000000002</v>
      </c>
      <c r="AI161" s="409">
        <f>AH161</f>
        <v>19.548000000000002</v>
      </c>
      <c r="AJ161" s="409">
        <f t="shared" ref="AJ161" si="756">AK161</f>
        <v>19.548000000000002</v>
      </c>
      <c r="AK161" s="409">
        <f>AH161</f>
        <v>19.548000000000002</v>
      </c>
      <c r="AL161" s="409"/>
      <c r="AM161" s="409"/>
      <c r="AN161" s="409">
        <f>AK161</f>
        <v>19.548000000000002</v>
      </c>
      <c r="AO161" s="409"/>
      <c r="AP161" s="409"/>
      <c r="AQ161" s="409">
        <f>AN161</f>
        <v>19.548000000000002</v>
      </c>
      <c r="AR161" s="409"/>
      <c r="AS161" s="409"/>
      <c r="AT161" s="409">
        <f>AQ161</f>
        <v>19.548000000000002</v>
      </c>
      <c r="AU161" s="409"/>
      <c r="AV161" s="409"/>
      <c r="AW161" s="409">
        <f>AT161</f>
        <v>19.548000000000002</v>
      </c>
      <c r="AX161" s="409"/>
      <c r="AY161" s="409"/>
      <c r="AZ161" s="409">
        <f>AW161</f>
        <v>19.548000000000002</v>
      </c>
      <c r="BA161" s="409"/>
      <c r="BB161" s="409"/>
      <c r="BC161" s="409">
        <f>AZ161</f>
        <v>19.548000000000002</v>
      </c>
      <c r="BD161" s="409"/>
      <c r="BE161" s="409"/>
      <c r="BF161" s="409">
        <f>BC161</f>
        <v>19.548000000000002</v>
      </c>
      <c r="BG161" s="409"/>
      <c r="BH161" s="409"/>
      <c r="BI161" s="409">
        <f t="shared" ref="BI161" si="757">BF161</f>
        <v>19.548000000000002</v>
      </c>
      <c r="BJ161" s="323"/>
    </row>
    <row r="162" spans="1:62" s="312" customFormat="1">
      <c r="A162" s="344" t="s">
        <v>439</v>
      </c>
      <c r="B162" s="406">
        <f t="shared" ref="B162:O162" si="758">SUM(B156:B161)</f>
        <v>161.87200000000001</v>
      </c>
      <c r="C162" s="406">
        <f t="shared" si="758"/>
        <v>116.946</v>
      </c>
      <c r="D162" s="406">
        <f t="shared" si="758"/>
        <v>116.946</v>
      </c>
      <c r="E162" s="406">
        <f t="shared" si="758"/>
        <v>226.86699999999999</v>
      </c>
      <c r="F162" s="406">
        <f t="shared" si="758"/>
        <v>108.801</v>
      </c>
      <c r="G162" s="406">
        <f t="shared" si="758"/>
        <v>108.801</v>
      </c>
      <c r="H162" s="406">
        <f t="shared" si="758"/>
        <v>215.49</v>
      </c>
      <c r="I162" s="406">
        <f t="shared" si="758"/>
        <v>143.4</v>
      </c>
      <c r="J162" s="406">
        <f t="shared" si="758"/>
        <v>143.4</v>
      </c>
      <c r="K162" s="406">
        <f t="shared" si="758"/>
        <v>378.322</v>
      </c>
      <c r="L162" s="406">
        <f t="shared" si="758"/>
        <v>181.517</v>
      </c>
      <c r="M162" s="406">
        <f t="shared" si="758"/>
        <v>181.517</v>
      </c>
      <c r="N162" s="406">
        <f t="shared" si="758"/>
        <v>305.81500000000005</v>
      </c>
      <c r="O162" s="406">
        <f t="shared" si="758"/>
        <v>219.08500000000001</v>
      </c>
      <c r="P162" s="406">
        <f t="shared" ref="P162:AN162" si="759">SUM(P156:P161)</f>
        <v>219.08500000000001</v>
      </c>
      <c r="Q162" s="406">
        <f t="shared" ref="Q162" si="760">SUM(Q156:Q161)</f>
        <v>398.20100000000002</v>
      </c>
      <c r="R162" s="406">
        <f>SUM(R156:R161)</f>
        <v>343.10500000000002</v>
      </c>
      <c r="S162" s="406">
        <f>SUM(S156:S161)</f>
        <v>343.10500000000002</v>
      </c>
      <c r="T162" s="485">
        <f t="shared" ref="T162" si="761">SUM(T156:T161)</f>
        <v>453.01799999999997</v>
      </c>
      <c r="U162" s="899">
        <f t="shared" si="759"/>
        <v>321.77199999999999</v>
      </c>
      <c r="V162" s="406">
        <f t="shared" si="759"/>
        <v>321.77199999999999</v>
      </c>
      <c r="W162" s="1186">
        <f t="shared" si="759"/>
        <v>512.25900000000001</v>
      </c>
      <c r="X162" s="406">
        <f t="shared" ref="X162" si="762">SUM(X156:X161)</f>
        <v>337.94400000000002</v>
      </c>
      <c r="Y162" s="406">
        <f t="shared" si="759"/>
        <v>337.94400000000002</v>
      </c>
      <c r="Z162" s="1186">
        <f>SUM(Z156:Z161)</f>
        <v>519.33299999999997</v>
      </c>
      <c r="AA162" s="406">
        <f t="shared" ref="AA162" si="763">SUM(AA156:AA161)</f>
        <v>386.58700000000005</v>
      </c>
      <c r="AB162" s="829">
        <f t="shared" si="759"/>
        <v>386.58700000000005</v>
      </c>
      <c r="AC162" s="1186">
        <f t="shared" si="759"/>
        <v>573.61199999999997</v>
      </c>
      <c r="AD162" s="406">
        <f t="shared" si="759"/>
        <v>436.09747670930761</v>
      </c>
      <c r="AE162" s="406">
        <f t="shared" si="759"/>
        <v>438.32447670930759</v>
      </c>
      <c r="AF162" s="406">
        <f t="shared" ref="AF162:AG162" si="764">SUM(AF156:AF161)</f>
        <v>508.98227570462086</v>
      </c>
      <c r="AG162" s="406">
        <f t="shared" si="764"/>
        <v>440.23913794892644</v>
      </c>
      <c r="AH162" s="406">
        <f t="shared" si="759"/>
        <v>440.23913794892644</v>
      </c>
      <c r="AI162" s="406">
        <f t="shared" si="759"/>
        <v>535.45255868881895</v>
      </c>
      <c r="AJ162" s="406">
        <f t="shared" si="759"/>
        <v>481.35856356117523</v>
      </c>
      <c r="AK162" s="406">
        <f t="shared" si="759"/>
        <v>481.35856356117523</v>
      </c>
      <c r="AL162" s="406"/>
      <c r="AM162" s="406"/>
      <c r="AN162" s="406">
        <f t="shared" si="759"/>
        <v>526.54246417916056</v>
      </c>
      <c r="AO162" s="406"/>
      <c r="AP162" s="406"/>
      <c r="AQ162" s="406">
        <f t="shared" ref="AQ162:AT162" si="765">SUM(AQ156:AQ161)</f>
        <v>575.58940726091248</v>
      </c>
      <c r="AR162" s="406"/>
      <c r="AS162" s="406"/>
      <c r="AT162" s="406">
        <f t="shared" si="765"/>
        <v>629.03307972542393</v>
      </c>
      <c r="AU162" s="406"/>
      <c r="AV162" s="406"/>
      <c r="AW162" s="406">
        <f t="shared" ref="AW162" si="766">SUM(AW156:AW161)</f>
        <v>688.32167986301499</v>
      </c>
      <c r="AX162" s="406"/>
      <c r="AY162" s="406"/>
      <c r="AZ162" s="406">
        <f t="shared" ref="AZ162:BC162" si="767">SUM(AZ156:AZ161)</f>
        <v>754.13081671162888</v>
      </c>
      <c r="BA162" s="406"/>
      <c r="BB162" s="406"/>
      <c r="BC162" s="406">
        <f t="shared" si="767"/>
        <v>827.21796827190644</v>
      </c>
      <c r="BD162" s="406"/>
      <c r="BE162" s="406"/>
      <c r="BF162" s="406">
        <f t="shared" ref="BF162" si="768">SUM(BF156:BF161)</f>
        <v>908.43283607198384</v>
      </c>
      <c r="BG162" s="406"/>
      <c r="BH162" s="406"/>
      <c r="BI162" s="406">
        <f t="shared" ref="BI162" si="769">SUM(BI156:BI161)</f>
        <v>999.17558945381711</v>
      </c>
      <c r="BJ162" s="322"/>
    </row>
    <row r="163" spans="1:62" s="312" customFormat="1">
      <c r="B163" s="409"/>
      <c r="C163" s="409"/>
      <c r="D163" s="409"/>
      <c r="E163" s="409"/>
      <c r="F163" s="409"/>
      <c r="G163" s="409"/>
      <c r="H163" s="409"/>
      <c r="I163" s="409"/>
      <c r="J163" s="409"/>
      <c r="K163" s="409"/>
      <c r="L163" s="409"/>
      <c r="M163" s="409"/>
      <c r="N163" s="409"/>
      <c r="O163" s="409"/>
      <c r="P163" s="409"/>
      <c r="Q163" s="409"/>
      <c r="R163" s="409"/>
      <c r="S163" s="409"/>
      <c r="T163" s="482"/>
      <c r="U163" s="399"/>
      <c r="V163" s="409"/>
      <c r="W163" s="1187"/>
      <c r="X163" s="409"/>
      <c r="Y163" s="409"/>
      <c r="Z163" s="1187"/>
      <c r="AA163" s="409"/>
      <c r="AB163" s="831"/>
      <c r="AC163" s="1187"/>
      <c r="AD163" s="409"/>
      <c r="AE163" s="409"/>
      <c r="AF163" s="409"/>
      <c r="AG163" s="409"/>
      <c r="AH163" s="409"/>
      <c r="AI163" s="409"/>
      <c r="AJ163" s="409"/>
      <c r="AK163" s="409"/>
      <c r="AL163" s="409"/>
      <c r="AM163" s="409"/>
      <c r="AN163" s="409"/>
      <c r="AO163" s="409"/>
      <c r="AP163" s="409"/>
      <c r="AQ163" s="409"/>
      <c r="AR163" s="409"/>
      <c r="AS163" s="409"/>
      <c r="AT163" s="409"/>
      <c r="AU163" s="409"/>
      <c r="AV163" s="409"/>
      <c r="AW163" s="409"/>
      <c r="AX163" s="409"/>
      <c r="AY163" s="409"/>
      <c r="AZ163" s="409"/>
      <c r="BA163" s="409"/>
      <c r="BB163" s="409"/>
      <c r="BC163" s="409"/>
      <c r="BD163" s="409"/>
      <c r="BE163" s="409"/>
      <c r="BF163" s="409"/>
      <c r="BG163" s="409"/>
      <c r="BH163" s="409"/>
      <c r="BI163" s="409"/>
      <c r="BJ163" s="323"/>
    </row>
    <row r="164" spans="1:62" s="312" customFormat="1">
      <c r="A164" s="344" t="s">
        <v>440</v>
      </c>
      <c r="B164" s="409"/>
      <c r="C164" s="409"/>
      <c r="D164" s="409"/>
      <c r="E164" s="409"/>
      <c r="F164" s="409"/>
      <c r="G164" s="409"/>
      <c r="H164" s="409"/>
      <c r="I164" s="409"/>
      <c r="J164" s="409"/>
      <c r="K164" s="409"/>
      <c r="L164" s="409"/>
      <c r="M164" s="409"/>
      <c r="N164" s="409"/>
      <c r="O164" s="409"/>
      <c r="P164" s="409"/>
      <c r="Q164" s="409"/>
      <c r="R164" s="409"/>
      <c r="S164" s="409"/>
      <c r="T164" s="482"/>
      <c r="U164" s="399"/>
      <c r="V164" s="409"/>
      <c r="W164" s="1187"/>
      <c r="X164" s="409"/>
      <c r="Y164" s="409"/>
      <c r="Z164" s="1187"/>
      <c r="AA164" s="409"/>
      <c r="AB164" s="831"/>
      <c r="AC164" s="1187"/>
      <c r="AD164" s="409"/>
      <c r="AE164" s="409"/>
      <c r="AF164" s="409"/>
      <c r="AG164" s="409"/>
      <c r="AH164" s="409"/>
      <c r="AI164" s="409"/>
      <c r="AJ164" s="409"/>
      <c r="AK164" s="409"/>
      <c r="AL164" s="409"/>
      <c r="AM164" s="409"/>
      <c r="AN164" s="409"/>
      <c r="AO164" s="409"/>
      <c r="AP164" s="409"/>
      <c r="AQ164" s="409"/>
      <c r="AR164" s="409"/>
      <c r="AS164" s="409"/>
      <c r="AT164" s="409"/>
      <c r="AU164" s="409"/>
      <c r="AV164" s="409"/>
      <c r="AW164" s="409"/>
      <c r="AX164" s="409"/>
      <c r="AY164" s="409"/>
      <c r="AZ164" s="409"/>
      <c r="BA164" s="409"/>
      <c r="BB164" s="409"/>
      <c r="BC164" s="409"/>
      <c r="BD164" s="409"/>
      <c r="BE164" s="409"/>
      <c r="BF164" s="409"/>
      <c r="BG164" s="409"/>
      <c r="BH164" s="409"/>
      <c r="BI164" s="409"/>
      <c r="BJ164" s="323"/>
    </row>
    <row r="165" spans="1:62" s="312" customFormat="1">
      <c r="A165" s="312" t="s">
        <v>1155</v>
      </c>
      <c r="B165" s="497">
        <v>0</v>
      </c>
      <c r="C165" s="409">
        <f>D165</f>
        <v>35.841000000000001</v>
      </c>
      <c r="D165" s="497">
        <v>35.841000000000001</v>
      </c>
      <c r="E165" s="497">
        <v>0</v>
      </c>
      <c r="F165" s="409">
        <f>G165</f>
        <v>45.323999999999998</v>
      </c>
      <c r="G165" s="497">
        <v>45.323999999999998</v>
      </c>
      <c r="H165" s="497">
        <v>0</v>
      </c>
      <c r="I165" s="409">
        <f>J165</f>
        <v>47.283000000000001</v>
      </c>
      <c r="J165" s="497">
        <v>47.283000000000001</v>
      </c>
      <c r="K165" s="497">
        <v>0</v>
      </c>
      <c r="L165" s="409">
        <f>M165</f>
        <v>0</v>
      </c>
      <c r="M165" s="497">
        <v>0</v>
      </c>
      <c r="N165" s="497">
        <v>0</v>
      </c>
      <c r="O165" s="409">
        <f>P165</f>
        <v>0</v>
      </c>
      <c r="P165" s="497">
        <v>0</v>
      </c>
      <c r="Q165" s="497">
        <v>146.411</v>
      </c>
      <c r="R165" s="409">
        <f>S165</f>
        <v>172.34899999999999</v>
      </c>
      <c r="S165" s="497">
        <v>172.34899999999999</v>
      </c>
      <c r="T165" s="500">
        <v>246.38200000000001</v>
      </c>
      <c r="U165" s="399">
        <f>Debt!U10</f>
        <v>202.19999999999993</v>
      </c>
      <c r="V165" s="497">
        <f>Debt!V10</f>
        <v>202.19999999999993</v>
      </c>
      <c r="W165" s="1191">
        <v>141.64099999999999</v>
      </c>
      <c r="X165" s="409">
        <f>Debt!X10</f>
        <v>81.430999999999955</v>
      </c>
      <c r="Y165" s="497">
        <f>Debt!Y10</f>
        <v>81.430999999999955</v>
      </c>
      <c r="Z165" s="1191">
        <v>98.316999999999993</v>
      </c>
      <c r="AA165" s="409">
        <f>Debt!AA10</f>
        <v>56.233999999999952</v>
      </c>
      <c r="AB165" s="858">
        <f>Debt!AB10</f>
        <v>56.233999999999952</v>
      </c>
      <c r="AC165" s="1191">
        <v>97.29</v>
      </c>
      <c r="AD165" s="409">
        <f>Debt!AD10</f>
        <v>137.28299999999996</v>
      </c>
      <c r="AE165" s="409">
        <f>Debt!AE10</f>
        <v>137.28299999999996</v>
      </c>
      <c r="AF165" s="409">
        <f>Debt!AF10</f>
        <v>137.28299999999996</v>
      </c>
      <c r="AG165" s="409">
        <f>Debt!AG10</f>
        <v>77.282999999999959</v>
      </c>
      <c r="AH165" s="409">
        <f>Debt!AH10</f>
        <v>77.282999999999959</v>
      </c>
      <c r="AI165" s="409">
        <f>Debt!AI10</f>
        <v>0</v>
      </c>
      <c r="AJ165" s="409">
        <f>Debt!AJ10</f>
        <v>0</v>
      </c>
      <c r="AK165" s="409">
        <f>Debt!AK10</f>
        <v>77.282999999999959</v>
      </c>
      <c r="AL165" s="409"/>
      <c r="AM165" s="409"/>
      <c r="AN165" s="409">
        <f>Debt!AN10</f>
        <v>77.282999999999959</v>
      </c>
      <c r="AO165" s="409"/>
      <c r="AP165" s="409"/>
      <c r="AQ165" s="409">
        <f>Debt!AQ10</f>
        <v>77.282999999999959</v>
      </c>
      <c r="AR165" s="409"/>
      <c r="AS165" s="409"/>
      <c r="AT165" s="409">
        <f>Debt!AT10</f>
        <v>77.282999999999959</v>
      </c>
      <c r="AU165" s="409"/>
      <c r="AV165" s="409"/>
      <c r="AW165" s="409">
        <f>Debt!AW10</f>
        <v>77.282999999999959</v>
      </c>
      <c r="AX165" s="409"/>
      <c r="AY165" s="409"/>
      <c r="AZ165" s="409">
        <f>Debt!AZ10</f>
        <v>77.282999999999959</v>
      </c>
      <c r="BA165" s="409"/>
      <c r="BB165" s="409"/>
      <c r="BC165" s="409">
        <f>Debt!BC10</f>
        <v>77.282999999999959</v>
      </c>
      <c r="BD165" s="409"/>
      <c r="BE165" s="409"/>
      <c r="BF165" s="409">
        <f>Debt!BF10</f>
        <v>77.282999999999959</v>
      </c>
      <c r="BG165" s="409"/>
      <c r="BH165" s="409"/>
      <c r="BI165" s="409">
        <f>Debt!BI10</f>
        <v>77.282999999999959</v>
      </c>
      <c r="BJ165" s="323"/>
    </row>
    <row r="166" spans="1:62" s="312" customFormat="1">
      <c r="A166" s="312" t="s">
        <v>435</v>
      </c>
      <c r="B166" s="497"/>
      <c r="C166" s="409"/>
      <c r="D166" s="497"/>
      <c r="E166" s="497"/>
      <c r="F166" s="409"/>
      <c r="G166" s="497"/>
      <c r="H166" s="497"/>
      <c r="I166" s="409"/>
      <c r="J166" s="497"/>
      <c r="K166" s="497">
        <v>19.571999999999999</v>
      </c>
      <c r="L166" s="409">
        <f>M166</f>
        <v>16.963999999999999</v>
      </c>
      <c r="M166" s="497">
        <v>16.963999999999999</v>
      </c>
      <c r="N166" s="497">
        <v>13.539</v>
      </c>
      <c r="O166" s="409">
        <f>P166</f>
        <v>31.506</v>
      </c>
      <c r="P166" s="497">
        <v>31.506</v>
      </c>
      <c r="Q166" s="497">
        <v>27.899000000000001</v>
      </c>
      <c r="R166" s="409">
        <f>S166</f>
        <v>37.643000000000001</v>
      </c>
      <c r="S166" s="497">
        <v>37.643000000000001</v>
      </c>
      <c r="T166" s="894">
        <v>59.64</v>
      </c>
      <c r="U166" s="399">
        <f>V166</f>
        <v>55.272000000000006</v>
      </c>
      <c r="V166" s="497">
        <f>PPE_and_intangibles!V51-V157</f>
        <v>55.272000000000006</v>
      </c>
      <c r="W166" s="1185">
        <v>56.088999999999999</v>
      </c>
      <c r="X166" s="409">
        <f>PPE_and_intangibles!X51-X157</f>
        <v>49.796999999999997</v>
      </c>
      <c r="Y166" s="497">
        <f>PPE_and_intangibles!Y51-Y157</f>
        <v>49.796999999999997</v>
      </c>
      <c r="Z166" s="1185">
        <v>48.616999999999997</v>
      </c>
      <c r="AA166" s="409">
        <f>PPE_and_intangibles!AA51-AA157</f>
        <v>36.935000000000002</v>
      </c>
      <c r="AB166" s="858">
        <f>PPE_and_intangibles!AB51-AB157</f>
        <v>36.935000000000002</v>
      </c>
      <c r="AC166" s="1185">
        <v>50.875</v>
      </c>
      <c r="AD166" s="409">
        <f>PPE_and_intangibles!AD51-AD157</f>
        <v>45.618756262344355</v>
      </c>
      <c r="AE166" s="409">
        <f>PPE_and_intangibles!AE51-AE157</f>
        <v>43.391756262344359</v>
      </c>
      <c r="AF166" s="409">
        <f>PPE_and_intangibles!AF51-AF157</f>
        <v>44.124814764444437</v>
      </c>
      <c r="AG166" s="409">
        <f>PPE_and_intangibles!AG51-AG157</f>
        <v>49.743566685072636</v>
      </c>
      <c r="AH166" s="409">
        <f>PPE_and_intangibles!AH51-AH157</f>
        <v>49.743566685072651</v>
      </c>
      <c r="AI166" s="409">
        <f>PPE_and_intangibles!AI51-AI157</f>
        <v>50.715148053142883</v>
      </c>
      <c r="AJ166" s="409">
        <f>PPE_and_intangibles!AJ51-AJ157</f>
        <v>57.030033286160759</v>
      </c>
      <c r="AK166" s="409">
        <f>PPE_and_intangibles!AK51-AK157</f>
        <v>57.030033286160773</v>
      </c>
      <c r="AL166" s="409"/>
      <c r="AM166" s="409"/>
      <c r="AN166" s="409">
        <f>PPE_and_intangibles!AN51-AN157</f>
        <v>65.293549813684848</v>
      </c>
      <c r="AO166" s="409"/>
      <c r="AP166" s="409"/>
      <c r="AQ166" s="409">
        <f>PPE_and_intangibles!AQ51-AQ157</f>
        <v>74.507903973446716</v>
      </c>
      <c r="AR166" s="409"/>
      <c r="AS166" s="409"/>
      <c r="AT166" s="409">
        <f>PPE_and_intangibles!AT51-AT157</f>
        <v>84.716761098094452</v>
      </c>
      <c r="AU166" s="409"/>
      <c r="AV166" s="409"/>
      <c r="AW166" s="409">
        <f>PPE_and_intangibles!AW51-AW157</f>
        <v>96.046317811410049</v>
      </c>
      <c r="AX166" s="409"/>
      <c r="AY166" s="409"/>
      <c r="AZ166" s="409">
        <f>PPE_and_intangibles!AZ51-AZ157</f>
        <v>108.6351877196003</v>
      </c>
      <c r="BA166" s="409"/>
      <c r="BB166" s="409"/>
      <c r="BC166" s="409">
        <f>PPE_and_intangibles!BC51-BC157</f>
        <v>122.63697478359545</v>
      </c>
      <c r="BD166" s="409"/>
      <c r="BE166" s="409"/>
      <c r="BF166" s="409">
        <f>PPE_and_intangibles!BF51-BF157</f>
        <v>138.22287203635614</v>
      </c>
      <c r="BG166" s="409"/>
      <c r="BH166" s="409"/>
      <c r="BI166" s="409">
        <f>PPE_and_intangibles!BI51-BI157</f>
        <v>155.58439048151186</v>
      </c>
      <c r="BJ166" s="323"/>
    </row>
    <row r="167" spans="1:62" s="312" customFormat="1">
      <c r="A167" s="312" t="s">
        <v>441</v>
      </c>
      <c r="B167" s="497"/>
      <c r="C167" s="409">
        <f t="shared" ref="C167:C168" si="770">D167</f>
        <v>0</v>
      </c>
      <c r="D167" s="497">
        <v>0</v>
      </c>
      <c r="E167" s="497">
        <v>0.80700000000000005</v>
      </c>
      <c r="F167" s="409">
        <f t="shared" ref="F167:F168" si="771">G167</f>
        <v>3.4220000000000002</v>
      </c>
      <c r="G167" s="497">
        <v>3.4220000000000002</v>
      </c>
      <c r="H167" s="497">
        <v>4.3609999999999998</v>
      </c>
      <c r="I167" s="409">
        <f t="shared" ref="I167:I168" si="772">J167</f>
        <v>4.3460000000000001</v>
      </c>
      <c r="J167" s="497">
        <v>4.3460000000000001</v>
      </c>
      <c r="K167" s="497">
        <v>4.8</v>
      </c>
      <c r="L167" s="409">
        <f t="shared" ref="L167:L168" si="773">M167</f>
        <v>2.7240000000000002</v>
      </c>
      <c r="M167" s="497">
        <v>2.7240000000000002</v>
      </c>
      <c r="N167" s="497">
        <v>4.4999999999999998E-2</v>
      </c>
      <c r="O167" s="409">
        <f t="shared" ref="O167:O168" si="774">P167</f>
        <v>6.0999999999999999E-2</v>
      </c>
      <c r="P167" s="497">
        <v>6.0999999999999999E-2</v>
      </c>
      <c r="Q167" s="497">
        <v>5.8000000000000003E-2</v>
      </c>
      <c r="R167" s="409">
        <f t="shared" ref="R167:R168" si="775">S167</f>
        <v>0.105</v>
      </c>
      <c r="S167" s="497">
        <v>0.105</v>
      </c>
      <c r="T167" s="894">
        <v>10.596</v>
      </c>
      <c r="U167" s="399">
        <f t="shared" ref="U167:U168" si="776">V167</f>
        <v>22.155000000000001</v>
      </c>
      <c r="V167" s="497">
        <v>22.155000000000001</v>
      </c>
      <c r="W167" s="1185">
        <v>21.704000000000001</v>
      </c>
      <c r="X167" s="409">
        <f t="shared" ref="X167:X168" si="777">Y167</f>
        <v>19.413</v>
      </c>
      <c r="Y167" s="497">
        <v>19.413</v>
      </c>
      <c r="Z167" s="1185">
        <v>20.138000000000002</v>
      </c>
      <c r="AA167" s="409">
        <f t="shared" ref="AA167:AA168" si="778">AB167</f>
        <v>23.036999999999999</v>
      </c>
      <c r="AB167" s="858">
        <v>23.036999999999999</v>
      </c>
      <c r="AC167" s="1185">
        <v>22.744</v>
      </c>
      <c r="AD167" s="409">
        <f t="shared" ref="AD167:AD168" si="779">AE167</f>
        <v>23.036999999999999</v>
      </c>
      <c r="AE167" s="409">
        <f>AB167</f>
        <v>23.036999999999999</v>
      </c>
      <c r="AF167" s="409">
        <f>AE167</f>
        <v>23.036999999999999</v>
      </c>
      <c r="AG167" s="409">
        <f t="shared" ref="AG167:AG168" si="780">AH167</f>
        <v>23.036999999999999</v>
      </c>
      <c r="AH167" s="409">
        <f>AE167</f>
        <v>23.036999999999999</v>
      </c>
      <c r="AI167" s="409">
        <f>AH167</f>
        <v>23.036999999999999</v>
      </c>
      <c r="AJ167" s="409">
        <f t="shared" ref="AJ167:AJ168" si="781">AK167</f>
        <v>23.036999999999999</v>
      </c>
      <c r="AK167" s="409">
        <f>AH167</f>
        <v>23.036999999999999</v>
      </c>
      <c r="AL167" s="409"/>
      <c r="AM167" s="409"/>
      <c r="AN167" s="409">
        <f>AK167</f>
        <v>23.036999999999999</v>
      </c>
      <c r="AO167" s="409"/>
      <c r="AP167" s="409"/>
      <c r="AQ167" s="409">
        <f>AN167</f>
        <v>23.036999999999999</v>
      </c>
      <c r="AR167" s="409"/>
      <c r="AS167" s="409"/>
      <c r="AT167" s="409">
        <f>AQ167</f>
        <v>23.036999999999999</v>
      </c>
      <c r="AU167" s="409"/>
      <c r="AV167" s="409"/>
      <c r="AW167" s="409">
        <f>AT167</f>
        <v>23.036999999999999</v>
      </c>
      <c r="AX167" s="409"/>
      <c r="AY167" s="409"/>
      <c r="AZ167" s="409">
        <f>AW167</f>
        <v>23.036999999999999</v>
      </c>
      <c r="BA167" s="409"/>
      <c r="BB167" s="409"/>
      <c r="BC167" s="409">
        <f>AZ167</f>
        <v>23.036999999999999</v>
      </c>
      <c r="BD167" s="409"/>
      <c r="BE167" s="409"/>
      <c r="BF167" s="409">
        <f>BC167</f>
        <v>23.036999999999999</v>
      </c>
      <c r="BG167" s="409"/>
      <c r="BH167" s="409"/>
      <c r="BI167" s="409">
        <f t="shared" ref="BI167:BI168" si="782">BF167</f>
        <v>23.036999999999999</v>
      </c>
      <c r="BJ167" s="323"/>
    </row>
    <row r="168" spans="1:62" s="312" customFormat="1">
      <c r="A168" s="312" t="s">
        <v>1143</v>
      </c>
      <c r="B168" s="497">
        <f>4.071+0.908</f>
        <v>4.9790000000000001</v>
      </c>
      <c r="C168" s="409">
        <f t="shared" si="770"/>
        <v>5.1230000000000002</v>
      </c>
      <c r="D168" s="497">
        <f>4.199+0.924</f>
        <v>5.1230000000000002</v>
      </c>
      <c r="E168" s="497">
        <f>3.252+0.866</f>
        <v>4.1179999999999994</v>
      </c>
      <c r="F168" s="409">
        <f t="shared" si="771"/>
        <v>4.5670000000000002</v>
      </c>
      <c r="G168" s="497">
        <f>3.69+0.877</f>
        <v>4.5670000000000002</v>
      </c>
      <c r="H168" s="497">
        <f>2.794+0.967</f>
        <v>3.7610000000000001</v>
      </c>
      <c r="I168" s="409">
        <f t="shared" si="772"/>
        <v>4.4030000000000005</v>
      </c>
      <c r="J168" s="497">
        <f>3.395+1.008</f>
        <v>4.4030000000000005</v>
      </c>
      <c r="K168" s="497">
        <f>14.12+1.097</f>
        <v>15.216999999999999</v>
      </c>
      <c r="L168" s="409">
        <f t="shared" si="773"/>
        <v>16.559000000000001</v>
      </c>
      <c r="M168" s="497">
        <f>1.06+15.499</f>
        <v>16.559000000000001</v>
      </c>
      <c r="N168" s="497">
        <f>1.196+11.402</f>
        <v>12.597999999999999</v>
      </c>
      <c r="O168" s="409">
        <f t="shared" si="774"/>
        <v>13.503</v>
      </c>
      <c r="P168" s="497">
        <f>1.309+12.194</f>
        <v>13.503</v>
      </c>
      <c r="Q168" s="497">
        <f>12.35+1.637</f>
        <v>13.987</v>
      </c>
      <c r="R168" s="409">
        <f t="shared" si="775"/>
        <v>11.532999999999999</v>
      </c>
      <c r="S168" s="497">
        <f>9.77+1.763</f>
        <v>11.532999999999999</v>
      </c>
      <c r="T168" s="894">
        <f>9.165+3.635</f>
        <v>12.799999999999999</v>
      </c>
      <c r="U168" s="399">
        <f t="shared" si="776"/>
        <v>3.794</v>
      </c>
      <c r="V168" s="497">
        <v>3.794</v>
      </c>
      <c r="W168" s="1185">
        <v>4.1520000000000001</v>
      </c>
      <c r="X168" s="409">
        <f t="shared" si="777"/>
        <v>4.2720000000000002</v>
      </c>
      <c r="Y168" s="497">
        <v>4.2720000000000002</v>
      </c>
      <c r="Z168" s="1185">
        <v>5.0549999999999997</v>
      </c>
      <c r="AA168" s="409">
        <f t="shared" si="778"/>
        <v>4.7069999999999999</v>
      </c>
      <c r="AB168" s="858">
        <v>4.7069999999999999</v>
      </c>
      <c r="AC168" s="1185">
        <v>5.423</v>
      </c>
      <c r="AD168" s="409">
        <f t="shared" si="779"/>
        <v>4.7069999999999999</v>
      </c>
      <c r="AE168" s="409">
        <f>AB168</f>
        <v>4.7069999999999999</v>
      </c>
      <c r="AF168" s="409">
        <f>AE168</f>
        <v>4.7069999999999999</v>
      </c>
      <c r="AG168" s="409">
        <f t="shared" si="780"/>
        <v>4.7069999999999999</v>
      </c>
      <c r="AH168" s="409">
        <f>AE168</f>
        <v>4.7069999999999999</v>
      </c>
      <c r="AI168" s="409">
        <f>AH168</f>
        <v>4.7069999999999999</v>
      </c>
      <c r="AJ168" s="409">
        <f t="shared" si="781"/>
        <v>4.7069999999999999</v>
      </c>
      <c r="AK168" s="409">
        <f>AH168</f>
        <v>4.7069999999999999</v>
      </c>
      <c r="AL168" s="409"/>
      <c r="AM168" s="409"/>
      <c r="AN168" s="409">
        <f>AK168</f>
        <v>4.7069999999999999</v>
      </c>
      <c r="AO168" s="409"/>
      <c r="AP168" s="409"/>
      <c r="AQ168" s="409">
        <f>AN168</f>
        <v>4.7069999999999999</v>
      </c>
      <c r="AR168" s="409"/>
      <c r="AS168" s="409"/>
      <c r="AT168" s="409">
        <f>AQ168</f>
        <v>4.7069999999999999</v>
      </c>
      <c r="AU168" s="409"/>
      <c r="AV168" s="409"/>
      <c r="AW168" s="409">
        <f>AT168</f>
        <v>4.7069999999999999</v>
      </c>
      <c r="AX168" s="409"/>
      <c r="AY168" s="409"/>
      <c r="AZ168" s="409">
        <f>AW168</f>
        <v>4.7069999999999999</v>
      </c>
      <c r="BA168" s="409"/>
      <c r="BB168" s="409"/>
      <c r="BC168" s="409">
        <f>AZ168</f>
        <v>4.7069999999999999</v>
      </c>
      <c r="BD168" s="409"/>
      <c r="BE168" s="409"/>
      <c r="BF168" s="409">
        <f>BC168</f>
        <v>4.7069999999999999</v>
      </c>
      <c r="BG168" s="409"/>
      <c r="BH168" s="409"/>
      <c r="BI168" s="409">
        <f t="shared" si="782"/>
        <v>4.7069999999999999</v>
      </c>
      <c r="BJ168" s="323"/>
    </row>
    <row r="169" spans="1:62" s="312" customFormat="1">
      <c r="A169" s="344" t="s">
        <v>442</v>
      </c>
      <c r="B169" s="406">
        <f t="shared" ref="B169:O169" si="783">SUM(B165:B168)</f>
        <v>4.9790000000000001</v>
      </c>
      <c r="C169" s="406">
        <f t="shared" si="783"/>
        <v>40.963999999999999</v>
      </c>
      <c r="D169" s="406">
        <f t="shared" si="783"/>
        <v>40.963999999999999</v>
      </c>
      <c r="E169" s="406">
        <f t="shared" si="783"/>
        <v>4.9249999999999998</v>
      </c>
      <c r="F169" s="406">
        <f t="shared" si="783"/>
        <v>53.312999999999995</v>
      </c>
      <c r="G169" s="406">
        <f t="shared" si="783"/>
        <v>53.312999999999995</v>
      </c>
      <c r="H169" s="406">
        <f t="shared" si="783"/>
        <v>8.1219999999999999</v>
      </c>
      <c r="I169" s="406">
        <f t="shared" si="783"/>
        <v>56.032000000000004</v>
      </c>
      <c r="J169" s="406">
        <f t="shared" si="783"/>
        <v>56.032000000000004</v>
      </c>
      <c r="K169" s="406">
        <f t="shared" si="783"/>
        <v>39.588999999999999</v>
      </c>
      <c r="L169" s="406">
        <f t="shared" si="783"/>
        <v>36.247</v>
      </c>
      <c r="M169" s="406">
        <f t="shared" si="783"/>
        <v>36.247</v>
      </c>
      <c r="N169" s="406">
        <f t="shared" si="783"/>
        <v>26.181999999999999</v>
      </c>
      <c r="O169" s="406">
        <f t="shared" si="783"/>
        <v>45.07</v>
      </c>
      <c r="P169" s="406">
        <f t="shared" ref="P169:AN169" si="784">SUM(P165:P168)</f>
        <v>45.07</v>
      </c>
      <c r="Q169" s="406">
        <f t="shared" ref="Q169" si="785">SUM(Q165:Q168)</f>
        <v>188.35499999999999</v>
      </c>
      <c r="R169" s="406">
        <f>SUM(R165:R168)</f>
        <v>221.62999999999997</v>
      </c>
      <c r="S169" s="406">
        <f t="shared" si="784"/>
        <v>221.62999999999997</v>
      </c>
      <c r="T169" s="485">
        <f t="shared" ref="T169" si="786">SUM(T165:T168)</f>
        <v>329.41800000000001</v>
      </c>
      <c r="U169" s="899">
        <f t="shared" si="784"/>
        <v>283.42099999999994</v>
      </c>
      <c r="V169" s="406">
        <f t="shared" si="784"/>
        <v>283.42099999999994</v>
      </c>
      <c r="W169" s="1186">
        <f t="shared" si="784"/>
        <v>223.58599999999998</v>
      </c>
      <c r="X169" s="406">
        <f t="shared" ref="X169" si="787">SUM(X165:X168)</f>
        <v>154.91299999999995</v>
      </c>
      <c r="Y169" s="406">
        <f t="shared" si="784"/>
        <v>154.91299999999995</v>
      </c>
      <c r="Z169" s="1186">
        <f t="shared" ref="Z169:AA169" si="788">SUM(Z165:Z168)</f>
        <v>172.12700000000001</v>
      </c>
      <c r="AA169" s="406">
        <f t="shared" si="788"/>
        <v>120.91299999999995</v>
      </c>
      <c r="AB169" s="829">
        <f t="shared" si="784"/>
        <v>120.91299999999995</v>
      </c>
      <c r="AC169" s="1186">
        <f t="shared" si="784"/>
        <v>176.33200000000002</v>
      </c>
      <c r="AD169" s="406">
        <f t="shared" si="784"/>
        <v>210.64575626234432</v>
      </c>
      <c r="AE169" s="406">
        <f t="shared" si="784"/>
        <v>208.41875626234432</v>
      </c>
      <c r="AF169" s="406">
        <f t="shared" ref="AF169:AG169" si="789">SUM(AF165:AF168)</f>
        <v>209.1518147644444</v>
      </c>
      <c r="AG169" s="406">
        <f t="shared" si="789"/>
        <v>154.77056668507259</v>
      </c>
      <c r="AH169" s="406">
        <f t="shared" si="784"/>
        <v>154.77056668507259</v>
      </c>
      <c r="AI169" s="406">
        <f t="shared" si="784"/>
        <v>78.459148053142883</v>
      </c>
      <c r="AJ169" s="406">
        <f t="shared" si="784"/>
        <v>84.774033286160744</v>
      </c>
      <c r="AK169" s="406">
        <f t="shared" si="784"/>
        <v>162.05703328616073</v>
      </c>
      <c r="AL169" s="406"/>
      <c r="AM169" s="406"/>
      <c r="AN169" s="406">
        <f t="shared" si="784"/>
        <v>170.32054981368481</v>
      </c>
      <c r="AO169" s="406"/>
      <c r="AP169" s="406"/>
      <c r="AQ169" s="406">
        <f t="shared" ref="AQ169:AT169" si="790">SUM(AQ165:AQ168)</f>
        <v>179.53490397344669</v>
      </c>
      <c r="AR169" s="406"/>
      <c r="AS169" s="406"/>
      <c r="AT169" s="406">
        <f t="shared" si="790"/>
        <v>189.74376109809441</v>
      </c>
      <c r="AU169" s="406"/>
      <c r="AV169" s="406"/>
      <c r="AW169" s="406">
        <f t="shared" ref="AW169" si="791">SUM(AW165:AW168)</f>
        <v>201.07331781141002</v>
      </c>
      <c r="AX169" s="406"/>
      <c r="AY169" s="406"/>
      <c r="AZ169" s="406">
        <f t="shared" ref="AZ169:BC169" si="792">SUM(AZ165:AZ168)</f>
        <v>213.66218771960027</v>
      </c>
      <c r="BA169" s="406"/>
      <c r="BB169" s="406"/>
      <c r="BC169" s="406">
        <f t="shared" si="792"/>
        <v>227.66397478359542</v>
      </c>
      <c r="BD169" s="406"/>
      <c r="BE169" s="406"/>
      <c r="BF169" s="406">
        <f t="shared" ref="BF169" si="793">SUM(BF165:BF168)</f>
        <v>243.24987203635609</v>
      </c>
      <c r="BG169" s="406"/>
      <c r="BH169" s="406"/>
      <c r="BI169" s="406">
        <f t="shared" ref="BI169" si="794">SUM(BI165:BI168)</f>
        <v>260.61139048151182</v>
      </c>
      <c r="BJ169" s="322"/>
    </row>
    <row r="170" spans="1:62" s="312" customFormat="1">
      <c r="B170" s="409"/>
      <c r="C170" s="409"/>
      <c r="D170" s="409"/>
      <c r="E170" s="409"/>
      <c r="F170" s="409"/>
      <c r="G170" s="409"/>
      <c r="H170" s="409"/>
      <c r="I170" s="409"/>
      <c r="J170" s="409"/>
      <c r="K170" s="409"/>
      <c r="L170" s="409"/>
      <c r="M170" s="409"/>
      <c r="N170" s="409"/>
      <c r="O170" s="409"/>
      <c r="P170" s="409"/>
      <c r="Q170" s="409"/>
      <c r="R170" s="409"/>
      <c r="S170" s="409"/>
      <c r="T170" s="482"/>
      <c r="U170" s="399"/>
      <c r="V170" s="409"/>
      <c r="W170" s="1187"/>
      <c r="X170" s="409"/>
      <c r="Y170" s="409"/>
      <c r="Z170" s="1187"/>
      <c r="AA170" s="409"/>
      <c r="AB170" s="831"/>
      <c r="AC170" s="1187"/>
      <c r="AD170" s="409"/>
      <c r="AE170" s="409"/>
      <c r="AF170" s="409"/>
      <c r="AG170" s="409"/>
      <c r="AH170" s="409"/>
      <c r="AI170" s="409"/>
      <c r="AJ170" s="409"/>
      <c r="AK170" s="409"/>
      <c r="AL170" s="409"/>
      <c r="AM170" s="409"/>
      <c r="AN170" s="409"/>
      <c r="AO170" s="409"/>
      <c r="AP170" s="409"/>
      <c r="AQ170" s="409"/>
      <c r="AR170" s="409"/>
      <c r="AS170" s="409"/>
      <c r="AT170" s="409"/>
      <c r="AU170" s="409"/>
      <c r="AV170" s="409"/>
      <c r="AW170" s="409"/>
      <c r="AX170" s="409"/>
      <c r="AY170" s="409"/>
      <c r="AZ170" s="409"/>
      <c r="BA170" s="409"/>
      <c r="BB170" s="409"/>
      <c r="BC170" s="409"/>
      <c r="BD170" s="409"/>
      <c r="BE170" s="409"/>
      <c r="BF170" s="409"/>
      <c r="BG170" s="409"/>
      <c r="BH170" s="409"/>
      <c r="BI170" s="409"/>
      <c r="BJ170" s="323"/>
    </row>
    <row r="171" spans="1:62" s="344" customFormat="1">
      <c r="A171" s="389" t="s">
        <v>443</v>
      </c>
      <c r="B171" s="424">
        <f t="shared" ref="B171" si="795">B162+B169</f>
        <v>166.85100000000003</v>
      </c>
      <c r="C171" s="424">
        <f>C162+C169</f>
        <v>157.91</v>
      </c>
      <c r="D171" s="424">
        <f>D162+D169</f>
        <v>157.91</v>
      </c>
      <c r="E171" s="424">
        <f t="shared" ref="E171:T171" si="796">E162+E169</f>
        <v>231.792</v>
      </c>
      <c r="F171" s="424">
        <f>F162+F169</f>
        <v>162.114</v>
      </c>
      <c r="G171" s="424">
        <f t="shared" si="796"/>
        <v>162.114</v>
      </c>
      <c r="H171" s="424">
        <f>H162+H169</f>
        <v>223.61200000000002</v>
      </c>
      <c r="I171" s="424">
        <f>I162+I169</f>
        <v>199.43200000000002</v>
      </c>
      <c r="J171" s="424">
        <f t="shared" si="796"/>
        <v>199.43200000000002</v>
      </c>
      <c r="K171" s="424">
        <f>K162+K169</f>
        <v>417.911</v>
      </c>
      <c r="L171" s="424">
        <f>L162+L169</f>
        <v>217.76400000000001</v>
      </c>
      <c r="M171" s="424">
        <f t="shared" si="796"/>
        <v>217.76400000000001</v>
      </c>
      <c r="N171" s="424">
        <f>N162+N169</f>
        <v>331.99700000000007</v>
      </c>
      <c r="O171" s="424">
        <f>O162+O169</f>
        <v>264.15500000000003</v>
      </c>
      <c r="P171" s="424">
        <f t="shared" si="796"/>
        <v>264.15500000000003</v>
      </c>
      <c r="Q171" s="424">
        <f t="shared" ref="Q171" si="797">Q162+Q169</f>
        <v>586.55600000000004</v>
      </c>
      <c r="R171" s="424">
        <f>R162+R169</f>
        <v>564.73500000000001</v>
      </c>
      <c r="S171" s="424">
        <f t="shared" si="796"/>
        <v>564.73500000000001</v>
      </c>
      <c r="T171" s="896">
        <f t="shared" si="796"/>
        <v>782.43599999999992</v>
      </c>
      <c r="U171" s="900">
        <f t="shared" ref="U171:AN171" si="798">U162+U169</f>
        <v>605.19299999999998</v>
      </c>
      <c r="V171" s="424">
        <f t="shared" si="798"/>
        <v>605.19299999999998</v>
      </c>
      <c r="W171" s="1189">
        <f t="shared" si="798"/>
        <v>735.84500000000003</v>
      </c>
      <c r="X171" s="424">
        <f t="shared" ref="X171" si="799">X162+X169</f>
        <v>492.85699999999997</v>
      </c>
      <c r="Y171" s="424">
        <f t="shared" si="798"/>
        <v>492.85699999999997</v>
      </c>
      <c r="Z171" s="1189">
        <f t="shared" ref="Z171:AA171" si="800">Z162+Z169</f>
        <v>691.46</v>
      </c>
      <c r="AA171" s="424">
        <f t="shared" si="800"/>
        <v>507.5</v>
      </c>
      <c r="AB171" s="1190">
        <f t="shared" si="798"/>
        <v>507.5</v>
      </c>
      <c r="AC171" s="1189">
        <f t="shared" si="798"/>
        <v>749.94399999999996</v>
      </c>
      <c r="AD171" s="424">
        <f t="shared" si="798"/>
        <v>646.74323297165188</v>
      </c>
      <c r="AE171" s="424">
        <f t="shared" si="798"/>
        <v>646.74323297165188</v>
      </c>
      <c r="AF171" s="424">
        <f t="shared" ref="AF171:AG171" si="801">AF162+AF169</f>
        <v>718.13409046906531</v>
      </c>
      <c r="AG171" s="424">
        <f t="shared" si="801"/>
        <v>595.00970463399904</v>
      </c>
      <c r="AH171" s="424">
        <f t="shared" si="798"/>
        <v>595.00970463399904</v>
      </c>
      <c r="AI171" s="424">
        <f t="shared" si="798"/>
        <v>613.91170674196178</v>
      </c>
      <c r="AJ171" s="424">
        <f t="shared" si="798"/>
        <v>566.132596847336</v>
      </c>
      <c r="AK171" s="424">
        <f t="shared" si="798"/>
        <v>643.41559684733602</v>
      </c>
      <c r="AL171" s="424"/>
      <c r="AM171" s="424"/>
      <c r="AN171" s="424">
        <f t="shared" si="798"/>
        <v>696.86301399284537</v>
      </c>
      <c r="AO171" s="424"/>
      <c r="AP171" s="424"/>
      <c r="AQ171" s="424">
        <f t="shared" ref="AQ171:AT171" si="802">AQ162+AQ169</f>
        <v>755.1243112343592</v>
      </c>
      <c r="AR171" s="424"/>
      <c r="AS171" s="424"/>
      <c r="AT171" s="424">
        <f t="shared" si="802"/>
        <v>818.77684082351834</v>
      </c>
      <c r="AU171" s="424"/>
      <c r="AV171" s="424"/>
      <c r="AW171" s="424">
        <f t="shared" ref="AW171" si="803">AW162+AW169</f>
        <v>889.39499767442499</v>
      </c>
      <c r="AX171" s="424"/>
      <c r="AY171" s="424"/>
      <c r="AZ171" s="424">
        <f t="shared" ref="AZ171:BC171" si="804">AZ162+AZ169</f>
        <v>967.79300443122918</v>
      </c>
      <c r="BA171" s="424"/>
      <c r="BB171" s="424"/>
      <c r="BC171" s="424">
        <f t="shared" si="804"/>
        <v>1054.8819430555018</v>
      </c>
      <c r="BD171" s="424"/>
      <c r="BE171" s="424"/>
      <c r="BF171" s="424">
        <f t="shared" ref="BF171" si="805">BF162+BF169</f>
        <v>1151.68270810834</v>
      </c>
      <c r="BG171" s="424"/>
      <c r="BH171" s="424"/>
      <c r="BI171" s="424">
        <f t="shared" ref="BI171" si="806">BI162+BI169</f>
        <v>1259.7869799353289</v>
      </c>
      <c r="BJ171" s="322"/>
    </row>
    <row r="172" spans="1:62" s="312" customFormat="1">
      <c r="B172" s="409"/>
      <c r="C172" s="409"/>
      <c r="D172" s="409"/>
      <c r="E172" s="409"/>
      <c r="F172" s="409"/>
      <c r="G172" s="409"/>
      <c r="H172" s="409"/>
      <c r="I172" s="409"/>
      <c r="J172" s="409"/>
      <c r="K172" s="409"/>
      <c r="L172" s="409"/>
      <c r="M172" s="409"/>
      <c r="N172" s="409"/>
      <c r="O172" s="409"/>
      <c r="P172" s="409"/>
      <c r="Q172" s="409"/>
      <c r="R172" s="409"/>
      <c r="S172" s="409"/>
      <c r="T172" s="482"/>
      <c r="U172" s="399"/>
      <c r="V172" s="409"/>
      <c r="W172" s="1187"/>
      <c r="X172" s="409"/>
      <c r="Y172" s="409"/>
      <c r="Z172" s="1187"/>
      <c r="AA172" s="409"/>
      <c r="AB172" s="831"/>
      <c r="AC172" s="1187"/>
      <c r="AD172" s="409"/>
      <c r="AE172" s="409"/>
      <c r="AF172" s="409"/>
      <c r="AG172" s="409"/>
      <c r="AH172" s="409"/>
      <c r="AI172" s="409"/>
      <c r="AJ172" s="409"/>
      <c r="AK172" s="409"/>
      <c r="AL172" s="409"/>
      <c r="AM172" s="409"/>
      <c r="AN172" s="409"/>
      <c r="AO172" s="409"/>
      <c r="AP172" s="409"/>
      <c r="AQ172" s="409"/>
      <c r="AR172" s="409"/>
      <c r="AS172" s="409"/>
      <c r="AT172" s="409"/>
      <c r="AU172" s="409"/>
      <c r="AV172" s="409"/>
      <c r="AW172" s="409"/>
      <c r="AX172" s="409"/>
      <c r="AY172" s="409"/>
      <c r="AZ172" s="409"/>
      <c r="BA172" s="409"/>
      <c r="BB172" s="409"/>
      <c r="BC172" s="409"/>
      <c r="BD172" s="409"/>
      <c r="BE172" s="409"/>
      <c r="BF172" s="409"/>
      <c r="BG172" s="409"/>
      <c r="BH172" s="409"/>
      <c r="BI172" s="409"/>
      <c r="BJ172" s="323"/>
    </row>
    <row r="173" spans="1:62" s="312" customFormat="1">
      <c r="A173" s="344" t="s">
        <v>444</v>
      </c>
      <c r="B173" s="409"/>
      <c r="C173" s="409"/>
      <c r="D173" s="409"/>
      <c r="E173" s="409"/>
      <c r="F173" s="409"/>
      <c r="G173" s="409"/>
      <c r="H173" s="409"/>
      <c r="I173" s="409"/>
      <c r="J173" s="409"/>
      <c r="K173" s="409"/>
      <c r="L173" s="409"/>
      <c r="M173" s="409"/>
      <c r="N173" s="409"/>
      <c r="O173" s="409"/>
      <c r="P173" s="409"/>
      <c r="Q173" s="409"/>
      <c r="R173" s="409"/>
      <c r="S173" s="409"/>
      <c r="T173" s="482"/>
      <c r="U173" s="399"/>
      <c r="V173" s="409"/>
      <c r="W173" s="1187"/>
      <c r="X173" s="409"/>
      <c r="Y173" s="409"/>
      <c r="Z173" s="1187"/>
      <c r="AA173" s="409"/>
      <c r="AB173" s="831"/>
      <c r="AC173" s="1187"/>
      <c r="AD173" s="409"/>
      <c r="AE173" s="409"/>
      <c r="AF173" s="409"/>
      <c r="AG173" s="409"/>
      <c r="AH173" s="409"/>
      <c r="AI173" s="409"/>
      <c r="AJ173" s="409"/>
      <c r="AK173" s="409"/>
      <c r="AL173" s="409"/>
      <c r="AM173" s="409"/>
      <c r="AN173" s="409"/>
      <c r="AO173" s="409"/>
      <c r="AP173" s="409"/>
      <c r="AQ173" s="409"/>
      <c r="AR173" s="409"/>
      <c r="AS173" s="409"/>
      <c r="AT173" s="409"/>
      <c r="AU173" s="409"/>
      <c r="AV173" s="409"/>
      <c r="AW173" s="409"/>
      <c r="AX173" s="409"/>
      <c r="AY173" s="409"/>
      <c r="AZ173" s="409"/>
      <c r="BA173" s="409"/>
      <c r="BB173" s="409"/>
      <c r="BC173" s="409"/>
      <c r="BD173" s="409"/>
      <c r="BE173" s="409"/>
      <c r="BF173" s="409"/>
      <c r="BG173" s="409"/>
      <c r="BH173" s="409"/>
      <c r="BI173" s="409"/>
      <c r="BJ173" s="323"/>
    </row>
    <row r="174" spans="1:62" s="312" customFormat="1">
      <c r="A174" s="312" t="s">
        <v>445</v>
      </c>
      <c r="B174" s="497">
        <v>140.05000000000001</v>
      </c>
      <c r="C174" s="409">
        <f>D174</f>
        <v>140.05000000000001</v>
      </c>
      <c r="D174" s="497">
        <v>140.05000000000001</v>
      </c>
      <c r="E174" s="497">
        <v>140.05000000000001</v>
      </c>
      <c r="F174" s="409">
        <f>G174</f>
        <v>140.05000000000001</v>
      </c>
      <c r="G174" s="497">
        <v>140.05000000000001</v>
      </c>
      <c r="H174" s="497">
        <v>140.05000000000001</v>
      </c>
      <c r="I174" s="409">
        <f>J174</f>
        <v>140.05000000000001</v>
      </c>
      <c r="J174" s="497">
        <v>140.05000000000001</v>
      </c>
      <c r="K174" s="497">
        <v>144.81399999999999</v>
      </c>
      <c r="L174" s="409">
        <f>M174</f>
        <v>246.44499999999999</v>
      </c>
      <c r="M174" s="497">
        <v>246.44499999999999</v>
      </c>
      <c r="N174" s="497">
        <v>309.61500000000001</v>
      </c>
      <c r="O174" s="409">
        <f>P174</f>
        <v>309.61500000000001</v>
      </c>
      <c r="P174" s="497">
        <v>309.61500000000001</v>
      </c>
      <c r="Q174" s="497">
        <v>323.16500000000002</v>
      </c>
      <c r="R174" s="409">
        <f>S174</f>
        <v>323.16500000000002</v>
      </c>
      <c r="S174" s="497">
        <v>323.16500000000002</v>
      </c>
      <c r="T174" s="895">
        <v>385.541</v>
      </c>
      <c r="U174" s="399">
        <f t="shared" ref="U174:U176" si="807">V174</f>
        <v>385.541</v>
      </c>
      <c r="V174" s="497">
        <v>385.541</v>
      </c>
      <c r="W174" s="1188">
        <v>400.99299999999999</v>
      </c>
      <c r="X174" s="409">
        <f t="shared" ref="X174:X177" si="808">Y174</f>
        <v>401.12900000000002</v>
      </c>
      <c r="Y174" s="497">
        <v>401.12900000000002</v>
      </c>
      <c r="Z174" s="1188">
        <v>418.28300000000002</v>
      </c>
      <c r="AA174" s="409">
        <f t="shared" ref="AA174:AA177" si="809">AB174</f>
        <v>418.44900000000001</v>
      </c>
      <c r="AB174" s="858">
        <v>418.44900000000001</v>
      </c>
      <c r="AC174" s="1188">
        <v>435.21699999999998</v>
      </c>
      <c r="AD174" s="409">
        <f t="shared" ref="AD174" si="810">AE174</f>
        <v>418.44900000000001</v>
      </c>
      <c r="AE174" s="409">
        <f>AB174+AE104</f>
        <v>418.44900000000001</v>
      </c>
      <c r="AF174" s="409">
        <f>AE174+AF104</f>
        <v>418.44900000000001</v>
      </c>
      <c r="AG174" s="409">
        <f t="shared" ref="AG174" si="811">AH174</f>
        <v>418.44900000000001</v>
      </c>
      <c r="AH174" s="409">
        <f>AE174+AH104</f>
        <v>418.44900000000001</v>
      </c>
      <c r="AI174" s="409">
        <f>AH174+AI104</f>
        <v>418.44900000000001</v>
      </c>
      <c r="AJ174" s="409">
        <f t="shared" ref="AJ174" si="812">AK174</f>
        <v>418.44900000000001</v>
      </c>
      <c r="AK174" s="409">
        <f>AH174+AK104</f>
        <v>418.44900000000001</v>
      </c>
      <c r="AL174" s="409"/>
      <c r="AM174" s="409"/>
      <c r="AN174" s="409">
        <f>AK174+AN104</f>
        <v>418.44900000000001</v>
      </c>
      <c r="AO174" s="409"/>
      <c r="AP174" s="409"/>
      <c r="AQ174" s="409">
        <f>AN174+AQ104</f>
        <v>418.44900000000001</v>
      </c>
      <c r="AR174" s="409"/>
      <c r="AS174" s="409"/>
      <c r="AT174" s="409">
        <f>AQ174+AT104</f>
        <v>418.44900000000001</v>
      </c>
      <c r="AU174" s="409"/>
      <c r="AV174" s="409"/>
      <c r="AW174" s="409">
        <f>AT174+AW104</f>
        <v>418.44900000000001</v>
      </c>
      <c r="AX174" s="409"/>
      <c r="AY174" s="409"/>
      <c r="AZ174" s="409">
        <f>AW174+AZ104</f>
        <v>418.44900000000001</v>
      </c>
      <c r="BA174" s="409"/>
      <c r="BB174" s="409"/>
      <c r="BC174" s="409">
        <f>AZ174+BC104</f>
        <v>418.44900000000001</v>
      </c>
      <c r="BD174" s="409"/>
      <c r="BE174" s="409"/>
      <c r="BF174" s="409">
        <f>BC174+BF104</f>
        <v>418.44900000000001</v>
      </c>
      <c r="BG174" s="409"/>
      <c r="BH174" s="409"/>
      <c r="BI174" s="409">
        <f t="shared" ref="BI174" si="813">BF174+BI104</f>
        <v>418.44900000000001</v>
      </c>
      <c r="BJ174" s="323"/>
    </row>
    <row r="175" spans="1:62" s="312" customFormat="1">
      <c r="A175" s="312" t="s">
        <v>1170</v>
      </c>
      <c r="B175" s="497">
        <v>-1.98</v>
      </c>
      <c r="C175" s="409">
        <f t="shared" ref="C175:C176" si="814">D175</f>
        <v>-6.782</v>
      </c>
      <c r="D175" s="497">
        <v>-6.782</v>
      </c>
      <c r="E175" s="497">
        <v>-7.7149999999999999</v>
      </c>
      <c r="F175" s="409">
        <f t="shared" ref="F175:F176" si="815">G175</f>
        <v>-0.69499999999999995</v>
      </c>
      <c r="G175" s="497">
        <v>-0.69499999999999995</v>
      </c>
      <c r="H175" s="497">
        <v>3.633</v>
      </c>
      <c r="I175" s="409">
        <f t="shared" ref="I175:I176" si="816">J175</f>
        <v>4.5529999999999999</v>
      </c>
      <c r="J175" s="497">
        <v>4.5529999999999999</v>
      </c>
      <c r="K175" s="497">
        <v>1.2749999999999999</v>
      </c>
      <c r="L175" s="409">
        <f t="shared" ref="L175:L176" si="817">M175</f>
        <v>2.0590000000000002</v>
      </c>
      <c r="M175" s="497">
        <v>2.0590000000000002</v>
      </c>
      <c r="N175" s="497">
        <v>-34.430999999999997</v>
      </c>
      <c r="O175" s="409">
        <f t="shared" ref="O175:O176" si="818">P175</f>
        <v>-14.537000000000001</v>
      </c>
      <c r="P175" s="497">
        <v>-14.537000000000001</v>
      </c>
      <c r="Q175" s="497">
        <v>-9.3620000000000001</v>
      </c>
      <c r="R175" s="409">
        <f t="shared" ref="R175:R176" si="819">S175</f>
        <v>13.845000000000001</v>
      </c>
      <c r="S175" s="497">
        <v>13.845000000000001</v>
      </c>
      <c r="T175" s="894">
        <v>17.399000000000001</v>
      </c>
      <c r="U175" s="901">
        <f t="shared" si="807"/>
        <v>39.337000000000003</v>
      </c>
      <c r="V175" s="497">
        <v>39.337000000000003</v>
      </c>
      <c r="W175" s="1185">
        <v>18.274000000000001</v>
      </c>
      <c r="X175" s="877">
        <f>Y175</f>
        <v>28.977</v>
      </c>
      <c r="Y175" s="497">
        <v>28.977</v>
      </c>
      <c r="Z175" s="1185">
        <v>63.37</v>
      </c>
      <c r="AA175" s="877">
        <f>AB175</f>
        <v>51.677</v>
      </c>
      <c r="AB175" s="858">
        <v>51.677</v>
      </c>
      <c r="AC175" s="1185">
        <v>38.511000000000003</v>
      </c>
      <c r="AD175" s="877">
        <f>AA175</f>
        <v>51.677</v>
      </c>
      <c r="AE175" s="409">
        <f>AB175</f>
        <v>51.677</v>
      </c>
      <c r="AF175" s="409">
        <f>AE175</f>
        <v>51.677</v>
      </c>
      <c r="AG175" s="409">
        <f t="shared" ref="AG175" si="820">AD175</f>
        <v>51.677</v>
      </c>
      <c r="AH175" s="409">
        <f>AE175</f>
        <v>51.677</v>
      </c>
      <c r="AI175" s="409">
        <f>AH175</f>
        <v>51.677</v>
      </c>
      <c r="AJ175" s="409">
        <f t="shared" ref="AJ175" si="821">AG175</f>
        <v>51.677</v>
      </c>
      <c r="AK175" s="409">
        <f>AH175</f>
        <v>51.677</v>
      </c>
      <c r="AL175" s="409"/>
      <c r="AM175" s="409"/>
      <c r="AN175" s="409">
        <f>AK175</f>
        <v>51.677</v>
      </c>
      <c r="AO175" s="409"/>
      <c r="AP175" s="409"/>
      <c r="AQ175" s="409">
        <f>AN175</f>
        <v>51.677</v>
      </c>
      <c r="AR175" s="409"/>
      <c r="AS175" s="409"/>
      <c r="AT175" s="409">
        <f>AQ175</f>
        <v>51.677</v>
      </c>
      <c r="AU175" s="409"/>
      <c r="AV175" s="409"/>
      <c r="AW175" s="409">
        <f>AT175</f>
        <v>51.677</v>
      </c>
      <c r="AX175" s="409"/>
      <c r="AY175" s="409"/>
      <c r="AZ175" s="409">
        <f>AW175</f>
        <v>51.677</v>
      </c>
      <c r="BA175" s="409"/>
      <c r="BB175" s="409"/>
      <c r="BC175" s="409">
        <f>AZ175</f>
        <v>51.677</v>
      </c>
      <c r="BD175" s="409"/>
      <c r="BE175" s="409"/>
      <c r="BF175" s="409">
        <f>BC175</f>
        <v>51.677</v>
      </c>
      <c r="BG175" s="409"/>
      <c r="BH175" s="409"/>
      <c r="BI175" s="409">
        <f t="shared" ref="BI175" si="822">BF175</f>
        <v>51.677</v>
      </c>
      <c r="BJ175" s="323"/>
    </row>
    <row r="176" spans="1:62" s="312" customFormat="1">
      <c r="A176" s="312" t="s">
        <v>446</v>
      </c>
      <c r="B176" s="497">
        <v>126.398</v>
      </c>
      <c r="C176" s="409">
        <f t="shared" si="814"/>
        <v>126.34099999999999</v>
      </c>
      <c r="D176" s="497">
        <v>126.34099999999999</v>
      </c>
      <c r="E176" s="497">
        <v>143.173</v>
      </c>
      <c r="F176" s="409">
        <f t="shared" si="815"/>
        <v>143.88</v>
      </c>
      <c r="G176" s="497">
        <v>143.88</v>
      </c>
      <c r="H176" s="497">
        <v>165.93199999999999</v>
      </c>
      <c r="I176" s="409">
        <f t="shared" si="816"/>
        <v>165.732</v>
      </c>
      <c r="J176" s="497">
        <v>165.732</v>
      </c>
      <c r="K176" s="497">
        <v>188.09200000000001</v>
      </c>
      <c r="L176" s="409">
        <f t="shared" si="817"/>
        <v>177.89599999999999</v>
      </c>
      <c r="M176" s="497">
        <v>177.89599999999999</v>
      </c>
      <c r="N176" s="497">
        <v>213.97800000000001</v>
      </c>
      <c r="O176" s="409">
        <f t="shared" si="818"/>
        <v>211.40700000000001</v>
      </c>
      <c r="P176" s="497">
        <v>211.40700000000001</v>
      </c>
      <c r="Q176" s="497">
        <v>270.28899999999999</v>
      </c>
      <c r="R176" s="409">
        <f t="shared" si="819"/>
        <v>277.40699999999998</v>
      </c>
      <c r="S176" s="497">
        <v>277.40699999999998</v>
      </c>
      <c r="T176" s="894">
        <v>334.709</v>
      </c>
      <c r="U176" s="399">
        <f t="shared" si="807"/>
        <v>344.78100000000001</v>
      </c>
      <c r="V176" s="497">
        <v>344.78100000000001</v>
      </c>
      <c r="W176" s="1185">
        <v>406.52</v>
      </c>
      <c r="X176" s="409">
        <f t="shared" si="808"/>
        <v>418.108</v>
      </c>
      <c r="Y176" s="497">
        <v>418.108</v>
      </c>
      <c r="Z176" s="1185">
        <v>491.154</v>
      </c>
      <c r="AA176" s="409">
        <f t="shared" si="809"/>
        <v>503.58300000000003</v>
      </c>
      <c r="AB176" s="858">
        <v>503.58300000000003</v>
      </c>
      <c r="AC176" s="1185">
        <v>574.28499999999997</v>
      </c>
      <c r="AD176" s="409">
        <f t="shared" ref="AD176:AD177" si="823">AE176</f>
        <v>585.58514553055204</v>
      </c>
      <c r="AE176" s="409">
        <f>AB176+AE63-AE74</f>
        <v>585.58514553055204</v>
      </c>
      <c r="AF176" s="409">
        <f>AE176+AF63-AF74</f>
        <v>658.63090739073778</v>
      </c>
      <c r="AG176" s="409">
        <f t="shared" ref="AG176:AG177" si="824">AH176</f>
        <v>683.56583769567703</v>
      </c>
      <c r="AH176" s="409">
        <f>AE176+AH63-AH74</f>
        <v>683.56583769567703</v>
      </c>
      <c r="AI176" s="409">
        <f>AH176+AI63-AI74</f>
        <v>777.38162533344735</v>
      </c>
      <c r="AJ176" s="409">
        <f t="shared" ref="AJ176:AJ177" si="825">AK176</f>
        <v>796.79187877444269</v>
      </c>
      <c r="AK176" s="409">
        <f>AH176+AK63-AK74</f>
        <v>796.79187877444269</v>
      </c>
      <c r="AL176" s="409"/>
      <c r="AM176" s="409"/>
      <c r="AN176" s="409">
        <f>AK176+AN63-AN74</f>
        <v>927.20107581006414</v>
      </c>
      <c r="AO176" s="409"/>
      <c r="AP176" s="409"/>
      <c r="AQ176" s="409">
        <f>AN176+AQ63-AQ74</f>
        <v>1076.8511046777735</v>
      </c>
      <c r="AR176" s="409"/>
      <c r="AS176" s="409"/>
      <c r="AT176" s="409">
        <f>AQ176+AT63-AT74</f>
        <v>1249.6133661733083</v>
      </c>
      <c r="AU176" s="409"/>
      <c r="AV176" s="409"/>
      <c r="AW176" s="409">
        <f>AT176+AW63-AW74</f>
        <v>1444.7405026251952</v>
      </c>
      <c r="AX176" s="409"/>
      <c r="AY176" s="409"/>
      <c r="AZ176" s="409">
        <f>AW176+AZ63-AZ74</f>
        <v>1666.7116075903207</v>
      </c>
      <c r="BA176" s="409"/>
      <c r="BB176" s="409"/>
      <c r="BC176" s="409">
        <f>AZ176+BC63-BC74</f>
        <v>1917.9673388645222</v>
      </c>
      <c r="BD176" s="409"/>
      <c r="BE176" s="409"/>
      <c r="BF176" s="409">
        <f>BC176+BF63-BF74</f>
        <v>2202.0490812882153</v>
      </c>
      <c r="BG176" s="409"/>
      <c r="BH176" s="409"/>
      <c r="BI176" s="409">
        <f t="shared" ref="BI176" si="826">BF176+BI63-BI74</f>
        <v>2523.5981943809752</v>
      </c>
      <c r="BJ176" s="323"/>
    </row>
    <row r="177" spans="1:62" s="312" customFormat="1">
      <c r="A177" s="312" t="s">
        <v>447</v>
      </c>
      <c r="B177" s="497">
        <v>0</v>
      </c>
      <c r="C177" s="409"/>
      <c r="D177" s="409"/>
      <c r="E177" s="409"/>
      <c r="F177" s="409"/>
      <c r="G177" s="409"/>
      <c r="H177" s="409"/>
      <c r="I177" s="409"/>
      <c r="J177" s="409"/>
      <c r="K177" s="409"/>
      <c r="L177" s="409"/>
      <c r="M177" s="409"/>
      <c r="N177" s="409"/>
      <c r="O177" s="409"/>
      <c r="P177" s="409"/>
      <c r="Q177" s="409"/>
      <c r="R177" s="409"/>
      <c r="S177" s="409">
        <f>P177</f>
        <v>0</v>
      </c>
      <c r="T177" s="482">
        <f>S177</f>
        <v>0</v>
      </c>
      <c r="U177" s="399">
        <f>V177</f>
        <v>0</v>
      </c>
      <c r="V177" s="409">
        <f>S177</f>
        <v>0</v>
      </c>
      <c r="W177" s="1187">
        <f>V177</f>
        <v>0</v>
      </c>
      <c r="X177" s="409">
        <f t="shared" si="808"/>
        <v>0</v>
      </c>
      <c r="Y177" s="409">
        <f>V177</f>
        <v>0</v>
      </c>
      <c r="Z177" s="1187">
        <f>Y177</f>
        <v>0</v>
      </c>
      <c r="AA177" s="409">
        <f t="shared" si="809"/>
        <v>0</v>
      </c>
      <c r="AB177" s="831">
        <f>Y177</f>
        <v>0</v>
      </c>
      <c r="AC177" s="1187">
        <f>AB177</f>
        <v>0</v>
      </c>
      <c r="AD177" s="409">
        <f t="shared" si="823"/>
        <v>0</v>
      </c>
      <c r="AE177" s="409">
        <f>AB177</f>
        <v>0</v>
      </c>
      <c r="AF177" s="409">
        <f>AE177</f>
        <v>0</v>
      </c>
      <c r="AG177" s="409">
        <f t="shared" si="824"/>
        <v>0</v>
      </c>
      <c r="AH177" s="409">
        <f>AE177</f>
        <v>0</v>
      </c>
      <c r="AI177" s="409">
        <f>AH177</f>
        <v>0</v>
      </c>
      <c r="AJ177" s="409">
        <f t="shared" si="825"/>
        <v>0</v>
      </c>
      <c r="AK177" s="409">
        <f>AH177</f>
        <v>0</v>
      </c>
      <c r="AL177" s="409"/>
      <c r="AM177" s="409"/>
      <c r="AN177" s="409">
        <f>AK177</f>
        <v>0</v>
      </c>
      <c r="AO177" s="409"/>
      <c r="AP177" s="409"/>
      <c r="AQ177" s="409">
        <f>AN177</f>
        <v>0</v>
      </c>
      <c r="AR177" s="409"/>
      <c r="AS177" s="409"/>
      <c r="AT177" s="409">
        <f>AQ177</f>
        <v>0</v>
      </c>
      <c r="AU177" s="409"/>
      <c r="AV177" s="409"/>
      <c r="AW177" s="409">
        <f>AT177</f>
        <v>0</v>
      </c>
      <c r="AX177" s="409"/>
      <c r="AY177" s="409"/>
      <c r="AZ177" s="409">
        <f>AW177</f>
        <v>0</v>
      </c>
      <c r="BA177" s="409"/>
      <c r="BB177" s="409"/>
      <c r="BC177" s="409">
        <f>AZ177</f>
        <v>0</v>
      </c>
      <c r="BD177" s="409"/>
      <c r="BE177" s="409"/>
      <c r="BF177" s="409">
        <f>BC177</f>
        <v>0</v>
      </c>
      <c r="BG177" s="409"/>
      <c r="BH177" s="409"/>
      <c r="BI177" s="409">
        <f t="shared" ref="BI177" si="827">BF177</f>
        <v>0</v>
      </c>
      <c r="BJ177" s="323"/>
    </row>
    <row r="178" spans="1:62" s="344" customFormat="1">
      <c r="A178" s="389" t="s">
        <v>448</v>
      </c>
      <c r="B178" s="424">
        <f>SUM(B174:B177)</f>
        <v>264.46800000000002</v>
      </c>
      <c r="C178" s="424">
        <f>SUM(C174:C177)</f>
        <v>259.60899999999998</v>
      </c>
      <c r="D178" s="424">
        <f>SUM(D174:D177)</f>
        <v>259.60899999999998</v>
      </c>
      <c r="E178" s="424">
        <f t="shared" ref="E178:P178" si="828">SUM(E174:E177)</f>
        <v>275.50800000000004</v>
      </c>
      <c r="F178" s="424">
        <f>SUM(F174:F177)</f>
        <v>283.23500000000001</v>
      </c>
      <c r="G178" s="424">
        <f t="shared" si="828"/>
        <v>283.23500000000001</v>
      </c>
      <c r="H178" s="424">
        <f>SUM(H174:H177)</f>
        <v>309.61500000000001</v>
      </c>
      <c r="I178" s="424">
        <f>SUM(I174:I177)</f>
        <v>310.33500000000004</v>
      </c>
      <c r="J178" s="424">
        <f t="shared" si="828"/>
        <v>310.33500000000004</v>
      </c>
      <c r="K178" s="424">
        <f>SUM(K174:K177)</f>
        <v>334.18100000000004</v>
      </c>
      <c r="L178" s="424">
        <f>SUM(L174:L177)</f>
        <v>426.4</v>
      </c>
      <c r="M178" s="424">
        <f t="shared" si="828"/>
        <v>426.4</v>
      </c>
      <c r="N178" s="424">
        <f>SUM(N174:N177)</f>
        <v>489.16200000000003</v>
      </c>
      <c r="O178" s="424">
        <f>SUM(O174:O177)</f>
        <v>506.48500000000001</v>
      </c>
      <c r="P178" s="424">
        <f t="shared" si="828"/>
        <v>506.48500000000001</v>
      </c>
      <c r="Q178" s="424">
        <f t="shared" ref="Q178" si="829">SUM(Q174:Q177)</f>
        <v>584.09199999999998</v>
      </c>
      <c r="R178" s="424">
        <f>SUM(R174:R177)</f>
        <v>614.41700000000003</v>
      </c>
      <c r="S178" s="424">
        <f t="shared" ref="S178:AN178" si="830">SUM(S174:S177)</f>
        <v>614.41700000000003</v>
      </c>
      <c r="T178" s="896">
        <f t="shared" ref="T178" si="831">SUM(T174:T177)</f>
        <v>737.649</v>
      </c>
      <c r="U178" s="900">
        <f t="shared" si="830"/>
        <v>769.65899999999999</v>
      </c>
      <c r="V178" s="424">
        <f t="shared" si="830"/>
        <v>769.65899999999999</v>
      </c>
      <c r="W178" s="1189">
        <f t="shared" si="830"/>
        <v>825.78700000000003</v>
      </c>
      <c r="X178" s="424">
        <f t="shared" ref="X178" si="832">SUM(X174:X177)</f>
        <v>848.21399999999994</v>
      </c>
      <c r="Y178" s="424">
        <f t="shared" si="830"/>
        <v>848.21399999999994</v>
      </c>
      <c r="Z178" s="1189">
        <f t="shared" ref="Z178:AA178" si="833">SUM(Z174:Z177)</f>
        <v>972.80700000000002</v>
      </c>
      <c r="AA178" s="424">
        <f t="shared" si="833"/>
        <v>973.70900000000006</v>
      </c>
      <c r="AB178" s="1190">
        <f t="shared" si="830"/>
        <v>973.70900000000006</v>
      </c>
      <c r="AC178" s="1189">
        <f t="shared" si="830"/>
        <v>1048.0129999999999</v>
      </c>
      <c r="AD178" s="424">
        <f t="shared" si="830"/>
        <v>1055.7111455305521</v>
      </c>
      <c r="AE178" s="424">
        <f t="shared" si="830"/>
        <v>1055.7111455305521</v>
      </c>
      <c r="AF178" s="424">
        <f t="shared" ref="AF178:AG178" si="834">SUM(AF174:AF177)</f>
        <v>1128.7569073907378</v>
      </c>
      <c r="AG178" s="424">
        <f t="shared" si="834"/>
        <v>1153.6918376956771</v>
      </c>
      <c r="AH178" s="424">
        <f t="shared" si="830"/>
        <v>1153.6918376956771</v>
      </c>
      <c r="AI178" s="424">
        <f t="shared" si="830"/>
        <v>1247.5076253334473</v>
      </c>
      <c r="AJ178" s="424">
        <f t="shared" si="830"/>
        <v>1266.9178787744427</v>
      </c>
      <c r="AK178" s="424">
        <f t="shared" si="830"/>
        <v>1266.9178787744427</v>
      </c>
      <c r="AL178" s="424"/>
      <c r="AM178" s="424"/>
      <c r="AN178" s="424">
        <f t="shared" si="830"/>
        <v>1397.3270758100641</v>
      </c>
      <c r="AO178" s="424"/>
      <c r="AP178" s="424"/>
      <c r="AQ178" s="424">
        <f t="shared" ref="AQ178:AT178" si="835">SUM(AQ174:AQ177)</f>
        <v>1546.9771046777735</v>
      </c>
      <c r="AR178" s="424"/>
      <c r="AS178" s="424"/>
      <c r="AT178" s="424">
        <f t="shared" si="835"/>
        <v>1719.7393661733083</v>
      </c>
      <c r="AU178" s="424"/>
      <c r="AV178" s="424"/>
      <c r="AW178" s="424">
        <f t="shared" ref="AW178" si="836">SUM(AW174:AW177)</f>
        <v>1914.8665026251952</v>
      </c>
      <c r="AX178" s="424"/>
      <c r="AY178" s="424"/>
      <c r="AZ178" s="424">
        <f t="shared" ref="AZ178:BC178" si="837">SUM(AZ174:AZ177)</f>
        <v>2136.8376075903207</v>
      </c>
      <c r="BA178" s="424"/>
      <c r="BB178" s="424"/>
      <c r="BC178" s="424">
        <f t="shared" si="837"/>
        <v>2388.0933388645221</v>
      </c>
      <c r="BD178" s="424"/>
      <c r="BE178" s="424"/>
      <c r="BF178" s="424">
        <f t="shared" ref="BF178" si="838">SUM(BF174:BF177)</f>
        <v>2672.1750812882156</v>
      </c>
      <c r="BG178" s="424"/>
      <c r="BH178" s="424"/>
      <c r="BI178" s="424">
        <f t="shared" ref="BI178" si="839">SUM(BI174:BI177)</f>
        <v>2993.7241943809754</v>
      </c>
      <c r="BJ178" s="322"/>
    </row>
    <row r="179" spans="1:62" s="312" customFormat="1">
      <c r="A179" s="312" t="s">
        <v>489</v>
      </c>
      <c r="B179" s="409">
        <f>B153-B171-B142-B144</f>
        <v>168.00399999999996</v>
      </c>
      <c r="C179" s="409"/>
      <c r="D179" s="409">
        <f>D153-D171-D142-D144</f>
        <v>159.54900000000004</v>
      </c>
      <c r="E179" s="409">
        <f>E153-E171-E142-E144</f>
        <v>167.55700000000004</v>
      </c>
      <c r="F179" s="409"/>
      <c r="G179" s="409">
        <f>G153-G171-G142-G144</f>
        <v>170.64699999999991</v>
      </c>
      <c r="H179" s="409">
        <f>H153-H171-H142-H144</f>
        <v>194.43699999999995</v>
      </c>
      <c r="I179" s="409"/>
      <c r="J179" s="409">
        <f>J153-J171-J142-J144</f>
        <v>186.92099999999996</v>
      </c>
      <c r="K179" s="409">
        <f>K153-K171-K142-K144</f>
        <v>174.02999999999997</v>
      </c>
      <c r="L179" s="409"/>
      <c r="M179" s="409">
        <f>M153-M171-M142-M144</f>
        <v>266.22099999999995</v>
      </c>
      <c r="N179" s="409">
        <f>N153-N171-N142-N144</f>
        <v>252.07799999999992</v>
      </c>
      <c r="O179" s="409"/>
      <c r="P179" s="409">
        <f>P153-P171-P142-P144</f>
        <v>276.6810000000001</v>
      </c>
      <c r="Q179" s="409">
        <f t="shared" ref="Q179:AT179" si="840">Q153-Q171-Q142-Q144</f>
        <v>342.28099999999984</v>
      </c>
      <c r="R179" s="409"/>
      <c r="S179" s="409">
        <f t="shared" si="840"/>
        <v>373.37</v>
      </c>
      <c r="T179" s="482">
        <f t="shared" si="840"/>
        <v>349.48500000000013</v>
      </c>
      <c r="U179" s="399"/>
      <c r="V179" s="409">
        <f>V153-V171-V142-V144</f>
        <v>370.63100000000009</v>
      </c>
      <c r="W179" s="1187">
        <f t="shared" ref="W179" si="841">W153-W171-W142-W144</f>
        <v>425.01600000000002</v>
      </c>
      <c r="X179" s="409"/>
      <c r="Y179" s="409">
        <f>Y153-Y171-Y142-Y144</f>
        <v>437.92599999999999</v>
      </c>
      <c r="Z179" s="1187">
        <f t="shared" si="840"/>
        <v>534.50800000000004</v>
      </c>
      <c r="AA179" s="409"/>
      <c r="AB179" s="831">
        <f t="shared" si="840"/>
        <v>522.9680000000003</v>
      </c>
      <c r="AC179" s="1187">
        <f t="shared" ref="AC179" si="842">AC153-AC171-AC142-AC144</f>
        <v>593.59700000000021</v>
      </c>
      <c r="AD179" s="409"/>
      <c r="AE179" s="409">
        <f>AE153-AE171-AE142-AE144</f>
        <v>587.24164491661872</v>
      </c>
      <c r="AF179" s="409" t="e">
        <f t="shared" si="840"/>
        <v>#REF!</v>
      </c>
      <c r="AG179" s="409"/>
      <c r="AH179" s="409">
        <f t="shared" si="840"/>
        <v>665.31123848533184</v>
      </c>
      <c r="AI179" s="409" t="e">
        <f t="shared" ref="AI179" si="843">AI153-AI171-AI142-AI144</f>
        <v>#REF!</v>
      </c>
      <c r="AJ179" s="409"/>
      <c r="AK179" s="409">
        <f t="shared" si="840"/>
        <v>756.73964749356492</v>
      </c>
      <c r="AL179" s="409"/>
      <c r="AM179" s="409"/>
      <c r="AN179" s="409">
        <f t="shared" si="840"/>
        <v>863.76888034060664</v>
      </c>
      <c r="AO179" s="409"/>
      <c r="AP179" s="409"/>
      <c r="AQ179" s="409">
        <f t="shared" si="840"/>
        <v>988.41245176148391</v>
      </c>
      <c r="AR179" s="409"/>
      <c r="AS179" s="409"/>
      <c r="AT179" s="409">
        <f t="shared" si="840"/>
        <v>1134.4767696710385</v>
      </c>
      <c r="AU179" s="409"/>
      <c r="AV179" s="409"/>
      <c r="AW179" s="409">
        <f t="shared" ref="AW179" si="844">AW153-AW171-AW142-AW144</f>
        <v>1301.1124439406176</v>
      </c>
      <c r="AX179" s="409"/>
      <c r="AY179" s="409"/>
      <c r="AZ179" s="409">
        <f t="shared" ref="AZ179:BC179" si="845">AZ153-AZ171-AZ142-AZ144</f>
        <v>1492.6942397125545</v>
      </c>
      <c r="BA179" s="409"/>
      <c r="BB179" s="409"/>
      <c r="BC179" s="409">
        <f t="shared" si="845"/>
        <v>1711.5570439381277</v>
      </c>
      <c r="BD179" s="409"/>
      <c r="BE179" s="409"/>
      <c r="BF179" s="409">
        <f t="shared" ref="BF179" si="846">BF153-BF171-BF142-BF144</f>
        <v>1961.13612993739</v>
      </c>
      <c r="BG179" s="409"/>
      <c r="BH179" s="409"/>
      <c r="BI179" s="409">
        <f t="shared" ref="BI179" si="847">BI153-BI171-BI142-BI144</f>
        <v>2245.9678058784339</v>
      </c>
      <c r="BJ179" s="323"/>
    </row>
    <row r="180" spans="1:62" s="489" customFormat="1">
      <c r="A180" s="489" t="s">
        <v>1685</v>
      </c>
      <c r="B180" s="490">
        <f>B153-B171-B178</f>
        <v>0</v>
      </c>
      <c r="C180" s="490"/>
      <c r="D180" s="490">
        <f>D153-D171-D178</f>
        <v>0</v>
      </c>
      <c r="E180" s="490">
        <f>E153-E171-E178</f>
        <v>0</v>
      </c>
      <c r="F180" s="490"/>
      <c r="G180" s="490">
        <f>G153-G171-G178</f>
        <v>0</v>
      </c>
      <c r="H180" s="490">
        <f>H153-H171-H178</f>
        <v>0</v>
      </c>
      <c r="I180" s="490"/>
      <c r="J180" s="490">
        <f t="shared" ref="J180:Y180" si="848">J153-J171-J178</f>
        <v>0</v>
      </c>
      <c r="K180" s="490">
        <f>K153-K171-K178</f>
        <v>0</v>
      </c>
      <c r="L180" s="490"/>
      <c r="M180" s="490">
        <f t="shared" si="848"/>
        <v>0</v>
      </c>
      <c r="N180" s="490"/>
      <c r="O180" s="490"/>
      <c r="P180" s="490">
        <f t="shared" si="848"/>
        <v>0</v>
      </c>
      <c r="Q180" s="490"/>
      <c r="R180" s="490"/>
      <c r="S180" s="691">
        <f>S153-S171-S178</f>
        <v>0</v>
      </c>
      <c r="T180" s="691">
        <f t="shared" ref="T180" si="849">T153-T171-T178</f>
        <v>0</v>
      </c>
      <c r="U180" s="902"/>
      <c r="V180" s="902"/>
      <c r="W180" s="987">
        <f>W153-W171-W178</f>
        <v>0</v>
      </c>
      <c r="X180" s="490">
        <f>X153-X171-X178</f>
        <v>0</v>
      </c>
      <c r="Y180" s="902">
        <f t="shared" si="848"/>
        <v>0</v>
      </c>
      <c r="Z180" s="987">
        <f>Z153-Z171-Z178</f>
        <v>0</v>
      </c>
      <c r="AA180" s="490">
        <f>AA153-AA171-AA178</f>
        <v>0</v>
      </c>
      <c r="AB180" s="1159">
        <f t="shared" ref="AB180:AT180" si="850">AB153-AB171-AB178</f>
        <v>0</v>
      </c>
      <c r="AC180" s="987">
        <f>AC153-AC171-AC178</f>
        <v>0</v>
      </c>
      <c r="AD180" s="490">
        <f t="shared" ref="AD180" si="851">AD153-AD171-AD178</f>
        <v>0</v>
      </c>
      <c r="AE180" s="861">
        <f t="shared" si="850"/>
        <v>0</v>
      </c>
      <c r="AF180" s="490" t="e">
        <f>AF153-AF171-AF178</f>
        <v>#REF!</v>
      </c>
      <c r="AG180" s="490">
        <f t="shared" ref="AG180" si="852">AG153-AG171-AG178</f>
        <v>0</v>
      </c>
      <c r="AH180" s="861">
        <f t="shared" si="850"/>
        <v>0</v>
      </c>
      <c r="AI180" s="490" t="e">
        <f>AI153-AI171-AI178</f>
        <v>#REF!</v>
      </c>
      <c r="AJ180" s="490">
        <f t="shared" ref="AJ180" si="853">AJ153-AJ171-AJ178</f>
        <v>77.283000000000357</v>
      </c>
      <c r="AK180" s="861">
        <f t="shared" si="850"/>
        <v>0</v>
      </c>
      <c r="AL180" s="861"/>
      <c r="AM180" s="861"/>
      <c r="AN180" s="861">
        <f t="shared" si="850"/>
        <v>0</v>
      </c>
      <c r="AO180" s="861"/>
      <c r="AP180" s="861"/>
      <c r="AQ180" s="861">
        <f t="shared" si="850"/>
        <v>0</v>
      </c>
      <c r="AR180" s="861"/>
      <c r="AS180" s="861"/>
      <c r="AT180" s="691">
        <f t="shared" si="850"/>
        <v>0</v>
      </c>
      <c r="AU180" s="691"/>
      <c r="AV180" s="691"/>
      <c r="AW180" s="691">
        <f t="shared" ref="AW180" si="854">AW153-AW171-AW178</f>
        <v>0</v>
      </c>
      <c r="AX180" s="691"/>
      <c r="AY180" s="691"/>
      <c r="AZ180" s="691">
        <f t="shared" ref="AZ180:BC180" si="855">AZ153-AZ171-AZ178</f>
        <v>0</v>
      </c>
      <c r="BA180" s="691"/>
      <c r="BB180" s="691"/>
      <c r="BC180" s="691">
        <f t="shared" si="855"/>
        <v>0</v>
      </c>
      <c r="BD180" s="691"/>
      <c r="BE180" s="691"/>
      <c r="BF180" s="691">
        <f t="shared" ref="BF180" si="856">BF153-BF171-BF178</f>
        <v>0</v>
      </c>
      <c r="BG180" s="691"/>
      <c r="BH180" s="691"/>
      <c r="BI180" s="691">
        <f t="shared" ref="BI180" si="857">BI153-BI171-BI178</f>
        <v>0</v>
      </c>
      <c r="BJ180" s="491"/>
    </row>
    <row r="181" spans="1:62">
      <c r="A181" s="315"/>
      <c r="B181" s="425"/>
      <c r="C181" s="425"/>
      <c r="D181" s="425"/>
      <c r="E181" s="425"/>
      <c r="F181" s="425"/>
      <c r="G181" s="425"/>
      <c r="H181" s="425"/>
      <c r="I181" s="425"/>
      <c r="J181" s="425"/>
      <c r="K181" s="425"/>
      <c r="L181" s="425"/>
      <c r="M181" s="425"/>
      <c r="N181" s="425"/>
      <c r="O181" s="425"/>
      <c r="P181" s="425"/>
      <c r="Q181" s="425"/>
      <c r="R181" s="425"/>
      <c r="S181" s="425"/>
      <c r="T181" s="425"/>
      <c r="U181" s="425"/>
      <c r="V181" s="425"/>
      <c r="W181" s="425"/>
      <c r="X181" s="425"/>
      <c r="Y181" s="425"/>
      <c r="Z181" s="425"/>
      <c r="AA181" s="425"/>
      <c r="AB181" s="852"/>
      <c r="AC181" s="425"/>
      <c r="AD181" s="425"/>
      <c r="AE181" s="425"/>
      <c r="AF181" s="425"/>
      <c r="AG181" s="425"/>
      <c r="AH181" s="425"/>
      <c r="AI181" s="425"/>
      <c r="AJ181" s="425"/>
      <c r="AK181" s="425"/>
      <c r="AL181" s="425"/>
      <c r="AM181" s="425"/>
      <c r="AN181" s="425"/>
      <c r="AO181" s="425"/>
      <c r="AP181" s="425"/>
      <c r="AQ181" s="425"/>
      <c r="AR181" s="425"/>
      <c r="AS181" s="425"/>
      <c r="AT181" s="425"/>
      <c r="AU181" s="425"/>
      <c r="AV181" s="425"/>
      <c r="AW181" s="425"/>
      <c r="AX181" s="425"/>
      <c r="AY181" s="425"/>
      <c r="AZ181" s="425"/>
      <c r="BA181" s="425"/>
      <c r="BB181" s="425"/>
      <c r="BC181" s="425"/>
      <c r="BD181" s="425"/>
      <c r="BE181" s="425"/>
      <c r="BF181" s="425"/>
      <c r="BG181" s="425"/>
      <c r="BH181" s="425"/>
      <c r="BI181" s="425"/>
      <c r="BJ181" s="356"/>
    </row>
    <row r="182" spans="1:62">
      <c r="A182" s="315" t="s">
        <v>1686</v>
      </c>
      <c r="B182" s="425"/>
      <c r="C182" s="425"/>
      <c r="D182" s="425"/>
      <c r="E182" s="425"/>
      <c r="F182" s="425"/>
      <c r="G182" s="425"/>
      <c r="H182" s="425"/>
      <c r="I182" s="425"/>
      <c r="J182" s="425"/>
      <c r="K182" s="425"/>
      <c r="L182" s="425"/>
      <c r="M182" s="425"/>
      <c r="N182" s="425"/>
      <c r="O182" s="425"/>
      <c r="P182" s="425"/>
      <c r="Q182" s="425"/>
      <c r="R182" s="425"/>
      <c r="S182" s="425"/>
      <c r="T182" s="425"/>
      <c r="U182" s="425"/>
      <c r="V182" s="425"/>
      <c r="W182" s="425"/>
      <c r="X182" s="425"/>
      <c r="Y182" s="425"/>
      <c r="Z182" s="425"/>
      <c r="AA182" s="425"/>
      <c r="AB182" s="852"/>
      <c r="AC182" s="425"/>
      <c r="AD182" s="425"/>
      <c r="AE182" s="425"/>
      <c r="AF182" s="425"/>
      <c r="AG182" s="425"/>
      <c r="AH182" s="425"/>
      <c r="AI182" s="425"/>
      <c r="AJ182" s="425"/>
      <c r="AK182" s="425"/>
      <c r="AL182" s="425"/>
      <c r="AM182" s="425"/>
      <c r="AN182" s="425"/>
      <c r="AO182" s="425"/>
      <c r="AP182" s="425"/>
      <c r="AQ182" s="425"/>
      <c r="AR182" s="425"/>
      <c r="AS182" s="425"/>
      <c r="AT182" s="425"/>
      <c r="AU182" s="425"/>
      <c r="AV182" s="425"/>
      <c r="AW182" s="425"/>
      <c r="AX182" s="425"/>
      <c r="AY182" s="425"/>
      <c r="AZ182" s="425"/>
      <c r="BA182" s="425"/>
      <c r="BB182" s="425"/>
      <c r="BC182" s="425"/>
      <c r="BD182" s="425"/>
      <c r="BE182" s="425"/>
      <c r="BF182" s="425"/>
      <c r="BG182" s="425"/>
      <c r="BH182" s="425"/>
      <c r="BI182" s="425"/>
      <c r="BJ182" s="356"/>
    </row>
    <row r="183" spans="1:62">
      <c r="A183" s="315" t="s">
        <v>1583</v>
      </c>
      <c r="B183" s="426"/>
      <c r="C183" s="426"/>
      <c r="D183" s="426">
        <f>+D114/D33</f>
        <v>-0.4597779237991288</v>
      </c>
      <c r="E183" s="426">
        <f>+E114/E33</f>
        <v>1.4630577907827908E-4</v>
      </c>
      <c r="F183" s="426"/>
      <c r="G183" s="426">
        <f>+G114/G33</f>
        <v>-0.57869894522557386</v>
      </c>
      <c r="H183" s="426">
        <f>+H114/H33</f>
        <v>-6.0994638145763962E-3</v>
      </c>
      <c r="I183" s="426"/>
      <c r="J183" s="426">
        <f>+J114/J33</f>
        <v>-8.639797825571896E-2</v>
      </c>
      <c r="K183" s="426">
        <f>+K114/K33</f>
        <v>0.93631671554252216</v>
      </c>
      <c r="L183" s="426"/>
      <c r="M183" s="426">
        <f>+M114/M33</f>
        <v>-0.78730017090397608</v>
      </c>
      <c r="N183" s="426">
        <f>+N114/N33</f>
        <v>-0.62208128374591976</v>
      </c>
      <c r="O183" s="426"/>
      <c r="P183" s="426">
        <f>+P114/P33</f>
        <v>-0.55843304878198108</v>
      </c>
      <c r="Q183" s="426">
        <f>+Q114/Q33</f>
        <v>3.3179282868525992E-2</v>
      </c>
      <c r="R183" s="426"/>
      <c r="S183" s="426">
        <f>+S114/S33</f>
        <v>0.28860526372143802</v>
      </c>
      <c r="T183" s="426">
        <f>+T114/T33</f>
        <v>2.0500401730967117</v>
      </c>
      <c r="U183" s="426"/>
      <c r="V183" s="426">
        <f>+V114/V33</f>
        <v>0.89996470528916417</v>
      </c>
      <c r="W183" s="426">
        <f>+W114/W33</f>
        <v>1.0959444353734664</v>
      </c>
      <c r="X183" s="426"/>
      <c r="Y183" s="426">
        <f>+Y114/Y33</f>
        <v>-0.21835615768763916</v>
      </c>
      <c r="Z183" s="426">
        <f>+Z114/Z33</f>
        <v>0.31019957651934965</v>
      </c>
      <c r="AA183" s="426"/>
      <c r="AB183" s="990">
        <f>+AB114/AB33</f>
        <v>-0.17822018875002774</v>
      </c>
      <c r="AC183" s="426">
        <f>+AC114/AC33</f>
        <v>0.2383701207034285</v>
      </c>
      <c r="AD183" s="426"/>
      <c r="AE183" s="426">
        <f t="shared" ref="AE183:BF183" si="858">+AE114/AE33</f>
        <v>1.5508939067693309E-3</v>
      </c>
      <c r="AF183" s="426" t="e">
        <f>+AF114/AF33</f>
        <v>#REF!</v>
      </c>
      <c r="AG183" s="426"/>
      <c r="AH183" s="426">
        <f t="shared" si="858"/>
        <v>-0.4733764219948059</v>
      </c>
      <c r="AI183" s="426" t="e">
        <f>+AI114/AI33</f>
        <v>#REF!</v>
      </c>
      <c r="AJ183" s="426"/>
      <c r="AK183" s="426">
        <f t="shared" si="858"/>
        <v>-0.5359772924775279</v>
      </c>
      <c r="AL183" s="426"/>
      <c r="AM183" s="426"/>
      <c r="AN183" s="426">
        <f t="shared" si="858"/>
        <v>-0.75696576659824177</v>
      </c>
      <c r="AO183" s="426"/>
      <c r="AP183" s="426"/>
      <c r="AQ183" s="426">
        <f t="shared" si="858"/>
        <v>-0.87081232221393512</v>
      </c>
      <c r="AR183" s="426"/>
      <c r="AS183" s="426"/>
      <c r="AT183" s="426">
        <f t="shared" si="858"/>
        <v>-0.9348596405367795</v>
      </c>
      <c r="AU183" s="426"/>
      <c r="AV183" s="426"/>
      <c r="AW183" s="426">
        <f t="shared" si="858"/>
        <v>-1.0120293471001751</v>
      </c>
      <c r="AX183" s="426"/>
      <c r="AY183" s="426"/>
      <c r="AZ183" s="426">
        <f t="shared" si="858"/>
        <v>-1.0891102801637698</v>
      </c>
      <c r="BA183" s="426"/>
      <c r="BB183" s="426"/>
      <c r="BC183" s="426">
        <f t="shared" si="858"/>
        <v>-1.1545395254705331</v>
      </c>
      <c r="BD183" s="426"/>
      <c r="BE183" s="426"/>
      <c r="BF183" s="426">
        <f t="shared" si="858"/>
        <v>-1.2178235524770655</v>
      </c>
      <c r="BG183" s="426"/>
      <c r="BH183" s="426"/>
      <c r="BI183" s="426">
        <f t="shared" ref="BI183" si="859">+BI114/BI33</f>
        <v>-1.2814613638661314</v>
      </c>
      <c r="BJ183" s="318"/>
    </row>
    <row r="184" spans="1:62">
      <c r="A184" s="314" t="s">
        <v>449</v>
      </c>
      <c r="B184" s="427">
        <f>B137/B153</f>
        <v>0.73364493565087552</v>
      </c>
      <c r="C184" s="427"/>
      <c r="D184" s="427">
        <f>D137/D153</f>
        <v>0.72076719861850602</v>
      </c>
      <c r="E184" s="427">
        <f>E137/E153</f>
        <v>0.75438793613246602</v>
      </c>
      <c r="F184" s="427"/>
      <c r="G184" s="427">
        <f>G137/G153</f>
        <v>0.70889347455591012</v>
      </c>
      <c r="H184" s="427">
        <f>H137/H153</f>
        <v>0.75011955508629535</v>
      </c>
      <c r="I184" s="427"/>
      <c r="J184" s="427">
        <f>J137/J153</f>
        <v>0.72187489578572173</v>
      </c>
      <c r="K184" s="427">
        <f>K137/K153</f>
        <v>0.73431043010695507</v>
      </c>
      <c r="L184" s="427"/>
      <c r="M184" s="427">
        <f>M137/M153</f>
        <v>0.68822225396017167</v>
      </c>
      <c r="N184" s="427">
        <f>N137/N153</f>
        <v>0.65385022876203025</v>
      </c>
      <c r="O184" s="427"/>
      <c r="P184" s="427">
        <f>P137/P153</f>
        <v>0.61437766012664796</v>
      </c>
      <c r="Q184" s="427">
        <f>Q137/Q153</f>
        <v>0.73108141815473138</v>
      </c>
      <c r="R184" s="427"/>
      <c r="S184" s="427">
        <f>S137/S153</f>
        <v>0.7160145596157238</v>
      </c>
      <c r="T184" s="427">
        <f t="shared" ref="T184" si="860">T137/T153</f>
        <v>0.64728222434929628</v>
      </c>
      <c r="U184" s="427"/>
      <c r="V184" s="427">
        <f>V137/V153</f>
        <v>0.5970228068184793</v>
      </c>
      <c r="W184" s="427">
        <f t="shared" ref="W184" si="861">W137/W153</f>
        <v>0.6338087334275937</v>
      </c>
      <c r="X184" s="427"/>
      <c r="Y184" s="427">
        <f>Y137/Y153</f>
        <v>0.56970138046382335</v>
      </c>
      <c r="Z184" s="427">
        <f t="shared" ref="Z184" si="862">Z137/Z153</f>
        <v>0.63398601306160607</v>
      </c>
      <c r="AA184" s="427"/>
      <c r="AB184" s="991">
        <f>AB137/AB153</f>
        <v>0.56801032129834472</v>
      </c>
      <c r="AC184" s="427">
        <f t="shared" ref="AC184:AT184" si="863">AC137/AC153</f>
        <v>0.63170754361756154</v>
      </c>
      <c r="AD184" s="427"/>
      <c r="AE184" s="427">
        <f t="shared" si="863"/>
        <v>0.60474374739773773</v>
      </c>
      <c r="AF184" s="427" t="e">
        <f t="shared" ref="AF184" si="864">AF137/AF153</f>
        <v>#REF!</v>
      </c>
      <c r="AG184" s="427"/>
      <c r="AH184" s="427">
        <f t="shared" si="863"/>
        <v>0.59677202506326676</v>
      </c>
      <c r="AI184" s="427" t="e">
        <f t="shared" si="863"/>
        <v>#REF!</v>
      </c>
      <c r="AJ184" s="427"/>
      <c r="AK184" s="427">
        <f t="shared" si="863"/>
        <v>0.61199819761125673</v>
      </c>
      <c r="AL184" s="427"/>
      <c r="AM184" s="427"/>
      <c r="AN184" s="427">
        <f t="shared" si="863"/>
        <v>0.62674968588373692</v>
      </c>
      <c r="AO184" s="427"/>
      <c r="AP184" s="427"/>
      <c r="AQ184" s="427">
        <f t="shared" si="863"/>
        <v>0.64080824205204379</v>
      </c>
      <c r="AR184" s="427"/>
      <c r="AS184" s="427"/>
      <c r="AT184" s="427">
        <f t="shared" si="863"/>
        <v>0.65434372398203478</v>
      </c>
      <c r="AU184" s="427"/>
      <c r="AV184" s="427"/>
      <c r="AW184" s="427">
        <f t="shared" ref="AW184" si="865">AW137/AW153</f>
        <v>0.66753817793792791</v>
      </c>
      <c r="AX184" s="427"/>
      <c r="AY184" s="427"/>
      <c r="AZ184" s="427">
        <f t="shared" ref="AZ184:BC184" si="866">AZ137/AZ153</f>
        <v>0.68052511362914558</v>
      </c>
      <c r="BA184" s="427"/>
      <c r="BB184" s="427"/>
      <c r="BC184" s="427">
        <f t="shared" si="866"/>
        <v>0.69314260864622357</v>
      </c>
      <c r="BD184" s="427"/>
      <c r="BE184" s="427"/>
      <c r="BF184" s="427">
        <f t="shared" ref="BF184" si="867">BF137/BF153</f>
        <v>0.70534351114195315</v>
      </c>
      <c r="BG184" s="427"/>
      <c r="BH184" s="427"/>
      <c r="BI184" s="427">
        <f t="shared" ref="BI184" si="868">BI137/BI153</f>
        <v>0.71716977411102978</v>
      </c>
      <c r="BJ184" s="353"/>
    </row>
    <row r="185" spans="1:62">
      <c r="A185" s="314" t="s">
        <v>450</v>
      </c>
      <c r="B185" s="427">
        <f>B162/B171</f>
        <v>0.97015900414141953</v>
      </c>
      <c r="C185" s="427"/>
      <c r="D185" s="427">
        <f>D162/D171</f>
        <v>0.74058640998036862</v>
      </c>
      <c r="E185" s="427">
        <f t="shared" ref="E185:T185" si="869">E162/E171</f>
        <v>0.97875250224339061</v>
      </c>
      <c r="F185" s="427"/>
      <c r="G185" s="427">
        <f t="shared" si="869"/>
        <v>0.6711388282319849</v>
      </c>
      <c r="H185" s="427">
        <f>H162/H171</f>
        <v>0.96367815680732694</v>
      </c>
      <c r="I185" s="427"/>
      <c r="J185" s="427">
        <f t="shared" si="869"/>
        <v>0.71904207950579646</v>
      </c>
      <c r="K185" s="427">
        <f>K162/K171</f>
        <v>0.90526930375127723</v>
      </c>
      <c r="L185" s="427"/>
      <c r="M185" s="427">
        <f t="shared" si="869"/>
        <v>0.83354916331441375</v>
      </c>
      <c r="N185" s="427">
        <f>N162/N171</f>
        <v>0.92113784160700241</v>
      </c>
      <c r="O185" s="427"/>
      <c r="P185" s="427">
        <f t="shared" si="869"/>
        <v>0.82938047737124032</v>
      </c>
      <c r="Q185" s="427">
        <f>Q162/Q171</f>
        <v>0.67887976595585076</v>
      </c>
      <c r="R185" s="427"/>
      <c r="S185" s="427">
        <f t="shared" si="869"/>
        <v>0.60755044401356395</v>
      </c>
      <c r="T185" s="427">
        <f t="shared" si="869"/>
        <v>0.57898409582381183</v>
      </c>
      <c r="U185" s="427"/>
      <c r="V185" s="427">
        <f t="shared" ref="V185:W185" si="870">V162/V171</f>
        <v>0.53168493356664737</v>
      </c>
      <c r="W185" s="427">
        <f t="shared" si="870"/>
        <v>0.69615068390761636</v>
      </c>
      <c r="X185" s="427"/>
      <c r="Y185" s="427">
        <f t="shared" ref="Y185:Z185" si="871">Y162/Y171</f>
        <v>0.68568367700976152</v>
      </c>
      <c r="Z185" s="427">
        <f t="shared" si="871"/>
        <v>0.75106730685795264</v>
      </c>
      <c r="AA185" s="427"/>
      <c r="AB185" s="991">
        <f t="shared" ref="AB185" si="872">AB162/AB171</f>
        <v>0.7617477832512316</v>
      </c>
      <c r="AC185" s="427">
        <f t="shared" ref="AC185:AN185" si="873">AC162/AC171</f>
        <v>0.76487311052558593</v>
      </c>
      <c r="AD185" s="427"/>
      <c r="AE185" s="427">
        <f t="shared" si="873"/>
        <v>0.67774111017025562</v>
      </c>
      <c r="AF185" s="427">
        <f t="shared" ref="AF185" si="874">AF162/AF171</f>
        <v>0.7087565991640471</v>
      </c>
      <c r="AG185" s="427"/>
      <c r="AH185" s="427">
        <f t="shared" si="873"/>
        <v>0.73988564307488947</v>
      </c>
      <c r="AI185" s="427">
        <f t="shared" si="873"/>
        <v>0.87219799330831038</v>
      </c>
      <c r="AJ185" s="427"/>
      <c r="AK185" s="427">
        <f t="shared" si="873"/>
        <v>0.74813008251552804</v>
      </c>
      <c r="AL185" s="427"/>
      <c r="AM185" s="427"/>
      <c r="AN185" s="427">
        <f t="shared" si="873"/>
        <v>0.75558962609051095</v>
      </c>
      <c r="AO185" s="427"/>
      <c r="AP185" s="427"/>
      <c r="AQ185" s="427">
        <f t="shared" ref="AQ185:AT185" si="875">AQ162/AQ171</f>
        <v>0.76224457178451699</v>
      </c>
      <c r="AR185" s="427"/>
      <c r="AS185" s="427"/>
      <c r="AT185" s="427">
        <f t="shared" si="875"/>
        <v>0.76825949191814968</v>
      </c>
      <c r="AU185" s="427"/>
      <c r="AV185" s="427"/>
      <c r="AW185" s="427">
        <f t="shared" ref="AW185" si="876">AW162/AW171</f>
        <v>0.77392124046439081</v>
      </c>
      <c r="AX185" s="427"/>
      <c r="AY185" s="427"/>
      <c r="AZ185" s="427">
        <f t="shared" ref="AZ185:BC185" si="877">AZ162/AZ171</f>
        <v>0.77922738980204831</v>
      </c>
      <c r="BA185" s="427"/>
      <c r="BB185" s="427"/>
      <c r="BC185" s="427">
        <f t="shared" si="877"/>
        <v>0.78418061254877602</v>
      </c>
      <c r="BD185" s="427"/>
      <c r="BE185" s="427"/>
      <c r="BF185" s="427">
        <f t="shared" ref="BF185" si="878">BF162/BF171</f>
        <v>0.78878742354663067</v>
      </c>
      <c r="BG185" s="427"/>
      <c r="BH185" s="427"/>
      <c r="BI185" s="427">
        <f t="shared" ref="BI185" si="879">BI162/BI171</f>
        <v>0.79313058903427447</v>
      </c>
      <c r="BJ185" s="353"/>
    </row>
    <row r="186" spans="1:62">
      <c r="A186" s="314" t="s">
        <v>470</v>
      </c>
      <c r="B186" s="504">
        <f>B135/(B5*2)</f>
        <v>0.13529725681668084</v>
      </c>
      <c r="C186" s="416"/>
      <c r="D186" s="422">
        <f>D135/(D5*2)</f>
        <v>9.6215659374674967E-2</v>
      </c>
      <c r="E186" s="422">
        <f>E135/(E5*2)</f>
        <v>0.1508886640201344</v>
      </c>
      <c r="F186" s="422"/>
      <c r="G186" s="422">
        <f>G135/(G5*2)</f>
        <v>7.639250829311961E-2</v>
      </c>
      <c r="H186" s="422">
        <f>H135/(H5*2)</f>
        <v>0.12717231606985926</v>
      </c>
      <c r="I186" s="422"/>
      <c r="J186" s="422">
        <f>J135/(J5*2)</f>
        <v>0.10021816736779358</v>
      </c>
      <c r="K186" s="422">
        <f>K135/(K5*2)</f>
        <v>0.15865870580435262</v>
      </c>
      <c r="L186" s="422"/>
      <c r="M186" s="422">
        <f>M135/(M5*2)</f>
        <v>8.0721957817534162E-2</v>
      </c>
      <c r="N186" s="422">
        <f>N135/(N5*2)</f>
        <v>0.11288500867843108</v>
      </c>
      <c r="O186" s="640"/>
      <c r="P186" s="422">
        <f>P135/(P5*2)</f>
        <v>9.1217260173164172E-2</v>
      </c>
      <c r="Q186" s="422">
        <f>Q135/(Q5*2)</f>
        <v>0.16690547755158711</v>
      </c>
      <c r="R186" s="640"/>
      <c r="S186" s="422">
        <f t="shared" ref="S186:X186" si="880">S135/(S5*2)</f>
        <v>0.15717851099830796</v>
      </c>
      <c r="T186" s="640">
        <f t="shared" si="880"/>
        <v>0.26196259672048444</v>
      </c>
      <c r="U186" s="640">
        <f t="shared" si="880"/>
        <v>0.37225297754626135</v>
      </c>
      <c r="V186" s="422">
        <f t="shared" si="880"/>
        <v>0.14866991668887303</v>
      </c>
      <c r="W186" s="640">
        <f t="shared" si="880"/>
        <v>0.20972597567760909</v>
      </c>
      <c r="X186" s="640">
        <f t="shared" si="880"/>
        <v>0.26654417653956319</v>
      </c>
      <c r="Y186" s="422">
        <f t="shared" ref="Y186:AA186" si="881">Y135/(Y5*2)</f>
        <v>0.10875539953450769</v>
      </c>
      <c r="Z186" s="640">
        <f t="shared" si="881"/>
        <v>0.22226165413533835</v>
      </c>
      <c r="AA186" s="640">
        <f t="shared" si="881"/>
        <v>0.304881432733691</v>
      </c>
      <c r="AB186" s="994">
        <f t="shared" ref="AB186" si="882">AB135/(AB5*2)</f>
        <v>0.12563990118776272</v>
      </c>
      <c r="AC186" s="640">
        <f>AC135/(AC5*2)</f>
        <v>0.19805633931009375</v>
      </c>
      <c r="AD186" s="640">
        <f>AD135/(AD5*2)</f>
        <v>0.36942386803578375</v>
      </c>
      <c r="AE186" s="640">
        <f t="shared" ref="AE186:BF186" si="883">AE135/(AE5)</f>
        <v>0.30036020218076043</v>
      </c>
      <c r="AF186" s="640">
        <f>AF135/(AF5*2)</f>
        <v>0.25503891385907784</v>
      </c>
      <c r="AG186" s="640">
        <f>AG135/(AG5*2)</f>
        <v>0.29195517403325855</v>
      </c>
      <c r="AH186" s="640">
        <f t="shared" si="883"/>
        <v>0.24625050915882821</v>
      </c>
      <c r="AI186" s="640">
        <f>AI135/(AI5*2)</f>
        <v>0.24674052177025493</v>
      </c>
      <c r="AJ186" s="640">
        <f>AJ135/(AJ5*2)</f>
        <v>0.28053942867836829</v>
      </c>
      <c r="AK186" s="640">
        <f t="shared" si="883"/>
        <v>0.24567366520441405</v>
      </c>
      <c r="AL186" s="640"/>
      <c r="AM186" s="640"/>
      <c r="AN186" s="640">
        <f t="shared" si="883"/>
        <v>0.21855128388903733</v>
      </c>
      <c r="AO186" s="640"/>
      <c r="AP186" s="640"/>
      <c r="AQ186" s="640">
        <f t="shared" si="883"/>
        <v>0.2091109141760705</v>
      </c>
      <c r="AR186" s="640"/>
      <c r="AS186" s="640"/>
      <c r="AT186" s="640">
        <f t="shared" si="883"/>
        <v>0.20834718058973165</v>
      </c>
      <c r="AU186" s="640"/>
      <c r="AV186" s="640"/>
      <c r="AW186" s="640">
        <f t="shared" si="883"/>
        <v>0.20585632667177542</v>
      </c>
      <c r="AX186" s="640"/>
      <c r="AY186" s="640"/>
      <c r="AZ186" s="640">
        <f t="shared" si="883"/>
        <v>0.20338112382495882</v>
      </c>
      <c r="BA186" s="640"/>
      <c r="BB186" s="640"/>
      <c r="BC186" s="640">
        <f t="shared" si="883"/>
        <v>0.202639000239382</v>
      </c>
      <c r="BD186" s="640"/>
      <c r="BE186" s="640"/>
      <c r="BF186" s="640">
        <f t="shared" si="883"/>
        <v>0.2019002741125831</v>
      </c>
      <c r="BG186" s="640"/>
      <c r="BH186" s="640"/>
      <c r="BI186" s="640">
        <f t="shared" ref="BI186" si="884">BI135/(BI5)</f>
        <v>0.20126954341197612</v>
      </c>
      <c r="BJ186" s="357"/>
    </row>
    <row r="187" spans="1:62">
      <c r="A187" s="314" t="s">
        <v>471</v>
      </c>
      <c r="B187" s="504">
        <f>B134/(B5*2)</f>
        <v>0.23349490517973398</v>
      </c>
      <c r="C187" s="416"/>
      <c r="D187" s="422">
        <f>D134/(D5*2)</f>
        <v>8.7839856834611943E-2</v>
      </c>
      <c r="E187" s="422">
        <f>E134/(E5*2)</f>
        <v>0.22221400586388521</v>
      </c>
      <c r="F187" s="422"/>
      <c r="G187" s="422">
        <f>G134/(G5*2)</f>
        <v>8.0033969599048349E-2</v>
      </c>
      <c r="H187" s="422">
        <f>H134/(H5*2)</f>
        <v>0.24669994164011705</v>
      </c>
      <c r="I187" s="422"/>
      <c r="J187" s="422">
        <f>J134/(J5*2)</f>
        <v>0.1017116532691551</v>
      </c>
      <c r="K187" s="422">
        <f>K134/(K5*2)</f>
        <v>0.23313600249260011</v>
      </c>
      <c r="L187" s="422"/>
      <c r="M187" s="422">
        <f>M134/(M5*2)</f>
        <v>8.1967436917428721E-2</v>
      </c>
      <c r="N187" s="422">
        <f>N134/(N5*2)</f>
        <v>0.19034809369892455</v>
      </c>
      <c r="O187" s="640"/>
      <c r="P187" s="422">
        <f>P134/(P5*2)</f>
        <v>5.0239588972929093E-2</v>
      </c>
      <c r="Q187" s="422">
        <f>Q134/(Q5*2)</f>
        <v>0.21362439808845068</v>
      </c>
      <c r="R187" s="640"/>
      <c r="S187" s="422">
        <f t="shared" ref="S187:X187" si="885">S134/(S5*2)</f>
        <v>6.8458121827411164E-2</v>
      </c>
      <c r="T187" s="640">
        <f t="shared" si="885"/>
        <v>0.21893936578614567</v>
      </c>
      <c r="U187" s="640">
        <f t="shared" si="885"/>
        <v>0.23433665874686493</v>
      </c>
      <c r="V187" s="422">
        <f t="shared" si="885"/>
        <v>9.3589074190053245E-2</v>
      </c>
      <c r="W187" s="640">
        <f t="shared" si="885"/>
        <v>0.24828169020303986</v>
      </c>
      <c r="X187" s="640">
        <f t="shared" si="885"/>
        <v>0.22587814848750859</v>
      </c>
      <c r="Y187" s="422">
        <f t="shared" ref="Y187:AA187" si="886">Y134/(Y5*2)</f>
        <v>9.2162839960705706E-2</v>
      </c>
      <c r="Z187" s="640">
        <f t="shared" si="886"/>
        <v>0.24017493734335843</v>
      </c>
      <c r="AA187" s="640">
        <f t="shared" si="886"/>
        <v>0.2162180911092072</v>
      </c>
      <c r="AB187" s="994">
        <f t="shared" ref="AB187" si="887">AB134/(AB5*2)</f>
        <v>8.910224331599817E-2</v>
      </c>
      <c r="AC187" s="640">
        <f>AC134/(AC5*2)</f>
        <v>0.23470647128424502</v>
      </c>
      <c r="AD187" s="640">
        <f>AD134/(AD5*2)</f>
        <v>0.21902972377269073</v>
      </c>
      <c r="AE187" s="640">
        <f t="shared" ref="AE187:BF187" si="888">AE134/(AE5)</f>
        <v>0.17808219178082194</v>
      </c>
      <c r="AF187" s="640">
        <f>AF134/(AF5*2)</f>
        <v>0.16574585635359118</v>
      </c>
      <c r="AG187" s="640">
        <f>AG134/(AG5*2)</f>
        <v>0.17865240381654116</v>
      </c>
      <c r="AH187" s="640">
        <f t="shared" si="888"/>
        <v>0.15068493150684933</v>
      </c>
      <c r="AI187" s="640">
        <f>AI134/(AI5*2)</f>
        <v>0.15193370165745856</v>
      </c>
      <c r="AJ187" s="640">
        <f>AJ134/(AJ5*2)</f>
        <v>0.17206998788493277</v>
      </c>
      <c r="AK187" s="640">
        <f t="shared" si="888"/>
        <v>0.15068493150684931</v>
      </c>
      <c r="AL187" s="640"/>
      <c r="AM187" s="640"/>
      <c r="AN187" s="640">
        <f t="shared" si="888"/>
        <v>0.15068493150684931</v>
      </c>
      <c r="AO187" s="640"/>
      <c r="AP187" s="640"/>
      <c r="AQ187" s="640">
        <f t="shared" si="888"/>
        <v>0.15068493150684933</v>
      </c>
      <c r="AR187" s="640"/>
      <c r="AS187" s="640"/>
      <c r="AT187" s="640">
        <f t="shared" si="888"/>
        <v>0.15068493150684931</v>
      </c>
      <c r="AU187" s="640"/>
      <c r="AV187" s="640"/>
      <c r="AW187" s="640">
        <f t="shared" si="888"/>
        <v>0.15068493150684931</v>
      </c>
      <c r="AX187" s="640"/>
      <c r="AY187" s="640"/>
      <c r="AZ187" s="640">
        <f t="shared" si="888"/>
        <v>0.15068493150684931</v>
      </c>
      <c r="BA187" s="640"/>
      <c r="BB187" s="640"/>
      <c r="BC187" s="640">
        <f t="shared" si="888"/>
        <v>0.15068493150684933</v>
      </c>
      <c r="BD187" s="640"/>
      <c r="BE187" s="640"/>
      <c r="BF187" s="640">
        <f t="shared" si="888"/>
        <v>0.15068493150684931</v>
      </c>
      <c r="BG187" s="640"/>
      <c r="BH187" s="640"/>
      <c r="BI187" s="640">
        <f t="shared" ref="BI187" si="889">BI134/(BI5)</f>
        <v>0.15068493150684933</v>
      </c>
      <c r="BJ187" s="357"/>
    </row>
    <row r="188" spans="1:62">
      <c r="A188" s="314" t="s">
        <v>472</v>
      </c>
      <c r="B188" s="504">
        <f>B158/(B5*2)</f>
        <v>0.15780232804981606</v>
      </c>
      <c r="C188" s="416"/>
      <c r="D188" s="422">
        <f>D158/(D5*2)</f>
        <v>7.8243219372231651E-2</v>
      </c>
      <c r="E188" s="422">
        <f>E158/(E5*2)</f>
        <v>0.12936094029734568</v>
      </c>
      <c r="F188" s="422"/>
      <c r="G188" s="422">
        <f>G158/(G5*2)</f>
        <v>6.4831194393176639E-2</v>
      </c>
      <c r="H188" s="422">
        <f>H158/(H5*2)</f>
        <v>0.13989227265192303</v>
      </c>
      <c r="I188" s="422"/>
      <c r="J188" s="422">
        <f>J158/(J5*2)</f>
        <v>8.0727189470069086E-2</v>
      </c>
      <c r="K188" s="422">
        <f>K158/(K5*2)</f>
        <v>0.15799932612846312</v>
      </c>
      <c r="L188" s="422"/>
      <c r="M188" s="422">
        <f>M158/(M5*2)</f>
        <v>7.7653941636807361E-2</v>
      </c>
      <c r="N188" s="422">
        <f>N158/(N5*2)</f>
        <v>0.16039062785706049</v>
      </c>
      <c r="O188" s="640"/>
      <c r="P188" s="422">
        <f>P158/(P5*2)</f>
        <v>7.4009458944023485E-2</v>
      </c>
      <c r="Q188" s="422">
        <f>Q158/(Q5*2)</f>
        <v>0.19070879601756768</v>
      </c>
      <c r="R188" s="640"/>
      <c r="S188" s="422">
        <f t="shared" ref="S188:X188" si="890">S158/(S5*2)</f>
        <v>0.10302876480541454</v>
      </c>
      <c r="T188" s="640">
        <f t="shared" si="890"/>
        <v>0.1710399922522261</v>
      </c>
      <c r="U188" s="640">
        <f t="shared" si="890"/>
        <v>0.2212825337043165</v>
      </c>
      <c r="V188" s="422">
        <f t="shared" si="890"/>
        <v>8.8375534474899126E-2</v>
      </c>
      <c r="W188" s="640">
        <f t="shared" si="890"/>
        <v>0.1842173824726881</v>
      </c>
      <c r="X188" s="640">
        <f t="shared" si="890"/>
        <v>0.21887154235040082</v>
      </c>
      <c r="Y188" s="422">
        <f t="shared" ref="Y188:AA188" si="891">Y158/(Y5*2)</f>
        <v>8.9304003351649328E-2</v>
      </c>
      <c r="Z188" s="640">
        <f t="shared" si="891"/>
        <v>0.18614837092731831</v>
      </c>
      <c r="AA188" s="640">
        <f t="shared" si="891"/>
        <v>0.22164262042312044</v>
      </c>
      <c r="AB188" s="994">
        <f t="shared" ref="AB188" si="892">AB158/(AB5*2)</f>
        <v>9.1337660936806508E-2</v>
      </c>
      <c r="AC188" s="640">
        <f>AC158/(AC5*2)</f>
        <v>0.17243469554928553</v>
      </c>
      <c r="AD188" s="640">
        <f>AD158/(AD5*2)</f>
        <v>0.23903897343491892</v>
      </c>
      <c r="AE188" s="640">
        <f t="shared" ref="AE188:BF188" si="893">AE158/(AE5)</f>
        <v>0.19435071905813911</v>
      </c>
      <c r="AF188" s="640">
        <f>AF158/(AF5*2)</f>
        <v>0.17960486891484354</v>
      </c>
      <c r="AG188" s="640">
        <f>AG158/(AG5*2)</f>
        <v>0.20853941002375612</v>
      </c>
      <c r="AH188" s="640">
        <f t="shared" si="893"/>
        <v>0.17589322082773443</v>
      </c>
      <c r="AI188" s="640">
        <f>AI158/(AI5*2)</f>
        <v>0.17624322983589641</v>
      </c>
      <c r="AJ188" s="640">
        <f>AJ158/(AJ5*2)</f>
        <v>0.20038530619883449</v>
      </c>
      <c r="AK188" s="640">
        <f t="shared" si="893"/>
        <v>0.17548118943172433</v>
      </c>
      <c r="AL188" s="640"/>
      <c r="AM188" s="640"/>
      <c r="AN188" s="640">
        <f t="shared" si="893"/>
        <v>0.17484102711122984</v>
      </c>
      <c r="AO188" s="640"/>
      <c r="AP188" s="640"/>
      <c r="AQ188" s="640">
        <f t="shared" si="893"/>
        <v>0.17425909514672544</v>
      </c>
      <c r="AR188" s="640"/>
      <c r="AS188" s="640"/>
      <c r="AT188" s="640">
        <f t="shared" si="893"/>
        <v>0.17362265049144304</v>
      </c>
      <c r="AU188" s="640"/>
      <c r="AV188" s="640"/>
      <c r="AW188" s="640">
        <f t="shared" si="893"/>
        <v>0.17298850980821465</v>
      </c>
      <c r="AX188" s="640"/>
      <c r="AY188" s="640"/>
      <c r="AZ188" s="640">
        <f t="shared" si="893"/>
        <v>0.17235688459742274</v>
      </c>
      <c r="BA188" s="640"/>
      <c r="BB188" s="640"/>
      <c r="BC188" s="640">
        <f t="shared" si="893"/>
        <v>0.17172796630456102</v>
      </c>
      <c r="BD188" s="640"/>
      <c r="BE188" s="640"/>
      <c r="BF188" s="640">
        <f t="shared" si="893"/>
        <v>0.17110192721405348</v>
      </c>
      <c r="BG188" s="640"/>
      <c r="BH188" s="640"/>
      <c r="BI188" s="640">
        <f t="shared" ref="BI188" si="894">BI158/(BI5)</f>
        <v>0.17056740967116621</v>
      </c>
      <c r="BJ188" s="357"/>
    </row>
    <row r="189" spans="1:62">
      <c r="A189" s="314" t="s">
        <v>451</v>
      </c>
      <c r="B189" s="428">
        <f t="shared" ref="B189:O189" si="895">B134+B135-B158-B160</f>
        <v>126.43100000000001</v>
      </c>
      <c r="C189" s="428">
        <f t="shared" si="895"/>
        <v>113.35999999999999</v>
      </c>
      <c r="D189" s="428">
        <f t="shared" si="895"/>
        <v>113.35999999999999</v>
      </c>
      <c r="E189" s="428">
        <f t="shared" si="895"/>
        <v>168.07100000000003</v>
      </c>
      <c r="F189" s="428">
        <f t="shared" si="895"/>
        <v>105.759</v>
      </c>
      <c r="G189" s="428">
        <f t="shared" si="895"/>
        <v>105.759</v>
      </c>
      <c r="H189" s="428">
        <f t="shared" si="895"/>
        <v>187.21899999999997</v>
      </c>
      <c r="I189" s="428">
        <f t="shared" si="895"/>
        <v>170.25999999999996</v>
      </c>
      <c r="J189" s="428">
        <f t="shared" si="895"/>
        <v>170.25999999999996</v>
      </c>
      <c r="K189" s="428">
        <f t="shared" si="895"/>
        <v>237.17399999999998</v>
      </c>
      <c r="L189" s="428">
        <f t="shared" si="895"/>
        <v>141.73500000000004</v>
      </c>
      <c r="M189" s="428">
        <f t="shared" si="895"/>
        <v>141.73500000000004</v>
      </c>
      <c r="N189" s="428">
        <f t="shared" si="895"/>
        <v>173.66500000000002</v>
      </c>
      <c r="O189" s="428">
        <f t="shared" si="895"/>
        <v>136.61700000000002</v>
      </c>
      <c r="P189" s="428">
        <f>P134+P135-P158-P160</f>
        <v>136.61700000000002</v>
      </c>
      <c r="Q189" s="428">
        <f>Q134+Q135-Q158-Q160</f>
        <v>299.60299999999995</v>
      </c>
      <c r="R189" s="428"/>
      <c r="S189" s="428">
        <f>S134+S135-S158-S160</f>
        <v>318.33199999999999</v>
      </c>
      <c r="T189" s="428">
        <f>T134+T135-T158-T160</f>
        <v>514.91399999999987</v>
      </c>
      <c r="U189" s="428">
        <f>U134+U135-U158-U160</f>
        <v>425.35099999999994</v>
      </c>
      <c r="V189" s="428">
        <f>V134+V135-V158-V160</f>
        <v>425.35099999999994</v>
      </c>
      <c r="W189" s="428">
        <f>W134+W135-W158-W160</f>
        <v>461.34699999999998</v>
      </c>
      <c r="X189" s="428"/>
      <c r="Y189" s="428">
        <f>Y134+Y135-Y158-Y160</f>
        <v>311.20100000000002</v>
      </c>
      <c r="Z189" s="428">
        <f>Z134+Z135-Z158-Z160</f>
        <v>515.87499999999989</v>
      </c>
      <c r="AA189" s="428"/>
      <c r="AB189" s="847">
        <f>AB134+AB135-AB158-AB160</f>
        <v>386.89800000000002</v>
      </c>
      <c r="AC189" s="428">
        <f>AC134+AC135-AC158-AC160</f>
        <v>532.74699999999996</v>
      </c>
      <c r="AD189" s="428"/>
      <c r="AE189" s="428">
        <f>AE134+AE135-AE158-AE160</f>
        <v>491.20996665368523</v>
      </c>
      <c r="AF189" s="428">
        <f>AF134+AF135-AF158-AF160</f>
        <v>525.97785337499738</v>
      </c>
      <c r="AG189" s="428"/>
      <c r="AH189" s="428">
        <f t="shared" ref="AH189:AT189" si="896">AH134+AH135-AH158-AH160</f>
        <v>411.98609574636976</v>
      </c>
      <c r="AI189" s="428">
        <f>AI134+AI135-AI158-AI160</f>
        <v>518.04900695285551</v>
      </c>
      <c r="AJ189" s="428"/>
      <c r="AK189" s="428">
        <f t="shared" si="896"/>
        <v>455.31072906325363</v>
      </c>
      <c r="AL189" s="428"/>
      <c r="AM189" s="428"/>
      <c r="AN189" s="428">
        <f t="shared" si="896"/>
        <v>437.95388074586089</v>
      </c>
      <c r="AO189" s="428"/>
      <c r="AP189" s="428"/>
      <c r="AQ189" s="428">
        <f t="shared" si="896"/>
        <v>459.49789372594478</v>
      </c>
      <c r="AR189" s="428"/>
      <c r="AS189" s="428"/>
      <c r="AT189" s="428">
        <f t="shared" si="896"/>
        <v>506.96157954867419</v>
      </c>
      <c r="AU189" s="428"/>
      <c r="AV189" s="428"/>
      <c r="AW189" s="428">
        <f t="shared" ref="AW189" si="897">AW134+AW135-AW158-AW160</f>
        <v>553.92557632019884</v>
      </c>
      <c r="AX189" s="428"/>
      <c r="AY189" s="428"/>
      <c r="AZ189" s="428">
        <f t="shared" ref="AZ189:BC189" si="898">AZ134+AZ135-AZ158-AZ160</f>
        <v>605.64926716972809</v>
      </c>
      <c r="BA189" s="428"/>
      <c r="BB189" s="428"/>
      <c r="BC189" s="428">
        <f t="shared" si="898"/>
        <v>669.70481862243946</v>
      </c>
      <c r="BD189" s="428"/>
      <c r="BE189" s="428"/>
      <c r="BF189" s="428">
        <f t="shared" ref="BF189" si="899">BF134+BF135-BF158-BF160</f>
        <v>741.05480450922414</v>
      </c>
      <c r="BG189" s="428"/>
      <c r="BH189" s="428"/>
      <c r="BI189" s="428">
        <f t="shared" ref="BI189" si="900">BI134+BI135-BI158-BI160</f>
        <v>820.65381799889451</v>
      </c>
      <c r="BJ189" s="317"/>
    </row>
    <row r="190" spans="1:62">
      <c r="A190" s="314" t="s">
        <v>452</v>
      </c>
      <c r="B190" s="428"/>
      <c r="C190" s="428"/>
      <c r="D190" s="428"/>
      <c r="E190" s="428">
        <f>B189-E189</f>
        <v>-41.640000000000015</v>
      </c>
      <c r="F190" s="428"/>
      <c r="G190" s="428">
        <f>D189-G189</f>
        <v>7.6009999999999849</v>
      </c>
      <c r="H190" s="428">
        <f>E189-H189</f>
        <v>-19.147999999999939</v>
      </c>
      <c r="I190" s="428"/>
      <c r="J190" s="428">
        <f>G189-J189</f>
        <v>-64.500999999999962</v>
      </c>
      <c r="K190" s="428">
        <f>H189-K189</f>
        <v>-49.955000000000013</v>
      </c>
      <c r="L190" s="428"/>
      <c r="M190" s="428">
        <f>J189-M189</f>
        <v>28.52499999999992</v>
      </c>
      <c r="N190" s="428">
        <f>K189-N189</f>
        <v>63.508999999999958</v>
      </c>
      <c r="O190" s="428"/>
      <c r="P190" s="428">
        <f>M189-P189</f>
        <v>5.1180000000000234</v>
      </c>
      <c r="Q190" s="428">
        <f>P189-Q189</f>
        <v>-162.98599999999993</v>
      </c>
      <c r="R190" s="428"/>
      <c r="S190" s="428">
        <f>P189-S189</f>
        <v>-181.71499999999997</v>
      </c>
      <c r="T190" s="428">
        <f>S189-T189</f>
        <v>-196.58199999999988</v>
      </c>
      <c r="U190" s="428">
        <f>T189-U189</f>
        <v>89.562999999999931</v>
      </c>
      <c r="V190" s="428">
        <f>S189-V189</f>
        <v>-107.01899999999995</v>
      </c>
      <c r="W190" s="428">
        <f>V189-W189</f>
        <v>-35.996000000000038</v>
      </c>
      <c r="X190" s="428"/>
      <c r="Y190" s="428">
        <f>V189-Y189</f>
        <v>114.14999999999992</v>
      </c>
      <c r="Z190" s="428">
        <f>Y189-Z189</f>
        <v>-204.67399999999986</v>
      </c>
      <c r="AA190" s="428"/>
      <c r="AB190" s="847">
        <f>Y189-AB189</f>
        <v>-75.697000000000003</v>
      </c>
      <c r="AC190" s="428">
        <f>AB189-AC189</f>
        <v>-145.84899999999993</v>
      </c>
      <c r="AD190" s="428"/>
      <c r="AE190" s="428">
        <f>AB189-AE189</f>
        <v>-104.3119666536852</v>
      </c>
      <c r="AF190" s="428">
        <f>AE189-AF189</f>
        <v>-34.767886721312152</v>
      </c>
      <c r="AG190" s="428"/>
      <c r="AH190" s="428">
        <f>AE189-AH189</f>
        <v>79.223870907315472</v>
      </c>
      <c r="AI190" s="428">
        <f>AH189-AI189</f>
        <v>-106.06291120648575</v>
      </c>
      <c r="AJ190" s="428"/>
      <c r="AK190" s="428">
        <f>AH189-AK189</f>
        <v>-43.324633316883876</v>
      </c>
      <c r="AL190" s="428"/>
      <c r="AM190" s="428"/>
      <c r="AN190" s="428">
        <f>AK189-AN189</f>
        <v>17.356848317392746</v>
      </c>
      <c r="AO190" s="428"/>
      <c r="AP190" s="428"/>
      <c r="AQ190" s="428">
        <f>AN189-AQ189</f>
        <v>-21.544012980083892</v>
      </c>
      <c r="AR190" s="428"/>
      <c r="AS190" s="428"/>
      <c r="AT190" s="428">
        <f>AQ189-AT189</f>
        <v>-47.463685822729417</v>
      </c>
      <c r="AU190" s="428"/>
      <c r="AV190" s="428"/>
      <c r="AW190" s="428">
        <f>AT189-AW189</f>
        <v>-46.963996771524648</v>
      </c>
      <c r="AX190" s="428"/>
      <c r="AY190" s="428"/>
      <c r="AZ190" s="428">
        <f>AW189-AZ189</f>
        <v>-51.723690849529248</v>
      </c>
      <c r="BA190" s="428"/>
      <c r="BB190" s="428"/>
      <c r="BC190" s="428">
        <f>AZ189-BC189</f>
        <v>-64.05555145271137</v>
      </c>
      <c r="BD190" s="428"/>
      <c r="BE190" s="428"/>
      <c r="BF190" s="428">
        <f>BC189-BF189</f>
        <v>-71.34998588678468</v>
      </c>
      <c r="BG190" s="428"/>
      <c r="BH190" s="428"/>
      <c r="BI190" s="428">
        <f t="shared" ref="BI190" si="901">BF189-BI189</f>
        <v>-79.599013489670369</v>
      </c>
      <c r="BJ190" s="317"/>
    </row>
    <row r="191" spans="1:62">
      <c r="A191" s="314" t="s">
        <v>453</v>
      </c>
      <c r="B191" s="427">
        <f>B189/B5</f>
        <v>0.37276806774223992</v>
      </c>
      <c r="C191" s="427"/>
      <c r="D191" s="427">
        <f>D189/D5</f>
        <v>0.18714516131694983</v>
      </c>
      <c r="E191" s="427">
        <f>E189/E5</f>
        <v>0.43608365117666903</v>
      </c>
      <c r="F191" s="427"/>
      <c r="G191" s="427">
        <f>G189/G5</f>
        <v>0.16212052462795928</v>
      </c>
      <c r="H191" s="427">
        <f>H189/H5</f>
        <v>0.42513925758053994</v>
      </c>
      <c r="I191" s="427"/>
      <c r="J191" s="427">
        <f>J189/J5</f>
        <v>0.22403604367031718</v>
      </c>
      <c r="K191" s="427">
        <f>K189/K5</f>
        <v>0.4296365803555578</v>
      </c>
      <c r="L191" s="427"/>
      <c r="M191" s="427">
        <f>M189/M5</f>
        <v>0.14884315364549427</v>
      </c>
      <c r="N191" s="427">
        <f>N189/N5</f>
        <v>0.24426900041915278</v>
      </c>
      <c r="O191" s="427"/>
      <c r="P191" s="427">
        <f>P189/P5</f>
        <v>0.11503049275928529</v>
      </c>
      <c r="Q191" s="427">
        <f>Q189/Q5</f>
        <v>0.34097755784667305</v>
      </c>
      <c r="R191" s="427"/>
      <c r="S191" s="427">
        <f>S189/S5</f>
        <v>0.22443034404963338</v>
      </c>
      <c r="T191" s="427">
        <f>T189/T5</f>
        <v>0.57986006709482119</v>
      </c>
      <c r="U191" s="427"/>
      <c r="V191" s="427">
        <f>V189/V5</f>
        <v>0.28768039584621186</v>
      </c>
      <c r="W191" s="427">
        <f>W189/W5</f>
        <v>0.50930746540197303</v>
      </c>
      <c r="X191" s="427"/>
      <c r="Y191" s="427">
        <f>Y189/Y5</f>
        <v>0.20340027699473137</v>
      </c>
      <c r="Z191" s="427">
        <f>Z189/Z5</f>
        <v>0.51716791979949872</v>
      </c>
      <c r="AA191" s="427"/>
      <c r="AB191" s="991">
        <f>AB189/AB5</f>
        <v>0.2280497314846415</v>
      </c>
      <c r="AC191" s="427">
        <f>AC189/AC5</f>
        <v>0.48488850459634109</v>
      </c>
      <c r="AD191" s="427"/>
      <c r="AE191" s="427">
        <f t="shared" ref="AE191:BF191" si="902">AE189/AE5</f>
        <v>0.26533243925417599</v>
      </c>
      <c r="AF191" s="427">
        <f>AF189/AF5</f>
        <v>0.44659207710188559</v>
      </c>
      <c r="AG191" s="427"/>
      <c r="AH191" s="427">
        <f t="shared" si="902"/>
        <v>0.20228298418867582</v>
      </c>
      <c r="AI191" s="427">
        <f>AI189/AI5</f>
        <v>0.4090942616898689</v>
      </c>
      <c r="AJ191" s="427"/>
      <c r="AK191" s="427">
        <f t="shared" si="902"/>
        <v>0.20211817163027176</v>
      </c>
      <c r="AL191" s="427"/>
      <c r="AM191" s="427"/>
      <c r="AN191" s="427">
        <f t="shared" si="902"/>
        <v>0.17563595263538953</v>
      </c>
      <c r="AO191" s="427"/>
      <c r="AP191" s="427"/>
      <c r="AQ191" s="427">
        <f t="shared" si="902"/>
        <v>0.1667775148869271</v>
      </c>
      <c r="AR191" s="427"/>
      <c r="AS191" s="427"/>
      <c r="AT191" s="427">
        <f t="shared" si="902"/>
        <v>0.16665022595587062</v>
      </c>
      <c r="AU191" s="427"/>
      <c r="AV191" s="427"/>
      <c r="AW191" s="427">
        <f t="shared" si="902"/>
        <v>0.16479351272114284</v>
      </c>
      <c r="AX191" s="427"/>
      <c r="AY191" s="427"/>
      <c r="AZ191" s="427">
        <f t="shared" si="902"/>
        <v>0.16294993508511818</v>
      </c>
      <c r="BA191" s="427"/>
      <c r="BB191" s="427"/>
      <c r="BC191" s="427">
        <f t="shared" si="902"/>
        <v>0.16283672979240302</v>
      </c>
      <c r="BD191" s="427"/>
      <c r="BE191" s="427"/>
      <c r="BF191" s="427">
        <f t="shared" si="902"/>
        <v>0.16272404275611166</v>
      </c>
      <c r="BG191" s="427"/>
      <c r="BH191" s="427"/>
      <c r="BI191" s="427">
        <f t="shared" ref="BI191" si="903">BI189/BI5</f>
        <v>0.162627829598392</v>
      </c>
      <c r="BJ191" s="353"/>
    </row>
    <row r="192" spans="1:62">
      <c r="A192" s="314" t="s">
        <v>970</v>
      </c>
      <c r="B192" s="427"/>
      <c r="C192" s="427"/>
      <c r="D192" s="427"/>
      <c r="E192" s="427"/>
      <c r="F192" s="427"/>
      <c r="G192" s="427"/>
      <c r="H192" s="427"/>
      <c r="I192" s="427"/>
      <c r="J192" s="427"/>
      <c r="K192" s="427"/>
      <c r="L192" s="427"/>
      <c r="M192" s="427"/>
      <c r="N192" s="427"/>
      <c r="O192" s="427"/>
      <c r="P192" s="427"/>
      <c r="Q192" s="427"/>
      <c r="R192" s="427"/>
      <c r="S192" s="427"/>
      <c r="T192" s="427"/>
      <c r="U192" s="427"/>
      <c r="V192" s="427"/>
      <c r="W192" s="427"/>
      <c r="X192" s="427"/>
      <c r="Y192" s="427"/>
      <c r="Z192" s="427"/>
      <c r="AA192" s="427"/>
      <c r="AB192" s="991"/>
      <c r="AC192" s="427"/>
      <c r="AD192" s="427"/>
      <c r="AE192" s="427"/>
      <c r="AF192" s="427"/>
      <c r="AG192" s="427"/>
      <c r="AH192" s="427"/>
      <c r="AI192" s="427"/>
      <c r="AJ192" s="427"/>
      <c r="AK192" s="427"/>
      <c r="AL192" s="427"/>
      <c r="AM192" s="427"/>
      <c r="AN192" s="427"/>
      <c r="AO192" s="427"/>
      <c r="AP192" s="427"/>
      <c r="AQ192" s="427"/>
      <c r="AR192" s="427"/>
      <c r="AS192" s="427"/>
      <c r="AT192" s="427"/>
      <c r="AU192" s="427"/>
      <c r="AV192" s="427"/>
      <c r="AW192" s="427"/>
      <c r="AX192" s="427"/>
      <c r="AY192" s="427"/>
      <c r="AZ192" s="427"/>
      <c r="BA192" s="427"/>
      <c r="BB192" s="427"/>
      <c r="BC192" s="427"/>
      <c r="BD192" s="427"/>
      <c r="BE192" s="427"/>
      <c r="BF192" s="427"/>
      <c r="BG192" s="427"/>
      <c r="BH192" s="427"/>
      <c r="BI192" s="427"/>
      <c r="BJ192" s="353"/>
    </row>
    <row r="193" spans="1:62">
      <c r="A193" s="314" t="s">
        <v>501</v>
      </c>
      <c r="B193" s="428"/>
      <c r="C193" s="428"/>
      <c r="D193" s="428">
        <f>D134/D5*365</f>
        <v>64.123095489266717</v>
      </c>
      <c r="E193" s="428">
        <f>E134/E5*365</f>
        <v>162.2162242806362</v>
      </c>
      <c r="F193" s="428"/>
      <c r="G193" s="428">
        <f>G134/G5*365</f>
        <v>58.424797807305296</v>
      </c>
      <c r="H193" s="428">
        <f>H134/H5*365</f>
        <v>180.09095739728545</v>
      </c>
      <c r="I193" s="428"/>
      <c r="J193" s="428">
        <f>J134/J5*365</f>
        <v>74.249506886483218</v>
      </c>
      <c r="K193" s="428">
        <f>K134/K5*365</f>
        <v>170.18928181959808</v>
      </c>
      <c r="L193" s="428"/>
      <c r="M193" s="428">
        <f>M134/M5*365</f>
        <v>59.836228949722965</v>
      </c>
      <c r="N193" s="428">
        <f>N134/N5*365</f>
        <v>138.95410840021492</v>
      </c>
      <c r="O193" s="428"/>
      <c r="P193" s="428">
        <f>P134/P5*365</f>
        <v>36.674899950238235</v>
      </c>
      <c r="Q193" s="428">
        <f>Q134/Q5*181</f>
        <v>77.332032108019149</v>
      </c>
      <c r="R193" s="428">
        <f>S134/1418.4*365</f>
        <v>49.974428934010149</v>
      </c>
      <c r="S193" s="428">
        <f>S134/S5*365</f>
        <v>49.974428934010149</v>
      </c>
      <c r="T193" s="428">
        <f>T134/T5*181</f>
        <v>79.256050414584735</v>
      </c>
      <c r="U193" s="535"/>
      <c r="V193" s="428">
        <f>V134/V5*365</f>
        <v>68.320024158738875</v>
      </c>
      <c r="W193" s="428">
        <f>W134/W5*181</f>
        <v>89.877971853500426</v>
      </c>
      <c r="X193" s="535"/>
      <c r="Y193" s="428">
        <f>Y134/Y5*365</f>
        <v>67.278873171315169</v>
      </c>
      <c r="Z193" s="428">
        <f>Z134/Z5*181</f>
        <v>86.943327318295758</v>
      </c>
      <c r="AA193" s="535"/>
      <c r="AB193" s="847">
        <f>AB134/AB5*365</f>
        <v>65.044637620678671</v>
      </c>
      <c r="AC193" s="428">
        <f>AC134/AC5*181</f>
        <v>84.963742604896694</v>
      </c>
      <c r="AD193" s="535"/>
      <c r="AE193" s="535">
        <v>65</v>
      </c>
      <c r="AF193" s="535">
        <f t="shared" ref="AF193" si="904">AVERAGE(AE193,AH193)</f>
        <v>60</v>
      </c>
      <c r="AG193" s="535"/>
      <c r="AH193" s="535">
        <v>55</v>
      </c>
      <c r="AI193" s="535">
        <f t="shared" ref="AI193:AI194" si="905">AVERAGE(AH193,AK193)</f>
        <v>55</v>
      </c>
      <c r="AJ193" s="535"/>
      <c r="AK193" s="535">
        <v>55</v>
      </c>
      <c r="AL193" s="535"/>
      <c r="AM193" s="535"/>
      <c r="AN193" s="535">
        <v>55</v>
      </c>
      <c r="AO193" s="535"/>
      <c r="AP193" s="535"/>
      <c r="AQ193" s="535">
        <v>55</v>
      </c>
      <c r="AR193" s="535"/>
      <c r="AS193" s="535"/>
      <c r="AT193" s="535">
        <v>55</v>
      </c>
      <c r="AU193" s="535"/>
      <c r="AV193" s="535"/>
      <c r="AW193" s="535">
        <v>55</v>
      </c>
      <c r="AX193" s="535"/>
      <c r="AY193" s="535"/>
      <c r="AZ193" s="535">
        <v>55</v>
      </c>
      <c r="BA193" s="535"/>
      <c r="BB193" s="535"/>
      <c r="BC193" s="535">
        <v>55</v>
      </c>
      <c r="BD193" s="535"/>
      <c r="BE193" s="535"/>
      <c r="BF193" s="535">
        <v>55</v>
      </c>
      <c r="BG193" s="535"/>
      <c r="BH193" s="535"/>
      <c r="BI193" s="535">
        <v>55</v>
      </c>
      <c r="BJ193" s="317"/>
    </row>
    <row r="194" spans="1:62">
      <c r="A194" s="314" t="s">
        <v>502</v>
      </c>
      <c r="B194" s="428"/>
      <c r="C194" s="428"/>
      <c r="D194" s="428">
        <f>-D135/D8*365</f>
        <v>104.00782775994544</v>
      </c>
      <c r="E194" s="428">
        <f>-E135/(C8+E8)*365</f>
        <v>98.887998546464246</v>
      </c>
      <c r="F194" s="428"/>
      <c r="G194" s="428">
        <f>-G135/G8*365</f>
        <v>86.598962598312724</v>
      </c>
      <c r="H194" s="428">
        <f>-H135/(F8+H8)*365</f>
        <v>89.949812981298123</v>
      </c>
      <c r="I194" s="428"/>
      <c r="J194" s="428">
        <f>-J135/J8*365</f>
        <v>113.75282087374966</v>
      </c>
      <c r="K194" s="428">
        <f>-K135/K8*365</f>
        <v>175.11674531854695</v>
      </c>
      <c r="L194" s="428"/>
      <c r="M194" s="428">
        <f>-M135/M8*365</f>
        <v>88.830665332666342</v>
      </c>
      <c r="N194" s="428">
        <f>-N135/N8*365</f>
        <v>126.80782700166228</v>
      </c>
      <c r="O194" s="428"/>
      <c r="P194" s="428">
        <f>-P135/P8*365</f>
        <v>102.17760930036654</v>
      </c>
      <c r="Q194" s="428">
        <f>-Q135/Q8*181</f>
        <v>91.743659489164628</v>
      </c>
      <c r="R194" s="428">
        <f>445.9/(1418.4-485.9)*365</f>
        <v>174.53458445040209</v>
      </c>
      <c r="S194" s="428">
        <f>-S135/S8*365</f>
        <v>174.5283217158177</v>
      </c>
      <c r="T194" s="428">
        <f>-T135/T8*181</f>
        <v>146.01116291650703</v>
      </c>
      <c r="U194" s="535"/>
      <c r="V194" s="428">
        <f>-V135/V8*365</f>
        <v>166.8719244352192</v>
      </c>
      <c r="W194" s="428">
        <f>-W135/W8*181</f>
        <v>119.8546038540165</v>
      </c>
      <c r="X194" s="535"/>
      <c r="Y194" s="428">
        <f>-Y135/Y8*365</f>
        <v>124.83194680670674</v>
      </c>
      <c r="Z194" s="428">
        <f>-Z135/Z8*181</f>
        <v>127.14111094213366</v>
      </c>
      <c r="AA194" s="535"/>
      <c r="AB194" s="847">
        <f>-AB135/AB8*365</f>
        <v>144.60230894901281</v>
      </c>
      <c r="AC194" s="428">
        <f>-AC135/AC8*181</f>
        <v>111.06606480430544</v>
      </c>
      <c r="AD194" s="535"/>
      <c r="AE194" s="535">
        <v>170</v>
      </c>
      <c r="AF194" s="535">
        <v>142</v>
      </c>
      <c r="AG194" s="535"/>
      <c r="AH194" s="535">
        <v>140</v>
      </c>
      <c r="AI194" s="535">
        <f t="shared" si="905"/>
        <v>140</v>
      </c>
      <c r="AJ194" s="535"/>
      <c r="AK194" s="535">
        <v>140</v>
      </c>
      <c r="AL194" s="535"/>
      <c r="AM194" s="535"/>
      <c r="AN194" s="535">
        <v>125</v>
      </c>
      <c r="AO194" s="535">
        <v>120</v>
      </c>
      <c r="AP194" s="535">
        <v>120</v>
      </c>
      <c r="AQ194" s="535">
        <v>120</v>
      </c>
      <c r="AR194" s="535">
        <v>120</v>
      </c>
      <c r="AS194" s="535">
        <v>120</v>
      </c>
      <c r="AT194" s="535">
        <f>AQ194</f>
        <v>120</v>
      </c>
      <c r="AU194" s="535">
        <f t="shared" ref="AU194:BH194" si="906">AR194-1</f>
        <v>119</v>
      </c>
      <c r="AV194" s="535">
        <f t="shared" si="906"/>
        <v>119</v>
      </c>
      <c r="AW194" s="535">
        <f t="shared" si="906"/>
        <v>119</v>
      </c>
      <c r="AX194" s="535">
        <f t="shared" si="906"/>
        <v>118</v>
      </c>
      <c r="AY194" s="535">
        <f t="shared" si="906"/>
        <v>118</v>
      </c>
      <c r="AZ194" s="535">
        <f t="shared" si="906"/>
        <v>118</v>
      </c>
      <c r="BA194" s="535">
        <f t="shared" si="906"/>
        <v>117</v>
      </c>
      <c r="BB194" s="535">
        <f t="shared" si="906"/>
        <v>117</v>
      </c>
      <c r="BC194" s="535">
        <f>AZ194</f>
        <v>118</v>
      </c>
      <c r="BD194" s="535">
        <f t="shared" si="906"/>
        <v>116</v>
      </c>
      <c r="BE194" s="535">
        <f t="shared" si="906"/>
        <v>116</v>
      </c>
      <c r="BF194" s="535">
        <f>BC194</f>
        <v>118</v>
      </c>
      <c r="BG194" s="535">
        <f t="shared" si="906"/>
        <v>115</v>
      </c>
      <c r="BH194" s="535">
        <f t="shared" si="906"/>
        <v>115</v>
      </c>
      <c r="BI194" s="535">
        <f>BF194</f>
        <v>118</v>
      </c>
      <c r="BJ194" s="317"/>
    </row>
    <row r="195" spans="1:62">
      <c r="A195" s="314" t="s">
        <v>503</v>
      </c>
      <c r="B195" s="428"/>
      <c r="C195" s="428"/>
      <c r="D195" s="428">
        <f>-D158/D8*365</f>
        <v>84.579862953084771</v>
      </c>
      <c r="E195" s="428">
        <f>-E158/(C8+E8)*365</f>
        <v>84.779360723786269</v>
      </c>
      <c r="F195" s="428"/>
      <c r="G195" s="428">
        <f>-G158/G8*365</f>
        <v>73.492994324998563</v>
      </c>
      <c r="H195" s="428">
        <f>-H158/(F8+H8)*365</f>
        <v>98.9467216721672</v>
      </c>
      <c r="I195" s="428"/>
      <c r="J195" s="428">
        <f>-J158/J8*365</f>
        <v>91.629549458126263</v>
      </c>
      <c r="K195" s="428">
        <f>-K158/K8*365</f>
        <v>174.38896664302089</v>
      </c>
      <c r="L195" s="428"/>
      <c r="M195" s="428">
        <f>-M158/M8*365</f>
        <v>85.454459824849124</v>
      </c>
      <c r="N195" s="428">
        <f>-N158/N8*365</f>
        <v>180.17261306967723</v>
      </c>
      <c r="O195" s="428"/>
      <c r="P195" s="428">
        <f>-P158/P8*365</f>
        <v>82.902178449103417</v>
      </c>
      <c r="Q195" s="428">
        <f>-Q158/Q8*181</f>
        <v>104.82773303839907</v>
      </c>
      <c r="R195" s="428">
        <f>292.272/(1418.4-485.9)*365</f>
        <v>114.40137265415548</v>
      </c>
      <c r="S195" s="428">
        <f>-S158/S8*365</f>
        <v>114.40137265415549</v>
      </c>
      <c r="T195" s="428">
        <f>-T158/T8*181</f>
        <v>95.333259353147312</v>
      </c>
      <c r="U195" s="535"/>
      <c r="V195" s="428">
        <f>-V158/V8*365</f>
        <v>99.195559123638233</v>
      </c>
      <c r="W195" s="428">
        <f>-W158/W8*181</f>
        <v>105.27690395980417</v>
      </c>
      <c r="X195" s="535"/>
      <c r="Y195" s="428">
        <f>-Y158/Y8*365</f>
        <v>102.50518727101758</v>
      </c>
      <c r="Z195" s="428">
        <f>-Z158/Z8*181</f>
        <v>106.48310331280257</v>
      </c>
      <c r="AA195" s="535"/>
      <c r="AB195" s="847">
        <f>-AB158/AB8*365</f>
        <v>105.12294693487621</v>
      </c>
      <c r="AC195" s="428">
        <f>-AC158/AC8*181</f>
        <v>96.697955425714454</v>
      </c>
      <c r="AD195" s="535">
        <v>100</v>
      </c>
      <c r="AE195" s="535">
        <v>110</v>
      </c>
      <c r="AF195" s="535">
        <v>100</v>
      </c>
      <c r="AG195" s="535">
        <v>100</v>
      </c>
      <c r="AH195" s="535">
        <v>100</v>
      </c>
      <c r="AI195" s="535">
        <v>100</v>
      </c>
      <c r="AJ195" s="535">
        <v>100</v>
      </c>
      <c r="AK195" s="535">
        <v>100</v>
      </c>
      <c r="AL195" s="535"/>
      <c r="AM195" s="535"/>
      <c r="AN195" s="535">
        <v>100</v>
      </c>
      <c r="AO195" s="535"/>
      <c r="AP195" s="535"/>
      <c r="AQ195" s="535">
        <v>100</v>
      </c>
      <c r="AR195" s="535"/>
      <c r="AS195" s="535"/>
      <c r="AT195" s="535">
        <v>100</v>
      </c>
      <c r="AU195" s="535"/>
      <c r="AV195" s="535"/>
      <c r="AW195" s="535">
        <v>100</v>
      </c>
      <c r="AX195" s="535"/>
      <c r="AY195" s="535"/>
      <c r="AZ195" s="535">
        <v>100</v>
      </c>
      <c r="BA195" s="535"/>
      <c r="BB195" s="535"/>
      <c r="BC195" s="535">
        <v>100</v>
      </c>
      <c r="BD195" s="535"/>
      <c r="BE195" s="535"/>
      <c r="BF195" s="535">
        <v>100</v>
      </c>
      <c r="BG195" s="535"/>
      <c r="BH195" s="535"/>
      <c r="BI195" s="535">
        <v>100</v>
      </c>
      <c r="BJ195" s="317"/>
    </row>
    <row r="196" spans="1:62" s="315" customFormat="1">
      <c r="A196" s="315" t="s">
        <v>1803</v>
      </c>
      <c r="B196" s="641"/>
      <c r="C196" s="641"/>
      <c r="D196" s="641">
        <f>D193+D194-D195</f>
        <v>83.551060296127403</v>
      </c>
      <c r="E196" s="641">
        <f t="shared" ref="E196:AT196" si="907">E193+E194-E195</f>
        <v>176.32486210331416</v>
      </c>
      <c r="F196" s="641">
        <f t="shared" si="907"/>
        <v>0</v>
      </c>
      <c r="G196" s="641">
        <f t="shared" si="907"/>
        <v>71.530766080619458</v>
      </c>
      <c r="H196" s="641">
        <f t="shared" si="907"/>
        <v>171.0940487064164</v>
      </c>
      <c r="I196" s="641">
        <f t="shared" si="907"/>
        <v>0</v>
      </c>
      <c r="J196" s="641">
        <f t="shared" si="907"/>
        <v>96.37277830210661</v>
      </c>
      <c r="K196" s="641">
        <f t="shared" si="907"/>
        <v>170.91706049512416</v>
      </c>
      <c r="L196" s="641">
        <f t="shared" si="907"/>
        <v>0</v>
      </c>
      <c r="M196" s="641">
        <f t="shared" si="907"/>
        <v>63.212434457540184</v>
      </c>
      <c r="N196" s="641">
        <f t="shared" si="907"/>
        <v>85.589322332199941</v>
      </c>
      <c r="O196" s="641">
        <f t="shared" si="907"/>
        <v>0</v>
      </c>
      <c r="P196" s="641">
        <f t="shared" si="907"/>
        <v>55.950330801501366</v>
      </c>
      <c r="Q196" s="641">
        <f t="shared" si="907"/>
        <v>64.247958558784703</v>
      </c>
      <c r="R196" s="641">
        <f t="shared" si="907"/>
        <v>110.10764073025676</v>
      </c>
      <c r="S196" s="641">
        <f t="shared" si="907"/>
        <v>110.10137799567235</v>
      </c>
      <c r="T196" s="641">
        <f t="shared" si="907"/>
        <v>129.93395397794444</v>
      </c>
      <c r="U196" s="641">
        <f t="shared" si="907"/>
        <v>0</v>
      </c>
      <c r="V196" s="641">
        <f t="shared" ref="V196:W196" si="908">V193+V194-V195</f>
        <v>135.99638947031985</v>
      </c>
      <c r="W196" s="641">
        <f t="shared" si="908"/>
        <v>104.45567174771276</v>
      </c>
      <c r="X196" s="641">
        <f t="shared" ref="X196:Z196" si="909">X193+X194-X195</f>
        <v>0</v>
      </c>
      <c r="Y196" s="641">
        <f t="shared" si="909"/>
        <v>89.605632707004332</v>
      </c>
      <c r="Z196" s="641">
        <f t="shared" si="909"/>
        <v>107.60133494762684</v>
      </c>
      <c r="AA196" s="641">
        <f t="shared" ref="AA196:AC196" si="910">AA193+AA194-AA195</f>
        <v>0</v>
      </c>
      <c r="AB196" s="992">
        <f t="shared" si="910"/>
        <v>104.52399963481525</v>
      </c>
      <c r="AC196" s="641">
        <f t="shared" si="910"/>
        <v>99.331851983487681</v>
      </c>
      <c r="AD196" s="641">
        <f t="shared" ref="AD196" si="911">AD193+AD194-AD195</f>
        <v>-100</v>
      </c>
      <c r="AE196" s="641">
        <f t="shared" si="907"/>
        <v>125</v>
      </c>
      <c r="AF196" s="641">
        <f t="shared" si="907"/>
        <v>102</v>
      </c>
      <c r="AG196" s="641">
        <f t="shared" si="907"/>
        <v>-100</v>
      </c>
      <c r="AH196" s="641">
        <f t="shared" si="907"/>
        <v>95</v>
      </c>
      <c r="AI196" s="641">
        <f t="shared" ref="AI196:AJ196" si="912">AI193+AI194-AI195</f>
        <v>95</v>
      </c>
      <c r="AJ196" s="641">
        <f t="shared" si="912"/>
        <v>-100</v>
      </c>
      <c r="AK196" s="641">
        <f t="shared" si="907"/>
        <v>95</v>
      </c>
      <c r="AL196" s="641"/>
      <c r="AM196" s="641"/>
      <c r="AN196" s="641">
        <f t="shared" si="907"/>
        <v>80</v>
      </c>
      <c r="AO196" s="641"/>
      <c r="AP196" s="641"/>
      <c r="AQ196" s="641">
        <f t="shared" si="907"/>
        <v>75</v>
      </c>
      <c r="AR196" s="641"/>
      <c r="AS196" s="641"/>
      <c r="AT196" s="641">
        <f t="shared" si="907"/>
        <v>75</v>
      </c>
      <c r="AU196" s="641"/>
      <c r="AV196" s="641"/>
      <c r="AW196" s="641">
        <f t="shared" ref="AW196" si="913">AW193+AW194-AW195</f>
        <v>74</v>
      </c>
      <c r="AX196" s="641"/>
      <c r="AY196" s="641"/>
      <c r="AZ196" s="641">
        <f t="shared" ref="AZ196:BC196" si="914">AZ193+AZ194-AZ195</f>
        <v>73</v>
      </c>
      <c r="BA196" s="641"/>
      <c r="BB196" s="641"/>
      <c r="BC196" s="641">
        <f t="shared" si="914"/>
        <v>73</v>
      </c>
      <c r="BD196" s="641"/>
      <c r="BE196" s="641"/>
      <c r="BF196" s="641">
        <f t="shared" ref="BF196" si="915">BF193+BF194-BF195</f>
        <v>73</v>
      </c>
      <c r="BG196" s="641"/>
      <c r="BH196" s="641"/>
      <c r="BI196" s="641">
        <f t="shared" ref="BI196" si="916">BI193+BI194-BI195</f>
        <v>73</v>
      </c>
      <c r="BJ196" s="642"/>
    </row>
    <row r="197" spans="1:62" s="315" customFormat="1">
      <c r="B197" s="641"/>
      <c r="C197" s="641"/>
      <c r="D197" s="641"/>
      <c r="E197" s="641"/>
      <c r="F197" s="641"/>
      <c r="G197" s="641"/>
      <c r="H197" s="641"/>
      <c r="I197" s="641"/>
      <c r="J197" s="641"/>
      <c r="K197" s="641"/>
      <c r="L197" s="641"/>
      <c r="M197" s="641"/>
      <c r="N197" s="641"/>
      <c r="O197" s="641"/>
      <c r="P197" s="641"/>
      <c r="Q197" s="641"/>
      <c r="R197" s="641"/>
      <c r="S197" s="641"/>
      <c r="T197" s="641"/>
      <c r="U197" s="641"/>
      <c r="V197" s="641"/>
      <c r="W197" s="641"/>
      <c r="X197" s="641"/>
      <c r="Y197" s="641"/>
      <c r="Z197" s="641"/>
      <c r="AA197" s="641"/>
      <c r="AB197" s="992"/>
      <c r="AC197" s="641"/>
      <c r="AD197" s="641"/>
      <c r="AE197" s="641"/>
      <c r="AF197" s="641"/>
      <c r="AG197" s="641"/>
      <c r="AH197" s="641"/>
      <c r="AI197" s="641"/>
      <c r="AJ197" s="641"/>
      <c r="AK197" s="641"/>
      <c r="AL197" s="641"/>
      <c r="AM197" s="641"/>
      <c r="AN197" s="641"/>
      <c r="AO197" s="641"/>
      <c r="AP197" s="641"/>
      <c r="AQ197" s="641"/>
      <c r="AR197" s="641"/>
      <c r="AS197" s="641"/>
      <c r="AT197" s="641"/>
      <c r="AU197" s="641"/>
      <c r="AV197" s="641"/>
      <c r="AW197" s="641"/>
      <c r="AX197" s="641"/>
      <c r="AY197" s="641"/>
      <c r="AZ197" s="641"/>
      <c r="BA197" s="641"/>
      <c r="BB197" s="641"/>
      <c r="BC197" s="641"/>
      <c r="BD197" s="641"/>
      <c r="BE197" s="641"/>
      <c r="BF197" s="641"/>
      <c r="BG197" s="641"/>
      <c r="BH197" s="641"/>
      <c r="BI197" s="641"/>
      <c r="BJ197" s="642"/>
    </row>
    <row r="198" spans="1:62">
      <c r="A198" s="315" t="s">
        <v>484</v>
      </c>
      <c r="B198" s="428"/>
      <c r="C198" s="428"/>
      <c r="D198" s="428"/>
      <c r="E198" s="428"/>
      <c r="F198" s="428"/>
      <c r="G198" s="428"/>
      <c r="H198" s="428"/>
      <c r="I198" s="428"/>
      <c r="J198" s="428"/>
      <c r="K198" s="428"/>
      <c r="L198" s="428"/>
      <c r="M198" s="428"/>
      <c r="N198" s="428"/>
      <c r="O198" s="428"/>
      <c r="P198" s="428"/>
      <c r="Q198" s="428"/>
      <c r="R198" s="428"/>
      <c r="S198" s="428"/>
      <c r="T198" s="428"/>
      <c r="U198" s="428"/>
      <c r="V198" s="428"/>
      <c r="W198" s="428"/>
      <c r="X198" s="428"/>
      <c r="Y198" s="428"/>
      <c r="Z198" s="428"/>
      <c r="AA198" s="428"/>
      <c r="AB198" s="847"/>
      <c r="AC198" s="428"/>
      <c r="AD198" s="428"/>
      <c r="AE198" s="428"/>
      <c r="AF198" s="428"/>
      <c r="AG198" s="428"/>
      <c r="AH198" s="428"/>
      <c r="AI198" s="428"/>
      <c r="AJ198" s="428"/>
      <c r="AK198" s="428"/>
      <c r="AL198" s="428"/>
      <c r="AM198" s="428"/>
      <c r="AN198" s="428"/>
      <c r="AO198" s="428"/>
      <c r="AP198" s="428"/>
      <c r="AQ198" s="428"/>
      <c r="AR198" s="428"/>
      <c r="AS198" s="428"/>
      <c r="AT198" s="428"/>
      <c r="AU198" s="428"/>
      <c r="AV198" s="428"/>
      <c r="AW198" s="428"/>
      <c r="AX198" s="428"/>
      <c r="AY198" s="428"/>
      <c r="AZ198" s="428"/>
      <c r="BA198" s="428"/>
      <c r="BB198" s="428"/>
      <c r="BC198" s="428"/>
      <c r="BD198" s="428"/>
      <c r="BE198" s="428"/>
      <c r="BF198" s="428"/>
      <c r="BG198" s="428"/>
      <c r="BH198" s="428"/>
      <c r="BI198" s="428"/>
      <c r="BJ198" s="317"/>
    </row>
    <row r="199" spans="1:62">
      <c r="A199" s="314" t="s">
        <v>454</v>
      </c>
      <c r="B199" s="428">
        <f>B178+B165+B166+B157+B156-B133</f>
        <v>231.76600000000002</v>
      </c>
      <c r="C199" s="428"/>
      <c r="D199" s="428">
        <f>D178+D165+D166+D157+D156-D133</f>
        <v>218.32599999999999</v>
      </c>
      <c r="E199" s="428">
        <f>E178+E165+E166+E157+E156-E133</f>
        <v>275.51700000000005</v>
      </c>
      <c r="F199" s="428"/>
      <c r="G199" s="428">
        <f>G178+G165+G166+G157+G156-G133</f>
        <v>225.24300000000002</v>
      </c>
      <c r="H199" s="428">
        <f>H178+H165+H166+H157+H156-H133</f>
        <v>309.185</v>
      </c>
      <c r="I199" s="428"/>
      <c r="J199" s="428">
        <f>J178+J165+J166+J157+J156-J133</f>
        <v>300.48900000000003</v>
      </c>
      <c r="K199" s="428">
        <f>K178+K165+K166+K157+K156-K133</f>
        <v>414.00200000000001</v>
      </c>
      <c r="L199" s="428"/>
      <c r="M199" s="428">
        <f>M178+M165+M166+M157+M156-M133</f>
        <v>322.28899999999999</v>
      </c>
      <c r="N199" s="428">
        <f>N178+N165+N166+N157+N156-N133</f>
        <v>419.22700000000003</v>
      </c>
      <c r="O199" s="428"/>
      <c r="P199" s="428">
        <f>P178+P165+P166+P157+P156-P133</f>
        <v>415.29399999999998</v>
      </c>
      <c r="Q199" s="428">
        <f>Q178+Q165+Q166+Q157+Q156-Q133</f>
        <v>588.25599999999986</v>
      </c>
      <c r="R199" s="428"/>
      <c r="S199" s="428">
        <f>S178+S165+S166+S157+S156-S133</f>
        <v>668.32500000000016</v>
      </c>
      <c r="T199" s="428">
        <f t="shared" ref="T199" si="917">T178+T165+T166+T157+T156-T133</f>
        <v>1028.521</v>
      </c>
      <c r="U199" s="428"/>
      <c r="V199" s="428">
        <f>V178+V165+V166+V157+V156-V133</f>
        <v>965.99799999999982</v>
      </c>
      <c r="W199" s="428">
        <f t="shared" ref="W199" si="918">W178+W165+W166+W157+W156-W133</f>
        <v>1000.303</v>
      </c>
      <c r="X199" s="428"/>
      <c r="Y199" s="428">
        <f>Y178+Y165+Y166+Y157+Y156-Y133</f>
        <v>866.42499999999995</v>
      </c>
      <c r="Z199" s="428">
        <f t="shared" ref="Z199" si="919">Z178+Z165+Z166+Z157+Z156-Z133</f>
        <v>1099.8639999999998</v>
      </c>
      <c r="AA199" s="428"/>
      <c r="AB199" s="847">
        <f>AB178+AB165+AB166+AB157+AB156-AB133</f>
        <v>986.43299999999999</v>
      </c>
      <c r="AC199" s="428">
        <f t="shared" ref="AC199:AT199" si="920">AC178+AC165+AC166+AC157+AC156-AC133</f>
        <v>1164.4719999999998</v>
      </c>
      <c r="AD199" s="428"/>
      <c r="AE199" s="428">
        <f t="shared" si="920"/>
        <v>1123.78370452678</v>
      </c>
      <c r="AF199" s="428" t="e">
        <f t="shared" ref="AF199" si="921">AF178+AF165+AF166+AF157+AF156-AF133</f>
        <v>#REF!</v>
      </c>
      <c r="AG199" s="428"/>
      <c r="AH199" s="428">
        <f t="shared" si="920"/>
        <v>1076.7794774287072</v>
      </c>
      <c r="AI199" s="428" t="e">
        <f t="shared" si="920"/>
        <v>#REF!</v>
      </c>
      <c r="AJ199" s="428"/>
      <c r="AK199" s="428">
        <f t="shared" si="920"/>
        <v>1156.191560768056</v>
      </c>
      <c r="AL199" s="428"/>
      <c r="AM199" s="428"/>
      <c r="AN199" s="428">
        <f t="shared" si="920"/>
        <v>1179.2789895839621</v>
      </c>
      <c r="AO199" s="428"/>
      <c r="AP199" s="428"/>
      <c r="AQ199" s="428">
        <f t="shared" si="920"/>
        <v>1246.061748281903</v>
      </c>
      <c r="AR199" s="428"/>
      <c r="AS199" s="428"/>
      <c r="AT199" s="428">
        <f t="shared" si="920"/>
        <v>1344.0836382704474</v>
      </c>
      <c r="AU199" s="428"/>
      <c r="AV199" s="428"/>
      <c r="AW199" s="428">
        <f t="shared" ref="AW199" si="922">AW178+AW165+AW166+AW157+AW156-AW133</f>
        <v>1445.9034642483305</v>
      </c>
      <c r="AX199" s="428"/>
      <c r="AY199" s="428"/>
      <c r="AZ199" s="428">
        <f t="shared" ref="AZ199:BC199" si="923">AZ178+AZ165+AZ166+AZ157+AZ156-AZ133</f>
        <v>1557.1687791687887</v>
      </c>
      <c r="BA199" s="428"/>
      <c r="BB199" s="428"/>
      <c r="BC199" s="428">
        <f t="shared" si="923"/>
        <v>1685.8752321279512</v>
      </c>
      <c r="BD199" s="428"/>
      <c r="BE199" s="428"/>
      <c r="BF199" s="428">
        <f t="shared" ref="BF199" si="924">BF178+BF165+BF166+BF157+BF156-BF133</f>
        <v>1827.447314625306</v>
      </c>
      <c r="BG199" s="428"/>
      <c r="BH199" s="428"/>
      <c r="BI199" s="428">
        <f t="shared" ref="BI199" si="925">BI178+BI165+BI166+BI157+BI156-BI133</f>
        <v>1983.3433442520338</v>
      </c>
      <c r="BJ199" s="317"/>
    </row>
    <row r="200" spans="1:62">
      <c r="A200" s="314" t="s">
        <v>455</v>
      </c>
      <c r="B200" s="428"/>
      <c r="C200" s="428"/>
      <c r="D200" s="428"/>
      <c r="E200" s="428">
        <f>(E199+B199)*0.5</f>
        <v>253.64150000000004</v>
      </c>
      <c r="F200" s="428"/>
      <c r="G200" s="428">
        <f>(G199+D199)*0.5</f>
        <v>221.78450000000001</v>
      </c>
      <c r="H200" s="428">
        <f>(H199+E199)*0.5</f>
        <v>292.351</v>
      </c>
      <c r="I200" s="428"/>
      <c r="J200" s="428">
        <f>(J199+G199)*0.5</f>
        <v>262.86600000000004</v>
      </c>
      <c r="K200" s="428">
        <f>(K199+H199)*0.5</f>
        <v>361.59350000000001</v>
      </c>
      <c r="L200" s="428"/>
      <c r="M200" s="428">
        <f>(M199+J199)*0.5</f>
        <v>311.38900000000001</v>
      </c>
      <c r="N200" s="428">
        <f>(N199+K199)*0.5</f>
        <v>416.61450000000002</v>
      </c>
      <c r="O200" s="428"/>
      <c r="P200" s="428">
        <f>(P199+M199)*0.5</f>
        <v>368.79149999999998</v>
      </c>
      <c r="Q200" s="428">
        <f>(Q199+N199)*0.5</f>
        <v>503.74149999999997</v>
      </c>
      <c r="R200" s="428"/>
      <c r="S200" s="428">
        <f>(S199+P199)*0.5</f>
        <v>541.80950000000007</v>
      </c>
      <c r="T200" s="428">
        <f>(T199+Q199)*0.5</f>
        <v>808.38849999999991</v>
      </c>
      <c r="U200" s="428"/>
      <c r="V200" s="428">
        <f>(V199+S199)*0.5</f>
        <v>817.16149999999993</v>
      </c>
      <c r="W200" s="428">
        <f>(W199+T199)*0.5</f>
        <v>1014.412</v>
      </c>
      <c r="X200" s="428"/>
      <c r="Y200" s="428">
        <f>(Y199+V199)*0.5</f>
        <v>916.21149999999989</v>
      </c>
      <c r="Z200" s="428">
        <f>(Z199+W199)*0.5</f>
        <v>1050.0835</v>
      </c>
      <c r="AA200" s="428"/>
      <c r="AB200" s="847">
        <f>(AB199+Y199)*0.5</f>
        <v>926.42899999999997</v>
      </c>
      <c r="AC200" s="428">
        <f>(AC199+Z199)*0.5</f>
        <v>1132.1679999999997</v>
      </c>
      <c r="AD200" s="428"/>
      <c r="AE200" s="428">
        <f>(AE199+AB199)*0.5</f>
        <v>1055.1083522633899</v>
      </c>
      <c r="AF200" s="428" t="e">
        <f>(AF199+AC199)*0.5</f>
        <v>#REF!</v>
      </c>
      <c r="AG200" s="428"/>
      <c r="AH200" s="428">
        <f>(AH199+AE199)*0.5</f>
        <v>1100.2815909777437</v>
      </c>
      <c r="AI200" s="428" t="e">
        <f>(AI199+AF199)*0.5</f>
        <v>#REF!</v>
      </c>
      <c r="AJ200" s="428"/>
      <c r="AK200" s="428">
        <f>(AK199+AH199)*0.5</f>
        <v>1116.4855190983817</v>
      </c>
      <c r="AL200" s="428"/>
      <c r="AM200" s="428"/>
      <c r="AN200" s="428">
        <f>(AN199+AK199)*0.5</f>
        <v>1167.7352751760091</v>
      </c>
      <c r="AO200" s="428"/>
      <c r="AP200" s="428"/>
      <c r="AQ200" s="428">
        <f>(AQ199+AN199)*0.5</f>
        <v>1212.6703689329324</v>
      </c>
      <c r="AR200" s="428"/>
      <c r="AS200" s="428"/>
      <c r="AT200" s="428">
        <f>(AT199+AQ199)*0.5</f>
        <v>1295.0726932761752</v>
      </c>
      <c r="AU200" s="428"/>
      <c r="AV200" s="428"/>
      <c r="AW200" s="428">
        <f>(AW199+AT199)*0.5</f>
        <v>1394.9935512593888</v>
      </c>
      <c r="AX200" s="428"/>
      <c r="AY200" s="428"/>
      <c r="AZ200" s="428">
        <f>(AZ199+AW199)*0.5</f>
        <v>1501.5361217085597</v>
      </c>
      <c r="BA200" s="428"/>
      <c r="BB200" s="428"/>
      <c r="BC200" s="428">
        <f>(BC199+AZ199)*0.5</f>
        <v>1621.5220056483699</v>
      </c>
      <c r="BD200" s="428"/>
      <c r="BE200" s="428"/>
      <c r="BF200" s="428">
        <f>(BF199+BC199)*0.5</f>
        <v>1756.6612733766287</v>
      </c>
      <c r="BG200" s="428"/>
      <c r="BH200" s="428"/>
      <c r="BI200" s="428">
        <f t="shared" ref="BI200" si="926">(BI199+BF199)*0.5</f>
        <v>1905.3953294386699</v>
      </c>
      <c r="BJ200" s="317"/>
    </row>
    <row r="201" spans="1:62">
      <c r="A201" s="314" t="s">
        <v>456</v>
      </c>
      <c r="B201" s="428">
        <f t="shared" ref="B201:Q201" si="927">B44</f>
        <v>49.142000000000003</v>
      </c>
      <c r="C201" s="428">
        <f t="shared" si="927"/>
        <v>29.877999999999993</v>
      </c>
      <c r="D201" s="428">
        <f t="shared" si="927"/>
        <v>79.02</v>
      </c>
      <c r="E201" s="428">
        <f t="shared" si="927"/>
        <v>55.198999999999998</v>
      </c>
      <c r="F201" s="428">
        <f t="shared" si="927"/>
        <v>31.710000000000008</v>
      </c>
      <c r="G201" s="428">
        <f t="shared" si="927"/>
        <v>86.909000000000006</v>
      </c>
      <c r="H201" s="428">
        <f t="shared" si="927"/>
        <v>62.337999999999994</v>
      </c>
      <c r="I201" s="428">
        <f t="shared" si="927"/>
        <v>35.007000000000005</v>
      </c>
      <c r="J201" s="428">
        <f t="shared" si="927"/>
        <v>97.344999999999999</v>
      </c>
      <c r="K201" s="428">
        <f t="shared" si="927"/>
        <v>72.988</v>
      </c>
      <c r="L201" s="428">
        <f t="shared" si="927"/>
        <v>36.911999999999999</v>
      </c>
      <c r="M201" s="428">
        <f t="shared" si="927"/>
        <v>109.9</v>
      </c>
      <c r="N201" s="428">
        <f t="shared" si="927"/>
        <v>94.605999999999995</v>
      </c>
      <c r="O201" s="428">
        <f t="shared" si="927"/>
        <v>41.823999999999998</v>
      </c>
      <c r="P201" s="428">
        <f t="shared" si="927"/>
        <v>136.43</v>
      </c>
      <c r="Q201" s="428">
        <f t="shared" si="927"/>
        <v>112.511</v>
      </c>
      <c r="R201" s="428"/>
      <c r="S201" s="428">
        <f>S44</f>
        <v>156.4</v>
      </c>
      <c r="T201" s="428">
        <f>T44</f>
        <v>121.108</v>
      </c>
      <c r="U201" s="428"/>
      <c r="V201" s="428">
        <f>V44</f>
        <v>172.02099999999999</v>
      </c>
      <c r="W201" s="428">
        <f>W44</f>
        <v>131.011</v>
      </c>
      <c r="X201" s="428"/>
      <c r="Y201" s="428">
        <f>Y44</f>
        <v>185.71299999999999</v>
      </c>
      <c r="Z201" s="428">
        <f>Z44</f>
        <v>144.78399999999985</v>
      </c>
      <c r="AA201" s="428"/>
      <c r="AB201" s="847">
        <f>AB44</f>
        <v>204.566</v>
      </c>
      <c r="AC201" s="428">
        <f>AC44</f>
        <v>145.82499999999999</v>
      </c>
      <c r="AD201" s="428"/>
      <c r="AE201" s="428">
        <f t="shared" ref="AE201:BF201" si="928">AE44</f>
        <v>206.47282945821638</v>
      </c>
      <c r="AF201" s="428">
        <f>AF44</f>
        <v>155.99692967201278</v>
      </c>
      <c r="AG201" s="428"/>
      <c r="AH201" s="428">
        <f t="shared" si="928"/>
        <v>238.71811209470206</v>
      </c>
      <c r="AI201" s="428">
        <f>AI44</f>
        <v>183.73302995006867</v>
      </c>
      <c r="AJ201" s="428"/>
      <c r="AK201" s="428">
        <f t="shared" si="928"/>
        <v>270.80384318793188</v>
      </c>
      <c r="AL201" s="428"/>
      <c r="AM201" s="428"/>
      <c r="AN201" s="428">
        <f t="shared" si="928"/>
        <v>310.81835333034451</v>
      </c>
      <c r="AO201" s="428"/>
      <c r="AP201" s="428"/>
      <c r="AQ201" s="428">
        <f t="shared" si="928"/>
        <v>354.79200103757944</v>
      </c>
      <c r="AR201" s="428"/>
      <c r="AS201" s="428"/>
      <c r="AT201" s="428">
        <f t="shared" si="928"/>
        <v>404.89004776743514</v>
      </c>
      <c r="AU201" s="428"/>
      <c r="AV201" s="428"/>
      <c r="AW201" s="428">
        <f t="shared" si="928"/>
        <v>456.84363293794786</v>
      </c>
      <c r="AX201" s="428"/>
      <c r="AY201" s="428"/>
      <c r="AZ201" s="428">
        <f t="shared" si="928"/>
        <v>515.58056946429065</v>
      </c>
      <c r="BA201" s="428"/>
      <c r="BB201" s="428"/>
      <c r="BC201" s="428">
        <f t="shared" si="928"/>
        <v>582.00386235350811</v>
      </c>
      <c r="BD201" s="428"/>
      <c r="BE201" s="428"/>
      <c r="BF201" s="428">
        <f t="shared" si="928"/>
        <v>657.13946302647389</v>
      </c>
      <c r="BG201" s="428"/>
      <c r="BH201" s="428"/>
      <c r="BI201" s="428">
        <f t="shared" ref="BI201" si="929">BI44</f>
        <v>740.52360059733451</v>
      </c>
      <c r="BJ201" s="317"/>
    </row>
    <row r="202" spans="1:62">
      <c r="A202" s="315" t="s">
        <v>457</v>
      </c>
      <c r="B202" s="429"/>
      <c r="C202" s="429"/>
      <c r="D202" s="429"/>
      <c r="E202" s="429">
        <f>E201/E200</f>
        <v>0.21762605882712407</v>
      </c>
      <c r="F202" s="429"/>
      <c r="G202" s="429">
        <f>G201/G200</f>
        <v>0.3918623709050903</v>
      </c>
      <c r="H202" s="429">
        <f>H201/H200</f>
        <v>0.21322998724136397</v>
      </c>
      <c r="I202" s="429"/>
      <c r="J202" s="429">
        <f t="shared" ref="J202:P202" si="930">J201/J200</f>
        <v>0.3703217608971871</v>
      </c>
      <c r="K202" s="429">
        <f>K201/K200</f>
        <v>0.20185097353796458</v>
      </c>
      <c r="L202" s="429"/>
      <c r="M202" s="429">
        <f t="shared" si="930"/>
        <v>0.35293475363612714</v>
      </c>
      <c r="N202" s="429">
        <f>N201/N200</f>
        <v>0.22708283077041244</v>
      </c>
      <c r="O202" s="429"/>
      <c r="P202" s="429">
        <f t="shared" si="930"/>
        <v>0.36993802731353626</v>
      </c>
      <c r="Q202" s="429">
        <f>Q201/Q200</f>
        <v>0.22335066695914471</v>
      </c>
      <c r="R202" s="429"/>
      <c r="S202" s="429">
        <f t="shared" ref="S202:T202" si="931">S201/S200</f>
        <v>0.28866234349896042</v>
      </c>
      <c r="T202" s="429">
        <f t="shared" si="931"/>
        <v>0.14981410547032772</v>
      </c>
      <c r="U202" s="429"/>
      <c r="V202" s="429">
        <f t="shared" ref="V202:W202" si="932">V201/V200</f>
        <v>0.21051040706151722</v>
      </c>
      <c r="W202" s="429">
        <f t="shared" si="932"/>
        <v>0.12914969460140455</v>
      </c>
      <c r="X202" s="429"/>
      <c r="Y202" s="429">
        <f t="shared" ref="Y202:Z202" si="933">Y201/Y200</f>
        <v>0.2026966480992653</v>
      </c>
      <c r="Z202" s="429">
        <f t="shared" si="933"/>
        <v>0.13787855918124592</v>
      </c>
      <c r="AA202" s="429"/>
      <c r="AB202" s="993">
        <f t="shared" ref="AB202" si="934">AB201/AB200</f>
        <v>0.22081130879970295</v>
      </c>
      <c r="AC202" s="429">
        <f t="shared" ref="AC202:AT202" si="935">AC201/AC200</f>
        <v>0.12880155595282683</v>
      </c>
      <c r="AD202" s="429"/>
      <c r="AE202" s="429">
        <f t="shared" si="935"/>
        <v>0.19568874515616946</v>
      </c>
      <c r="AF202" s="429" t="e">
        <f t="shared" ref="AF202" si="936">AF201/AF200</f>
        <v>#REF!</v>
      </c>
      <c r="AG202" s="429"/>
      <c r="AH202" s="429">
        <f t="shared" si="935"/>
        <v>0.2169609253232801</v>
      </c>
      <c r="AI202" s="429" t="e">
        <f t="shared" si="935"/>
        <v>#REF!</v>
      </c>
      <c r="AJ202" s="429"/>
      <c r="AK202" s="429">
        <f t="shared" si="935"/>
        <v>0.24255025126221039</v>
      </c>
      <c r="AL202" s="429"/>
      <c r="AM202" s="429"/>
      <c r="AN202" s="429">
        <f t="shared" si="935"/>
        <v>0.26617193120546595</v>
      </c>
      <c r="AO202" s="429"/>
      <c r="AP202" s="429"/>
      <c r="AQ202" s="429">
        <f t="shared" si="935"/>
        <v>0.29257085035381242</v>
      </c>
      <c r="AR202" s="429"/>
      <c r="AS202" s="429"/>
      <c r="AT202" s="429">
        <f t="shared" si="935"/>
        <v>0.31263885793404805</v>
      </c>
      <c r="AU202" s="429"/>
      <c r="AV202" s="429"/>
      <c r="AW202" s="429">
        <f t="shared" ref="AW202" si="937">AW201/AW200</f>
        <v>0.3274879891204609</v>
      </c>
      <c r="AX202" s="429"/>
      <c r="AY202" s="429"/>
      <c r="AZ202" s="429">
        <f t="shared" ref="AZ202:BC202" si="938">AZ201/AZ200</f>
        <v>0.3433687421902476</v>
      </c>
      <c r="BA202" s="429"/>
      <c r="BB202" s="429"/>
      <c r="BC202" s="429">
        <f t="shared" si="938"/>
        <v>0.35892443045864941</v>
      </c>
      <c r="BD202" s="429"/>
      <c r="BE202" s="429"/>
      <c r="BF202" s="429">
        <f t="shared" ref="BF202" si="939">BF201/BF200</f>
        <v>0.37408433429134008</v>
      </c>
      <c r="BG202" s="429"/>
      <c r="BH202" s="429"/>
      <c r="BI202" s="429">
        <f t="shared" ref="BI202" si="940">BI201/BI200</f>
        <v>0.38864564699835441</v>
      </c>
      <c r="BJ202" s="358"/>
    </row>
    <row r="203" spans="1:62">
      <c r="A203" s="315" t="s">
        <v>397</v>
      </c>
      <c r="B203" s="429"/>
      <c r="C203" s="429"/>
      <c r="D203" s="429">
        <f>D57/((D178+246.005)*0.5)</f>
        <v>0.21294505294552765</v>
      </c>
      <c r="E203" s="429">
        <f>E57/((E178+B178)*0.5)</f>
        <v>0.14043957509222627</v>
      </c>
      <c r="F203" s="429"/>
      <c r="G203" s="429">
        <f>G57/((G178+D178)*0.5)</f>
        <v>0.22138957048433802</v>
      </c>
      <c r="H203" s="429">
        <f>H57/((H178+E178)*0.5)</f>
        <v>0.14874821191441795</v>
      </c>
      <c r="I203" s="429"/>
      <c r="J203" s="429">
        <f>J57/((J178+G178)*0.5)</f>
        <v>0.22704988459659345</v>
      </c>
      <c r="K203" s="429">
        <f>K57/((K178+H178)*0.5)</f>
        <v>0.15430043057117471</v>
      </c>
      <c r="L203" s="429"/>
      <c r="M203" s="429">
        <f>M57/((M178+J178)*0.5)</f>
        <v>0.19735725871582049</v>
      </c>
      <c r="N203" s="429">
        <f>N57/((N178+K178)*0.5)</f>
        <v>0.15585242116590531</v>
      </c>
      <c r="O203" s="429"/>
      <c r="P203" s="429">
        <f>P57/((P178+M178)*0.5)</f>
        <v>0.19502511027618624</v>
      </c>
      <c r="Q203" s="429">
        <f>Q57/((Q178+N178)*0.5)</f>
        <v>0.14478585684283499</v>
      </c>
      <c r="R203" s="429"/>
      <c r="S203" s="429">
        <f>S57/((S178+P178)*0.5)</f>
        <v>0.18869803069313826</v>
      </c>
      <c r="T203" s="429">
        <f>T57/((T178+Q178)*0.5)</f>
        <v>0.11911410783201853</v>
      </c>
      <c r="U203" s="429"/>
      <c r="V203" s="429">
        <f>V57/((V178+S178)*0.5)</f>
        <v>0.15925137058947628</v>
      </c>
      <c r="W203" s="429">
        <f>W57/((W178+T178)*0.5)</f>
        <v>0.10741725276890131</v>
      </c>
      <c r="X203" s="429"/>
      <c r="Y203" s="429">
        <f>Y57/((Y178+V178)*0.5)</f>
        <v>0.1464972837793819</v>
      </c>
      <c r="Z203" s="429">
        <f>Z57/((Z178+W178)*0.5)</f>
        <v>0.10841468391421281</v>
      </c>
      <c r="AA203" s="429"/>
      <c r="AB203" s="993">
        <f>AB57/((AB178+Y178)*0.5)</f>
        <v>0.14913253743434821</v>
      </c>
      <c r="AC203" s="429">
        <f>AC57/((AC178+Z178)*0.5)</f>
        <v>9.7208064053206131E-2</v>
      </c>
      <c r="AD203" s="429"/>
      <c r="AE203" s="429">
        <f>AE57/((AE178+V178)*0.5)</f>
        <v>0.14876052489736472</v>
      </c>
      <c r="AF203" s="429">
        <f>AF57/((AF178+AC178)*0.5)</f>
        <v>9.6209624475839792E-2</v>
      </c>
      <c r="AG203" s="429"/>
      <c r="AH203" s="429">
        <f>AH57/((AH178+Y178)*0.5)</f>
        <v>0.16031664485262262</v>
      </c>
      <c r="AI203" s="429">
        <f>AI57/((AI178+AF178)*0.5)</f>
        <v>0.10924828115745513</v>
      </c>
      <c r="AJ203" s="429"/>
      <c r="AK203" s="429">
        <f>AK57/((AK178+AB178)*0.5)</f>
        <v>0.16592440878013612</v>
      </c>
      <c r="AL203" s="429"/>
      <c r="AM203" s="429"/>
      <c r="AN203" s="429">
        <f>AN57/((AN178+AE178)*0.5)</f>
        <v>0.17504522172368536</v>
      </c>
      <c r="AO203" s="429"/>
      <c r="AP203" s="429"/>
      <c r="AQ203" s="429">
        <f>AQ57/((AQ178+AH178)*0.5)</f>
        <v>0.18292962336258958</v>
      </c>
      <c r="AR203" s="429"/>
      <c r="AS203" s="429"/>
      <c r="AT203" s="429">
        <f>AT57/((AT178+AK178)*0.5)</f>
        <v>0.18964843994376024</v>
      </c>
      <c r="AU203" s="429"/>
      <c r="AV203" s="429"/>
      <c r="AW203" s="429">
        <f>AW57/((AW178+AN178)*0.5)</f>
        <v>0.19416607018711546</v>
      </c>
      <c r="AX203" s="429"/>
      <c r="AY203" s="429"/>
      <c r="AZ203" s="429">
        <f>AZ57/((AZ178+AQ178)*0.5)</f>
        <v>0.19783148136719128</v>
      </c>
      <c r="BA203" s="429"/>
      <c r="BB203" s="429"/>
      <c r="BC203" s="429">
        <f>BC57/((BC178+AT178)*0.5)</f>
        <v>0.20086690757792289</v>
      </c>
      <c r="BD203" s="429"/>
      <c r="BE203" s="429"/>
      <c r="BF203" s="429">
        <f>BF57/((BF178+AW178)*0.5)</f>
        <v>0.20369914680612694</v>
      </c>
      <c r="BG203" s="429"/>
      <c r="BH203" s="429"/>
      <c r="BI203" s="429">
        <f t="shared" ref="BI203" si="941">BI57/((BI178+AZ178)*0.5)</f>
        <v>0.20578924368474574</v>
      </c>
      <c r="BJ203" s="358"/>
    </row>
    <row r="204" spans="1:62">
      <c r="A204" s="314" t="s">
        <v>642</v>
      </c>
      <c r="B204" s="427"/>
      <c r="C204" s="427"/>
      <c r="D204" s="427">
        <f>D201/AVERAGE(D153,369.967)</f>
        <v>0.20068928209517375</v>
      </c>
      <c r="E204" s="427">
        <f>(C201+E201)/AVERAGE(E153,B153)</f>
        <v>0.18128122273254643</v>
      </c>
      <c r="F204" s="427"/>
      <c r="G204" s="427">
        <f>G201/AVERAGE(G153,D153)</f>
        <v>0.20144216728398784</v>
      </c>
      <c r="H204" s="427">
        <f>H201/AVERAGE(H153,E153)</f>
        <v>0.11982005272328347</v>
      </c>
      <c r="I204" s="427"/>
      <c r="J204" s="427">
        <f>J201/AVERAGE(J153,G153)</f>
        <v>0.20383911483003112</v>
      </c>
      <c r="K204" s="427">
        <f>K201/AVERAGE(K153,H153)</f>
        <v>0.11357180590966134</v>
      </c>
      <c r="L204" s="427"/>
      <c r="M204" s="427">
        <f>M201/AVERAGE(M153,J153)</f>
        <v>0.19047932675350607</v>
      </c>
      <c r="N204" s="427">
        <f>N201/AVERAGE(N153,K153)</f>
        <v>0.12026815810064637</v>
      </c>
      <c r="O204" s="427"/>
      <c r="P204" s="427">
        <f>P201/AVERAGE(P153,M153)</f>
        <v>0.19286063652633156</v>
      </c>
      <c r="Q204" s="427">
        <f>Q201/AVERAGE(Q153,N153)</f>
        <v>0.11297379716006622</v>
      </c>
      <c r="R204" s="427"/>
      <c r="S204" s="427">
        <f t="shared" ref="S204:AB204" si="942">S201/AVERAGE(S153,P153)</f>
        <v>0.16042736866291379</v>
      </c>
      <c r="T204" s="427">
        <f t="shared" si="942"/>
        <v>9.0018593446469786E-2</v>
      </c>
      <c r="U204" s="427"/>
      <c r="V204" s="427">
        <f t="shared" si="942"/>
        <v>0.13470691510271715</v>
      </c>
      <c r="W204" s="427">
        <f t="shared" si="942"/>
        <v>8.5024679423840663E-2</v>
      </c>
      <c r="X204" s="427"/>
      <c r="Y204" s="427">
        <f t="shared" si="942"/>
        <v>0.1367586636292708</v>
      </c>
      <c r="Z204" s="427">
        <f t="shared" si="942"/>
        <v>8.9763504685050483E-2</v>
      </c>
      <c r="AA204" s="427"/>
      <c r="AB204" s="991">
        <f t="shared" si="942"/>
        <v>0.14496506370735715</v>
      </c>
      <c r="AC204" s="427">
        <f t="shared" ref="AC204" si="943">AC201/AVERAGE(AC153,Z153)</f>
        <v>8.4237761623742413E-2</v>
      </c>
      <c r="AD204" s="427"/>
      <c r="AE204" s="427">
        <f>AE201/AVERAGE(AE153,V153)</f>
        <v>0.13419062261763579</v>
      </c>
      <c r="AF204" s="427" t="e">
        <f t="shared" ref="AF204" si="944">AF201/AVERAGE(AF153,AC153)</f>
        <v>#REF!</v>
      </c>
      <c r="AG204" s="427"/>
      <c r="AH204" s="427">
        <f>AH201/AVERAGE(AH153,Y153)</f>
        <v>0.15452147938029739</v>
      </c>
      <c r="AI204" s="427" t="e">
        <f t="shared" ref="AI204" si="945">AI201/AVERAGE(AI153,AF153)</f>
        <v>#REF!</v>
      </c>
      <c r="AJ204" s="427"/>
      <c r="AK204" s="427">
        <f>AK201/AVERAGE(AK153,AB153)</f>
        <v>0.15969361736404897</v>
      </c>
      <c r="AL204" s="427"/>
      <c r="AM204" s="427"/>
      <c r="AN204" s="427">
        <f>AN201/AVERAGE(AN153,AE153)</f>
        <v>0.16373318909637019</v>
      </c>
      <c r="AO204" s="427"/>
      <c r="AP204" s="427"/>
      <c r="AQ204" s="427">
        <f>AQ201/AVERAGE(AQ153,AH153)</f>
        <v>0.17517119677011969</v>
      </c>
      <c r="AR204" s="427"/>
      <c r="AS204" s="427"/>
      <c r="AT204" s="427">
        <f>AT201/AVERAGE(AT153,AK153)</f>
        <v>0.18202010706242414</v>
      </c>
      <c r="AU204" s="427"/>
      <c r="AV204" s="427"/>
      <c r="AW204" s="427">
        <f>AW201/AVERAGE(AW153,AN153)</f>
        <v>0.1865257314621683</v>
      </c>
      <c r="AX204" s="427"/>
      <c r="AY204" s="427"/>
      <c r="AZ204" s="427">
        <f>AZ201/AVERAGE(AZ153,AQ153)</f>
        <v>0.1907180037037392</v>
      </c>
      <c r="BA204" s="427"/>
      <c r="BB204" s="427"/>
      <c r="BC204" s="427">
        <f>BC201/AVERAGE(BC153,AT153)</f>
        <v>0.19460158505011915</v>
      </c>
      <c r="BD204" s="427"/>
      <c r="BE204" s="427"/>
      <c r="BF204" s="427">
        <f>BF201/AVERAGE(BF153,AW153)</f>
        <v>0.19828836335158848</v>
      </c>
      <c r="BG204" s="427"/>
      <c r="BH204" s="427"/>
      <c r="BI204" s="427">
        <f t="shared" ref="BI204" si="946">BI201/AVERAGE(BI153,AZ153)</f>
        <v>0.20128005741131363</v>
      </c>
      <c r="BJ204" s="353"/>
    </row>
    <row r="205" spans="1:62">
      <c r="A205" s="316" t="s">
        <v>1045</v>
      </c>
      <c r="B205" s="395"/>
      <c r="C205" s="395"/>
      <c r="D205" s="395"/>
      <c r="E205" s="395"/>
      <c r="F205" s="395"/>
      <c r="G205" s="395"/>
      <c r="H205" s="395"/>
      <c r="I205" s="395"/>
      <c r="J205" s="395"/>
      <c r="K205" s="395"/>
      <c r="L205" s="395"/>
      <c r="M205" s="395"/>
      <c r="N205" s="395"/>
      <c r="O205" s="395"/>
      <c r="P205" s="395"/>
      <c r="Q205" s="395"/>
      <c r="R205" s="395"/>
      <c r="S205" s="395"/>
      <c r="T205" s="395"/>
      <c r="U205" s="395"/>
      <c r="V205" s="395"/>
      <c r="W205" s="395"/>
      <c r="X205" s="395"/>
      <c r="Y205" s="395"/>
      <c r="Z205" s="395"/>
      <c r="AA205" s="395"/>
      <c r="AB205" s="824"/>
      <c r="AC205" s="395"/>
      <c r="AD205" s="395"/>
      <c r="AE205" s="395"/>
      <c r="AF205" s="395"/>
      <c r="AG205" s="395"/>
      <c r="AH205" s="395"/>
      <c r="AI205" s="395"/>
      <c r="AJ205" s="395"/>
      <c r="AK205" s="395"/>
      <c r="AL205" s="395"/>
      <c r="AM205" s="395"/>
      <c r="AN205" s="395"/>
      <c r="AO205" s="395"/>
      <c r="AP205" s="395"/>
      <c r="AQ205" s="395"/>
      <c r="AR205" s="395"/>
      <c r="AS205" s="395"/>
      <c r="AT205" s="395"/>
      <c r="AU205" s="395"/>
      <c r="AV205" s="395"/>
      <c r="AW205" s="395"/>
      <c r="AX205" s="395"/>
      <c r="AY205" s="395"/>
      <c r="AZ205" s="395"/>
      <c r="BA205" s="395"/>
      <c r="BB205" s="395"/>
      <c r="BC205" s="395"/>
      <c r="BD205" s="395"/>
      <c r="BE205" s="395"/>
      <c r="BF205" s="395"/>
      <c r="BG205" s="395"/>
      <c r="BH205" s="395"/>
      <c r="BI205" s="395"/>
      <c r="BJ205" s="350"/>
    </row>
    <row r="206" spans="1:62">
      <c r="A206" s="315" t="s">
        <v>458</v>
      </c>
      <c r="G206" s="426"/>
    </row>
    <row r="207" spans="1:62" s="312" customFormat="1">
      <c r="A207" s="312" t="s">
        <v>459</v>
      </c>
      <c r="B207" s="409">
        <f>B57</f>
        <v>33.726000000000006</v>
      </c>
      <c r="C207" s="409">
        <f>D207-B207</f>
        <v>20.107999999999997</v>
      </c>
      <c r="D207" s="409">
        <f>D57</f>
        <v>53.834000000000003</v>
      </c>
      <c r="E207" s="409">
        <f>E57</f>
        <v>37.916999999999994</v>
      </c>
      <c r="F207" s="409">
        <f>G207-E207</f>
        <v>22.173000000000009</v>
      </c>
      <c r="G207" s="409">
        <f>G57</f>
        <v>60.09</v>
      </c>
      <c r="H207" s="409">
        <f>H57</f>
        <v>43.517999999999986</v>
      </c>
      <c r="I207" s="409">
        <f>J207-H207</f>
        <v>23.867000000000004</v>
      </c>
      <c r="J207" s="409">
        <f>J57</f>
        <v>67.384999999999991</v>
      </c>
      <c r="K207" s="409">
        <f>K57</f>
        <v>49.668999999999997</v>
      </c>
      <c r="L207" s="409">
        <f>M207-K207</f>
        <v>23.031000000000006</v>
      </c>
      <c r="M207" s="409">
        <f>M57</f>
        <v>72.7</v>
      </c>
      <c r="N207" s="409">
        <f>N57</f>
        <v>64.16</v>
      </c>
      <c r="O207" s="409">
        <f>P207-N207</f>
        <v>26.808000000000007</v>
      </c>
      <c r="P207" s="409">
        <f>P57</f>
        <v>90.968000000000004</v>
      </c>
      <c r="Q207" s="409">
        <f>Q57</f>
        <v>77.695999999999998</v>
      </c>
      <c r="R207" s="409">
        <f>S207-Q207</f>
        <v>28.060000000000031</v>
      </c>
      <c r="S207" s="409">
        <f>S57</f>
        <v>105.75600000000003</v>
      </c>
      <c r="T207" s="409">
        <f>T57</f>
        <v>78.719000000000008</v>
      </c>
      <c r="U207" s="409"/>
      <c r="V207" s="409">
        <f>V57</f>
        <v>110.20799999999998</v>
      </c>
      <c r="W207" s="409">
        <f>W57</f>
        <v>83.97</v>
      </c>
      <c r="X207" s="409"/>
      <c r="Y207" s="409">
        <f>Y57</f>
        <v>118.50699999999998</v>
      </c>
      <c r="Z207" s="409">
        <f>Z57</f>
        <v>97.496999999999844</v>
      </c>
      <c r="AA207" s="409"/>
      <c r="AB207" s="831">
        <f>AB57</f>
        <v>135.85399999999998</v>
      </c>
      <c r="AC207" s="409">
        <f>AC57</f>
        <v>98.22</v>
      </c>
      <c r="AD207" s="409"/>
      <c r="AE207" s="409">
        <f t="shared" ref="AE207:BF207" si="947">AE57</f>
        <v>135.77151049055198</v>
      </c>
      <c r="AF207" s="409">
        <f>AF57</f>
        <v>104.71310768018573</v>
      </c>
      <c r="AG207" s="409"/>
      <c r="AH207" s="409">
        <f t="shared" si="947"/>
        <v>160.46941360512491</v>
      </c>
      <c r="AI207" s="409">
        <f>AI57</f>
        <v>129.80140788777027</v>
      </c>
      <c r="AJ207" s="409"/>
      <c r="AK207" s="409">
        <f t="shared" si="947"/>
        <v>185.88734507876558</v>
      </c>
      <c r="AL207" s="409"/>
      <c r="AM207" s="409"/>
      <c r="AN207" s="409">
        <f t="shared" si="947"/>
        <v>214.69630967562151</v>
      </c>
      <c r="AO207" s="409"/>
      <c r="AP207" s="409"/>
      <c r="AQ207" s="409">
        <f t="shared" si="947"/>
        <v>247.01617622770925</v>
      </c>
      <c r="AR207" s="409"/>
      <c r="AS207" s="409"/>
      <c r="AT207" s="409">
        <f t="shared" si="947"/>
        <v>283.20744357553497</v>
      </c>
      <c r="AU207" s="409"/>
      <c r="AV207" s="409"/>
      <c r="AW207" s="409">
        <f t="shared" si="947"/>
        <v>321.55780541188682</v>
      </c>
      <c r="AX207" s="409"/>
      <c r="AY207" s="409"/>
      <c r="AZ207" s="409">
        <f t="shared" si="947"/>
        <v>364.38726080512527</v>
      </c>
      <c r="BA207" s="409"/>
      <c r="BB207" s="409"/>
      <c r="BC207" s="409">
        <f t="shared" si="947"/>
        <v>412.56382615420142</v>
      </c>
      <c r="BD207" s="409"/>
      <c r="BE207" s="409"/>
      <c r="BF207" s="409">
        <f t="shared" si="947"/>
        <v>467.18822850369349</v>
      </c>
      <c r="BG207" s="409"/>
      <c r="BH207" s="409"/>
      <c r="BI207" s="409">
        <f t="shared" ref="BI207" si="948">BI57</f>
        <v>527.90721645275971</v>
      </c>
      <c r="BJ207" s="323"/>
    </row>
    <row r="208" spans="1:62" s="312" customFormat="1">
      <c r="A208" s="312" t="s">
        <v>712</v>
      </c>
      <c r="B208" s="422">
        <f>B207/30.833-1</f>
        <v>9.3828041384231398E-2</v>
      </c>
      <c r="C208" s="422"/>
      <c r="D208" s="510">
        <f>D207/50.172-1</f>
        <v>7.2988918121661639E-2</v>
      </c>
      <c r="E208" s="422">
        <f t="shared" ref="E208:R208" si="949">E207/B207-1</f>
        <v>0.1242661448140896</v>
      </c>
      <c r="F208" s="422">
        <f t="shared" si="949"/>
        <v>0.10269544459916502</v>
      </c>
      <c r="G208" s="422">
        <f t="shared" si="949"/>
        <v>0.11620908719396672</v>
      </c>
      <c r="H208" s="422">
        <f t="shared" si="949"/>
        <v>0.14771738270432766</v>
      </c>
      <c r="I208" s="422">
        <f t="shared" si="949"/>
        <v>7.6399224281783917E-2</v>
      </c>
      <c r="J208" s="422">
        <f t="shared" si="949"/>
        <v>0.12140123148610393</v>
      </c>
      <c r="K208" s="422">
        <f t="shared" si="949"/>
        <v>0.14134381175605526</v>
      </c>
      <c r="L208" s="422">
        <f t="shared" si="949"/>
        <v>-3.5027443750785481E-2</v>
      </c>
      <c r="M208" s="422">
        <f t="shared" si="949"/>
        <v>7.8875120575796043E-2</v>
      </c>
      <c r="N208" s="422">
        <f t="shared" si="949"/>
        <v>0.29175139422980134</v>
      </c>
      <c r="O208" s="422">
        <f t="shared" si="949"/>
        <v>0.16399635274195656</v>
      </c>
      <c r="P208" s="422">
        <f t="shared" si="949"/>
        <v>0.25127922971114169</v>
      </c>
      <c r="Q208" s="422">
        <f t="shared" si="949"/>
        <v>0.21097256857855373</v>
      </c>
      <c r="R208" s="422">
        <f t="shared" si="949"/>
        <v>4.6702476872576115E-2</v>
      </c>
      <c r="S208" s="422">
        <f>S207/P207-1</f>
        <v>0.16256265939671111</v>
      </c>
      <c r="T208" s="422">
        <f>T207/Q207-1</f>
        <v>1.316670098846795E-2</v>
      </c>
      <c r="U208" s="422"/>
      <c r="V208" s="422">
        <f>V207/S207-1</f>
        <v>4.2096902303415007E-2</v>
      </c>
      <c r="W208" s="422">
        <f>W207/T207-1</f>
        <v>6.6705623801115221E-2</v>
      </c>
      <c r="X208" s="422"/>
      <c r="Y208" s="422">
        <f>Y207/V207-1</f>
        <v>7.5303063298490125E-2</v>
      </c>
      <c r="Z208" s="422">
        <f>Z207/W207-1</f>
        <v>0.16109324758842258</v>
      </c>
      <c r="AA208" s="422"/>
      <c r="AB208" s="994">
        <f>AB207/Y207-1</f>
        <v>0.14637953876142351</v>
      </c>
      <c r="AC208" s="422">
        <f>AC207/Z207-1</f>
        <v>7.4156127880873335E-3</v>
      </c>
      <c r="AD208" s="422"/>
      <c r="AE208" s="422">
        <f>AE207/AB207-1</f>
        <v>-6.0719234949291323E-4</v>
      </c>
      <c r="AF208" s="422">
        <f>AF207/AC207-1</f>
        <v>6.6107795562876603E-2</v>
      </c>
      <c r="AG208" s="422"/>
      <c r="AH208" s="422">
        <f>AH207/AE207-1</f>
        <v>0.18190784668549154</v>
      </c>
      <c r="AI208" s="422">
        <f>AI207/AF207-1</f>
        <v>0.23959082834413725</v>
      </c>
      <c r="AJ208" s="422"/>
      <c r="AK208" s="422">
        <f>AK207/AH207-1</f>
        <v>0.15839735998654447</v>
      </c>
      <c r="AL208" s="422"/>
      <c r="AM208" s="422"/>
      <c r="AN208" s="422">
        <f>AN207/AK207-1</f>
        <v>0.15498077389102938</v>
      </c>
      <c r="AO208" s="422"/>
      <c r="AP208" s="422"/>
      <c r="AQ208" s="422">
        <f>AQ207/AN207-1</f>
        <v>0.15053759704076386</v>
      </c>
      <c r="AR208" s="422"/>
      <c r="AS208" s="422"/>
      <c r="AT208" s="422">
        <f>AT207/AQ207-1</f>
        <v>0.14651375428329505</v>
      </c>
      <c r="AU208" s="422"/>
      <c r="AV208" s="422"/>
      <c r="AW208" s="422">
        <f>AW207/AT207-1</f>
        <v>0.13541438513117088</v>
      </c>
      <c r="AX208" s="422"/>
      <c r="AY208" s="422"/>
      <c r="AZ208" s="422">
        <f>AZ207/AW207-1</f>
        <v>0.13319364255014032</v>
      </c>
      <c r="BA208" s="422"/>
      <c r="BB208" s="422"/>
      <c r="BC208" s="422">
        <f>BC207/AZ207-1</f>
        <v>0.13221254014925909</v>
      </c>
      <c r="BD208" s="422"/>
      <c r="BE208" s="422"/>
      <c r="BF208" s="422">
        <f>BF207/BC207-1</f>
        <v>0.13240230695619792</v>
      </c>
      <c r="BG208" s="422"/>
      <c r="BH208" s="422"/>
      <c r="BI208" s="422">
        <f t="shared" ref="BI208" si="950">BI207/BF207-1</f>
        <v>0.12996686184396489</v>
      </c>
      <c r="BJ208" s="385"/>
    </row>
    <row r="209" spans="1:62" s="312" customFormat="1">
      <c r="A209" s="344" t="s">
        <v>460</v>
      </c>
      <c r="B209" s="406">
        <f>(B207+B90)*100/B218</f>
        <v>25.924068199777395</v>
      </c>
      <c r="C209" s="406">
        <f>D209-B209</f>
        <v>15.456461413197744</v>
      </c>
      <c r="D209" s="406">
        <f>(D207+D90)*100/D218</f>
        <v>41.380529612975138</v>
      </c>
      <c r="E209" s="406">
        <f>(E207+E90)*100/E218</f>
        <v>29.145552212861269</v>
      </c>
      <c r="F209" s="406">
        <f>G209-E209</f>
        <v>17.043770974040612</v>
      </c>
      <c r="G209" s="406">
        <f>(G207+G90)*100/G218</f>
        <v>46.189323186901881</v>
      </c>
      <c r="H209" s="406">
        <f>(H207+H90)*100/H218</f>
        <v>33.450856903217456</v>
      </c>
      <c r="I209" s="406">
        <f>J209-H209</f>
        <v>18.345907000083969</v>
      </c>
      <c r="J209" s="406">
        <f>(J207+J90)*100/J218</f>
        <v>51.796763903301425</v>
      </c>
      <c r="K209" s="406">
        <f>(K207+K90)*100/K218</f>
        <v>38.099999999999994</v>
      </c>
      <c r="L209" s="406">
        <f>M209-K209</f>
        <v>17.358082233579985</v>
      </c>
      <c r="M209" s="406">
        <f>(M207+M90)*100/M218</f>
        <v>55.458082233579979</v>
      </c>
      <c r="N209" s="406">
        <f>(N207+N90)*100/N218</f>
        <v>46.600000000000009</v>
      </c>
      <c r="O209" s="406">
        <f>P209-N209</f>
        <v>19.157306327210691</v>
      </c>
      <c r="P209" s="406">
        <f>(P207+P90)*100/P218</f>
        <v>65.757306327210699</v>
      </c>
      <c r="Q209" s="406">
        <f>(Q207+Q90)*100/Q218</f>
        <v>55.836078221504771</v>
      </c>
      <c r="R209" s="406">
        <f>S209-Q209</f>
        <v>20.086789956593357</v>
      </c>
      <c r="S209" s="406">
        <f>(S207+S90)*100/S218</f>
        <v>75.922868178098128</v>
      </c>
      <c r="T209" s="406" t="e">
        <f>(T207+T90)*100/T218</f>
        <v>#REF!</v>
      </c>
      <c r="U209" s="406" t="e">
        <f>V209-T209</f>
        <v>#REF!</v>
      </c>
      <c r="V209" s="406">
        <f>(V207+V90)*100/V218</f>
        <v>77.232718506475294</v>
      </c>
      <c r="W209" s="406">
        <f>(W207+W90)*100/W218</f>
        <v>58.810195574191354</v>
      </c>
      <c r="X209" s="406">
        <f>Y209-W209</f>
        <v>23.883145388344133</v>
      </c>
      <c r="Y209" s="406">
        <f>(Y207+Y90)*100/Y218</f>
        <v>82.693340962535487</v>
      </c>
      <c r="Z209" s="406">
        <f>(Z207+Z90)*100/Z218</f>
        <v>67.735497152822603</v>
      </c>
      <c r="AA209" s="406">
        <f>AB209-Z209</f>
        <v>26.712500622483276</v>
      </c>
      <c r="AB209" s="829">
        <f>(AB207+AB90)*100/AB218</f>
        <v>94.447997775305879</v>
      </c>
      <c r="AC209" s="406">
        <f>(AC207+AC90)*100/AC218</f>
        <v>68.235589186489022</v>
      </c>
      <c r="AD209" s="406">
        <f>AE209-AC209</f>
        <v>25.192069702313745</v>
      </c>
      <c r="AE209" s="406">
        <f t="shared" ref="AE209:BF209" si="951">(AE207+AE90)*100/AE218</f>
        <v>93.427658888802767</v>
      </c>
      <c r="AF209" s="406">
        <f>(AF207+AF90)*100/AF218</f>
        <v>72.746493566541858</v>
      </c>
      <c r="AG209" s="406">
        <f>AH209-AF209</f>
        <v>37.676389571589652</v>
      </c>
      <c r="AH209" s="406">
        <f t="shared" si="951"/>
        <v>110.42288313813151</v>
      </c>
      <c r="AI209" s="406">
        <f>(AI207+AI90)*100/AI218</f>
        <v>90.175886219281082</v>
      </c>
      <c r="AJ209" s="406">
        <f>AK209-AI209</f>
        <v>37.737690090033169</v>
      </c>
      <c r="AK209" s="406">
        <f t="shared" si="951"/>
        <v>127.91357630931425</v>
      </c>
      <c r="AL209" s="406"/>
      <c r="AM209" s="406"/>
      <c r="AN209" s="406">
        <f t="shared" si="951"/>
        <v>147.73772135690103</v>
      </c>
      <c r="AO209" s="406"/>
      <c r="AP209" s="406"/>
      <c r="AQ209" s="406">
        <f t="shared" si="951"/>
        <v>169.97780292224684</v>
      </c>
      <c r="AR209" s="406"/>
      <c r="AS209" s="406"/>
      <c r="AT209" s="406">
        <f t="shared" si="951"/>
        <v>194.88188897321126</v>
      </c>
      <c r="AU209" s="406"/>
      <c r="AV209" s="406"/>
      <c r="AW209" s="406">
        <f t="shared" si="951"/>
        <v>221.27170014171978</v>
      </c>
      <c r="AX209" s="406"/>
      <c r="AY209" s="406"/>
      <c r="AZ209" s="406">
        <f t="shared" si="951"/>
        <v>250.74368387685783</v>
      </c>
      <c r="BA209" s="406"/>
      <c r="BB209" s="406"/>
      <c r="BC209" s="406">
        <f t="shared" si="951"/>
        <v>283.89514324860005</v>
      </c>
      <c r="BD209" s="406"/>
      <c r="BE209" s="406"/>
      <c r="BF209" s="406">
        <f t="shared" si="951"/>
        <v>321.48351514837498</v>
      </c>
      <c r="BG209" s="406"/>
      <c r="BH209" s="406"/>
      <c r="BI209" s="406">
        <f t="shared" ref="BI209" si="952">(BI207+BI90)*100/BI218</f>
        <v>363.26571874677603</v>
      </c>
      <c r="BJ209" s="322"/>
    </row>
    <row r="210" spans="1:62" s="312" customFormat="1">
      <c r="A210" s="312" t="s">
        <v>461</v>
      </c>
      <c r="B210" s="409">
        <f>B207*100/B218</f>
        <v>25.924068199777395</v>
      </c>
      <c r="C210" s="406">
        <f t="shared" ref="C210" si="953">D210-B210</f>
        <v>15.456461413197744</v>
      </c>
      <c r="D210" s="409">
        <f>D207*100/D218</f>
        <v>41.380529612975138</v>
      </c>
      <c r="E210" s="409">
        <f t="shared" ref="E210:S210" si="954">E207*100/E218</f>
        <v>29.145552212861269</v>
      </c>
      <c r="F210" s="409">
        <f t="shared" ref="F210" si="955">G210-E210</f>
        <v>17.043770974040612</v>
      </c>
      <c r="G210" s="409">
        <f t="shared" si="954"/>
        <v>46.189323186901881</v>
      </c>
      <c r="H210" s="409">
        <f t="shared" ref="H210" si="956">H207*100/H218</f>
        <v>33.450856903217456</v>
      </c>
      <c r="I210" s="409">
        <f t="shared" ref="I210" si="957">J210-H210</f>
        <v>18.345907000083969</v>
      </c>
      <c r="J210" s="409">
        <f t="shared" ref="J210:K210" si="958">J207*100/J218</f>
        <v>51.796763903301425</v>
      </c>
      <c r="K210" s="409">
        <f t="shared" si="958"/>
        <v>38.099999999999994</v>
      </c>
      <c r="L210" s="409">
        <f t="shared" ref="L210" si="959">M210-K210</f>
        <v>17.358082233579985</v>
      </c>
      <c r="M210" s="409">
        <f t="shared" ref="M210:N210" si="960">M207*100/M218</f>
        <v>55.458082233579979</v>
      </c>
      <c r="N210" s="409">
        <f t="shared" si="960"/>
        <v>46.600000000000009</v>
      </c>
      <c r="O210" s="409">
        <f t="shared" ref="O210" si="961">P210-N210</f>
        <v>19.157306327210691</v>
      </c>
      <c r="P210" s="409">
        <f t="shared" ref="P210:Q210" si="962">P207*100/P218</f>
        <v>65.757306327210699</v>
      </c>
      <c r="Q210" s="409">
        <f t="shared" si="962"/>
        <v>55.836078221504771</v>
      </c>
      <c r="R210" s="409">
        <f t="shared" ref="R210" si="963">S210-Q210</f>
        <v>20.086789956593357</v>
      </c>
      <c r="S210" s="409">
        <f t="shared" si="954"/>
        <v>75.922868178098128</v>
      </c>
      <c r="T210" s="409"/>
      <c r="U210" s="409"/>
      <c r="V210" s="409">
        <f t="shared" ref="V210" si="964">V207*100/V218</f>
        <v>77.232718506475294</v>
      </c>
      <c r="W210" s="409"/>
      <c r="X210" s="409"/>
      <c r="Y210" s="409">
        <f t="shared" ref="Y210" si="965">Y207*100/Y218</f>
        <v>82.693340962535487</v>
      </c>
      <c r="Z210" s="409"/>
      <c r="AA210" s="409"/>
      <c r="AB210" s="831">
        <f t="shared" ref="AB210" si="966">AB207*100/AB218</f>
        <v>94.447997775305879</v>
      </c>
      <c r="AC210" s="409"/>
      <c r="AD210" s="409"/>
      <c r="AE210" s="409">
        <f t="shared" ref="AE210:AN210" si="967">AE207*100/AE218</f>
        <v>93.427658888802767</v>
      </c>
      <c r="AF210" s="409"/>
      <c r="AG210" s="409"/>
      <c r="AH210" s="409">
        <f t="shared" si="967"/>
        <v>110.42288313813151</v>
      </c>
      <c r="AI210" s="409"/>
      <c r="AJ210" s="409"/>
      <c r="AK210" s="409">
        <f t="shared" si="967"/>
        <v>127.91357630931425</v>
      </c>
      <c r="AL210" s="409"/>
      <c r="AM210" s="409"/>
      <c r="AN210" s="409">
        <f t="shared" si="967"/>
        <v>147.73772135690103</v>
      </c>
      <c r="AO210" s="409"/>
      <c r="AP210" s="409"/>
      <c r="AQ210" s="409">
        <f t="shared" ref="AQ210:AT210" si="968">AQ207*100/AQ218</f>
        <v>169.97780292224684</v>
      </c>
      <c r="AR210" s="409"/>
      <c r="AS210" s="409"/>
      <c r="AT210" s="409">
        <f t="shared" si="968"/>
        <v>194.88188897321126</v>
      </c>
      <c r="AU210" s="409"/>
      <c r="AV210" s="409"/>
      <c r="AW210" s="409">
        <f t="shared" ref="AW210" si="969">AW207*100/AW218</f>
        <v>221.27170014171978</v>
      </c>
      <c r="AX210" s="409"/>
      <c r="AY210" s="409"/>
      <c r="AZ210" s="409">
        <f t="shared" ref="AZ210:BC210" si="970">AZ207*100/AZ218</f>
        <v>250.74368387685783</v>
      </c>
      <c r="BA210" s="409"/>
      <c r="BB210" s="409"/>
      <c r="BC210" s="409">
        <f t="shared" si="970"/>
        <v>283.89514324860005</v>
      </c>
      <c r="BD210" s="409"/>
      <c r="BE210" s="409"/>
      <c r="BF210" s="409">
        <f t="shared" ref="BF210" si="971">BF207*100/BF218</f>
        <v>321.48351514837498</v>
      </c>
      <c r="BG210" s="409"/>
      <c r="BH210" s="409"/>
      <c r="BI210" s="409">
        <f t="shared" ref="BI210" si="972">BI207*100/BI218</f>
        <v>363.26571874677603</v>
      </c>
      <c r="BJ210" s="323"/>
    </row>
    <row r="211" spans="1:62" s="312" customFormat="1">
      <c r="A211" s="312" t="s">
        <v>476</v>
      </c>
      <c r="B211" s="510">
        <f>B209/23.7-1</f>
        <v>9.3842540074995595E-2</v>
      </c>
      <c r="C211" s="422"/>
      <c r="D211" s="510">
        <f>D209/38.6-1</f>
        <v>7.203444593199837E-2</v>
      </c>
      <c r="E211" s="422">
        <f>E209/B209-1</f>
        <v>0.1242661448140896</v>
      </c>
      <c r="F211" s="422">
        <f t="shared" ref="F211:F212" si="973">F209/C209-1</f>
        <v>0.10269553414648436</v>
      </c>
      <c r="G211" s="422">
        <f>G209/D209-1</f>
        <v>0.1162090871939665</v>
      </c>
      <c r="H211" s="422">
        <f>H209/E209-1</f>
        <v>0.14771738270432744</v>
      </c>
      <c r="I211" s="422">
        <f t="shared" ref="I211:I212" si="974">I209/F209-1</f>
        <v>7.6399526139294016E-2</v>
      </c>
      <c r="J211" s="422">
        <f>J209/G209-1</f>
        <v>0.12140123148610393</v>
      </c>
      <c r="K211" s="422">
        <f>K209/H209-1</f>
        <v>0.13898427505859678</v>
      </c>
      <c r="L211" s="422">
        <f t="shared" ref="L211:L212" si="975">L209/I209-1</f>
        <v>-5.3844422437084316E-2</v>
      </c>
      <c r="M211" s="422">
        <f>M209/J209-1</f>
        <v>7.068623702271859E-2</v>
      </c>
      <c r="N211" s="422">
        <f>N209/K209-1</f>
        <v>0.22309711286089273</v>
      </c>
      <c r="O211" s="422">
        <f t="shared" ref="O211:O212" si="976">O209/L209-1</f>
        <v>0.10365339151061437</v>
      </c>
      <c r="P211" s="422">
        <f>P209/M209-1</f>
        <v>0.18571186883549529</v>
      </c>
      <c r="Q211" s="422">
        <f>Q209/N209-1</f>
        <v>0.1981991034657673</v>
      </c>
      <c r="R211" s="422">
        <f t="shared" ref="R211:R212" si="977">R209/O209-1</f>
        <v>4.8518492814537462E-2</v>
      </c>
      <c r="S211" s="422">
        <f>S209/P209-1</f>
        <v>0.1545921269995949</v>
      </c>
      <c r="T211" s="422"/>
      <c r="U211" s="422"/>
      <c r="V211" s="422">
        <f>V209/S209-1</f>
        <v>1.7252382053119408E-2</v>
      </c>
      <c r="W211" s="422"/>
      <c r="X211" s="422"/>
      <c r="Y211" s="422">
        <f>Y209/V209-1</f>
        <v>7.0703486315872199E-2</v>
      </c>
      <c r="Z211" s="422"/>
      <c r="AA211" s="422"/>
      <c r="AB211" s="994">
        <f>AB209/Y209-1</f>
        <v>0.14214756201585654</v>
      </c>
      <c r="AC211" s="422"/>
      <c r="AD211" s="422"/>
      <c r="AE211" s="422">
        <f>AE209/AB209-1</f>
        <v>-1.0803181756489089E-2</v>
      </c>
      <c r="AF211" s="422"/>
      <c r="AG211" s="422"/>
      <c r="AH211" s="422">
        <f>AH209/AE209-1</f>
        <v>0.18190784668549154</v>
      </c>
      <c r="AI211" s="422"/>
      <c r="AJ211" s="422"/>
      <c r="AK211" s="422">
        <f>AK209/AH209-1</f>
        <v>0.15839735998654447</v>
      </c>
      <c r="AL211" s="422"/>
      <c r="AM211" s="422"/>
      <c r="AN211" s="422">
        <f>AN209/AK209-1</f>
        <v>0.1549807738910296</v>
      </c>
      <c r="AO211" s="422"/>
      <c r="AP211" s="422"/>
      <c r="AQ211" s="422">
        <f>AQ209/AN209-1</f>
        <v>0.15053759704076364</v>
      </c>
      <c r="AR211" s="422"/>
      <c r="AS211" s="422"/>
      <c r="AT211" s="422">
        <f>AT209/AQ209-1</f>
        <v>0.14651375428329505</v>
      </c>
      <c r="AU211" s="422"/>
      <c r="AV211" s="422"/>
      <c r="AW211" s="422">
        <f>AW209/AT209-1</f>
        <v>0.13541438513117088</v>
      </c>
      <c r="AX211" s="422"/>
      <c r="AY211" s="422"/>
      <c r="AZ211" s="422">
        <f>AZ209/AW209-1</f>
        <v>0.13319364255014032</v>
      </c>
      <c r="BA211" s="422"/>
      <c r="BB211" s="422"/>
      <c r="BC211" s="422">
        <f>BC209/AZ209-1</f>
        <v>0.13221254014925909</v>
      </c>
      <c r="BD211" s="422"/>
      <c r="BE211" s="422"/>
      <c r="BF211" s="422">
        <f>BF209/BC209-1</f>
        <v>0.13240230695619792</v>
      </c>
      <c r="BG211" s="422"/>
      <c r="BH211" s="422"/>
      <c r="BI211" s="422">
        <f t="shared" ref="BI211:BI212" si="978">BI209/BF209-1</f>
        <v>0.12996686184396489</v>
      </c>
      <c r="BJ211" s="385"/>
    </row>
    <row r="212" spans="1:62" s="312" customFormat="1">
      <c r="A212" s="312" t="s">
        <v>477</v>
      </c>
      <c r="B212" s="510">
        <f>B210/23.7-1</f>
        <v>9.3842540074995595E-2</v>
      </c>
      <c r="C212" s="422"/>
      <c r="D212" s="510">
        <f>D210/38.6-1</f>
        <v>7.203444593199837E-2</v>
      </c>
      <c r="E212" s="422">
        <f>E210/B210-1</f>
        <v>0.1242661448140896</v>
      </c>
      <c r="F212" s="422">
        <f t="shared" si="973"/>
        <v>0.10269553414648436</v>
      </c>
      <c r="G212" s="422">
        <f>G210/D210-1</f>
        <v>0.1162090871939665</v>
      </c>
      <c r="H212" s="422">
        <f>H210/E210-1</f>
        <v>0.14771738270432744</v>
      </c>
      <c r="I212" s="422">
        <f t="shared" si="974"/>
        <v>7.6399526139294016E-2</v>
      </c>
      <c r="J212" s="422">
        <f>J210/G210-1</f>
        <v>0.12140123148610393</v>
      </c>
      <c r="K212" s="422">
        <f>K210/H210-1</f>
        <v>0.13898427505859678</v>
      </c>
      <c r="L212" s="422">
        <f t="shared" si="975"/>
        <v>-5.3844422437084316E-2</v>
      </c>
      <c r="M212" s="422">
        <f>M210/J210-1</f>
        <v>7.068623702271859E-2</v>
      </c>
      <c r="N212" s="422">
        <f>N210/K210-1</f>
        <v>0.22309711286089273</v>
      </c>
      <c r="O212" s="422">
        <f t="shared" si="976"/>
        <v>0.10365339151061437</v>
      </c>
      <c r="P212" s="422">
        <f>P210/M210-1</f>
        <v>0.18571186883549529</v>
      </c>
      <c r="Q212" s="422">
        <f>Q210/N210-1</f>
        <v>0.1981991034657673</v>
      </c>
      <c r="R212" s="422">
        <f t="shared" si="977"/>
        <v>4.8518492814537462E-2</v>
      </c>
      <c r="S212" s="422">
        <f>S210/P210-1</f>
        <v>0.1545921269995949</v>
      </c>
      <c r="T212" s="422"/>
      <c r="U212" s="422"/>
      <c r="V212" s="422">
        <f>V210/S210-1</f>
        <v>1.7252382053119408E-2</v>
      </c>
      <c r="W212" s="422"/>
      <c r="X212" s="422"/>
      <c r="Y212" s="422">
        <f>Y210/V210-1</f>
        <v>7.0703486315872199E-2</v>
      </c>
      <c r="Z212" s="422"/>
      <c r="AA212" s="422"/>
      <c r="AB212" s="994">
        <f>AB210/Y210-1</f>
        <v>0.14214756201585654</v>
      </c>
      <c r="AC212" s="422"/>
      <c r="AD212" s="422"/>
      <c r="AE212" s="422">
        <f>AE210/AB210-1</f>
        <v>-1.0803181756489089E-2</v>
      </c>
      <c r="AF212" s="422"/>
      <c r="AG212" s="422"/>
      <c r="AH212" s="422">
        <f>AH210/AE210-1</f>
        <v>0.18190784668549154</v>
      </c>
      <c r="AI212" s="422"/>
      <c r="AJ212" s="422"/>
      <c r="AK212" s="422">
        <f>AK210/AH210-1</f>
        <v>0.15839735998654447</v>
      </c>
      <c r="AL212" s="422"/>
      <c r="AM212" s="422"/>
      <c r="AN212" s="422">
        <f>AN210/AK210-1</f>
        <v>0.1549807738910296</v>
      </c>
      <c r="AO212" s="422"/>
      <c r="AP212" s="422"/>
      <c r="AQ212" s="422">
        <f>AQ210/AN210-1</f>
        <v>0.15053759704076364</v>
      </c>
      <c r="AR212" s="422"/>
      <c r="AS212" s="422"/>
      <c r="AT212" s="422">
        <f>AT210/AQ210-1</f>
        <v>0.14651375428329505</v>
      </c>
      <c r="AU212" s="422"/>
      <c r="AV212" s="422"/>
      <c r="AW212" s="422">
        <f>AW210/AT210-1</f>
        <v>0.13541438513117088</v>
      </c>
      <c r="AX212" s="422"/>
      <c r="AY212" s="422"/>
      <c r="AZ212" s="422">
        <f>AZ210/AW210-1</f>
        <v>0.13319364255014032</v>
      </c>
      <c r="BA212" s="422"/>
      <c r="BB212" s="422"/>
      <c r="BC212" s="422">
        <f>BC210/AZ210-1</f>
        <v>0.13221254014925909</v>
      </c>
      <c r="BD212" s="422"/>
      <c r="BE212" s="422"/>
      <c r="BF212" s="422">
        <f>BF210/BC210-1</f>
        <v>0.13240230695619792</v>
      </c>
      <c r="BG212" s="422"/>
      <c r="BH212" s="422"/>
      <c r="BI212" s="422">
        <f t="shared" si="978"/>
        <v>0.12996686184396489</v>
      </c>
      <c r="BJ212" s="385"/>
    </row>
    <row r="213" spans="1:62" s="312" customFormat="1">
      <c r="A213" s="344" t="s">
        <v>462</v>
      </c>
      <c r="B213" s="406">
        <f>B70+B71</f>
        <v>15.5</v>
      </c>
      <c r="C213" s="406"/>
      <c r="D213" s="406">
        <f>D70+D71</f>
        <v>30.5</v>
      </c>
      <c r="E213" s="406">
        <f>E70+E71</f>
        <v>16.5</v>
      </c>
      <c r="F213" s="406">
        <f>G213-E213</f>
        <v>16.5</v>
      </c>
      <c r="G213" s="406">
        <f>G70+G71</f>
        <v>33</v>
      </c>
      <c r="H213" s="406">
        <f>H70+H71</f>
        <v>18.5</v>
      </c>
      <c r="I213" s="406">
        <f>J213-H213</f>
        <v>18.5</v>
      </c>
      <c r="J213" s="406">
        <f>J70+J71</f>
        <v>37</v>
      </c>
      <c r="K213" s="406">
        <f>K70+K71</f>
        <v>20.5</v>
      </c>
      <c r="L213" s="406">
        <f>M213-K213</f>
        <v>20.5</v>
      </c>
      <c r="M213" s="406">
        <f>M70+M71</f>
        <v>41</v>
      </c>
      <c r="N213" s="406">
        <f>N70+N71</f>
        <v>13</v>
      </c>
      <c r="O213" s="406">
        <f>P213-N213</f>
        <v>13.5</v>
      </c>
      <c r="P213" s="406">
        <f>P70+P71</f>
        <v>26.5</v>
      </c>
      <c r="Q213" s="406">
        <f>+S70</f>
        <v>15</v>
      </c>
      <c r="R213" s="406">
        <f>S213-Q213</f>
        <v>15</v>
      </c>
      <c r="S213" s="406">
        <f>S70+S71</f>
        <v>30</v>
      </c>
      <c r="T213" s="406">
        <f>+V70</f>
        <v>15</v>
      </c>
      <c r="U213" s="406">
        <f>V213-T213</f>
        <v>15.5</v>
      </c>
      <c r="V213" s="406">
        <f>V70+V71</f>
        <v>30.5</v>
      </c>
      <c r="W213" s="406">
        <f>+Y70</f>
        <v>16</v>
      </c>
      <c r="X213" s="406">
        <f>Y213-W213</f>
        <v>17</v>
      </c>
      <c r="Y213" s="406">
        <f>Y70+Y71</f>
        <v>33</v>
      </c>
      <c r="Z213" s="406">
        <f>+AB70</f>
        <v>18</v>
      </c>
      <c r="AA213" s="406">
        <f>AB213-Z213</f>
        <v>19</v>
      </c>
      <c r="AB213" s="829">
        <f>AB70+AB71</f>
        <v>37</v>
      </c>
      <c r="AC213" s="406">
        <f>+AE70</f>
        <v>18</v>
      </c>
      <c r="AD213" s="406">
        <f>AE213-AC213</f>
        <v>19</v>
      </c>
      <c r="AE213" s="406">
        <f t="shared" ref="AE213:BF213" si="979">AE70+AE71</f>
        <v>37</v>
      </c>
      <c r="AF213" s="406">
        <f>+AH70</f>
        <v>22</v>
      </c>
      <c r="AG213" s="406">
        <f>AH213-AF213</f>
        <v>21</v>
      </c>
      <c r="AH213" s="406">
        <f t="shared" si="979"/>
        <v>43</v>
      </c>
      <c r="AI213" s="406">
        <f>+AK70</f>
        <v>25</v>
      </c>
      <c r="AJ213" s="406">
        <f>AK213-AI213</f>
        <v>25</v>
      </c>
      <c r="AK213" s="406">
        <f t="shared" si="979"/>
        <v>50</v>
      </c>
      <c r="AL213" s="406"/>
      <c r="AM213" s="406"/>
      <c r="AN213" s="406">
        <f t="shared" si="979"/>
        <v>58</v>
      </c>
      <c r="AO213" s="406"/>
      <c r="AP213" s="406"/>
      <c r="AQ213" s="406">
        <f t="shared" si="979"/>
        <v>67</v>
      </c>
      <c r="AR213" s="406"/>
      <c r="AS213" s="406"/>
      <c r="AT213" s="406">
        <f t="shared" si="979"/>
        <v>76</v>
      </c>
      <c r="AU213" s="406"/>
      <c r="AV213" s="406"/>
      <c r="AW213" s="406">
        <f t="shared" si="979"/>
        <v>87</v>
      </c>
      <c r="AX213" s="406"/>
      <c r="AY213" s="406"/>
      <c r="AZ213" s="406">
        <f t="shared" si="979"/>
        <v>98</v>
      </c>
      <c r="BA213" s="406"/>
      <c r="BB213" s="406"/>
      <c r="BC213" s="406">
        <f t="shared" si="979"/>
        <v>111</v>
      </c>
      <c r="BD213" s="406"/>
      <c r="BE213" s="406"/>
      <c r="BF213" s="406">
        <f t="shared" si="979"/>
        <v>126</v>
      </c>
      <c r="BG213" s="406"/>
      <c r="BH213" s="406"/>
      <c r="BI213" s="406">
        <f t="shared" ref="BI213" si="980">BI70+BI71</f>
        <v>142</v>
      </c>
      <c r="BJ213" s="322"/>
    </row>
    <row r="214" spans="1:62" s="312" customFormat="1">
      <c r="A214" s="312" t="s">
        <v>463</v>
      </c>
      <c r="B214" s="511">
        <f>9.3/B213</f>
        <v>0.60000000000000009</v>
      </c>
      <c r="C214" s="431"/>
      <c r="D214" s="511">
        <f>9/15</f>
        <v>0.6</v>
      </c>
      <c r="E214" s="511">
        <f>9.9/16.5</f>
        <v>0.6</v>
      </c>
      <c r="F214" s="431"/>
      <c r="G214" s="511">
        <f>9.9/16.5</f>
        <v>0.6</v>
      </c>
      <c r="H214" s="511">
        <f>11.1/18.5</f>
        <v>0.6</v>
      </c>
      <c r="I214" s="431"/>
      <c r="J214" s="511">
        <f>11.1/18.5</f>
        <v>0.6</v>
      </c>
      <c r="K214" s="511">
        <f>12.3/20.5</f>
        <v>0.60000000000000009</v>
      </c>
      <c r="L214" s="431"/>
      <c r="M214" s="511">
        <f>11.1/18.5</f>
        <v>0.6</v>
      </c>
      <c r="N214" s="511">
        <v>1</v>
      </c>
      <c r="O214" s="431"/>
      <c r="P214" s="511">
        <v>1</v>
      </c>
      <c r="Q214" s="511">
        <v>1</v>
      </c>
      <c r="R214" s="431"/>
      <c r="S214" s="511">
        <v>1</v>
      </c>
      <c r="T214" s="431"/>
      <c r="U214" s="431"/>
      <c r="V214" s="511">
        <f>S214</f>
        <v>1</v>
      </c>
      <c r="W214" s="431"/>
      <c r="X214" s="431"/>
      <c r="Y214" s="511">
        <f>V214</f>
        <v>1</v>
      </c>
      <c r="Z214" s="431"/>
      <c r="AA214" s="431"/>
      <c r="AB214" s="1158">
        <f>Y214</f>
        <v>1</v>
      </c>
      <c r="AC214" s="431"/>
      <c r="AD214" s="431"/>
      <c r="AE214" s="431">
        <f>AB214</f>
        <v>1</v>
      </c>
      <c r="AF214" s="431"/>
      <c r="AG214" s="431"/>
      <c r="AH214" s="431">
        <f>AE214</f>
        <v>1</v>
      </c>
      <c r="AI214" s="431"/>
      <c r="AJ214" s="431"/>
      <c r="AK214" s="431">
        <f>AH214</f>
        <v>1</v>
      </c>
      <c r="AL214" s="431"/>
      <c r="AM214" s="431"/>
      <c r="AN214" s="431">
        <f>AK214</f>
        <v>1</v>
      </c>
      <c r="AO214" s="431"/>
      <c r="AP214" s="431"/>
      <c r="AQ214" s="431">
        <f>AN214</f>
        <v>1</v>
      </c>
      <c r="AR214" s="431"/>
      <c r="AS214" s="431"/>
      <c r="AT214" s="431">
        <f>AQ214</f>
        <v>1</v>
      </c>
      <c r="AU214" s="431"/>
      <c r="AV214" s="431"/>
      <c r="AW214" s="431">
        <f>AT214</f>
        <v>1</v>
      </c>
      <c r="AX214" s="431"/>
      <c r="AY214" s="431"/>
      <c r="AZ214" s="431">
        <f>AW214</f>
        <v>1</v>
      </c>
      <c r="BA214" s="431"/>
      <c r="BB214" s="431"/>
      <c r="BC214" s="431">
        <f>AZ214</f>
        <v>1</v>
      </c>
      <c r="BD214" s="431"/>
      <c r="BE214" s="431"/>
      <c r="BF214" s="431">
        <f>BC214</f>
        <v>1</v>
      </c>
      <c r="BG214" s="431"/>
      <c r="BH214" s="431"/>
      <c r="BI214" s="431">
        <f t="shared" ref="BI214" si="981">BF214</f>
        <v>1</v>
      </c>
      <c r="BJ214" s="391"/>
    </row>
    <row r="215" spans="1:62" s="312" customFormat="1">
      <c r="A215" s="312" t="s">
        <v>464</v>
      </c>
      <c r="B215" s="409">
        <f>(B207+B88+B90)*100/B218</f>
        <v>29.833509309427743</v>
      </c>
      <c r="C215" s="409"/>
      <c r="D215" s="409">
        <f>(D207+D88+D90)*100/D218</f>
        <v>49.658326607479161</v>
      </c>
      <c r="E215" s="409">
        <f>(E207+E88+E90)*100/E218</f>
        <v>34.000453913323639</v>
      </c>
      <c r="F215" s="409"/>
      <c r="G215" s="409">
        <f>(G207+G88+G90)*100/G218</f>
        <v>56.41415888389254</v>
      </c>
      <c r="H215" s="409">
        <f>(H207+H88+H90)*100/H218</f>
        <v>39.723180822750862</v>
      </c>
      <c r="I215" s="409"/>
      <c r="J215" s="409">
        <f>(J207+J88+J90)*100/J218</f>
        <v>64.568968830470027</v>
      </c>
      <c r="K215" s="409">
        <f>(K207+K88+K90)*100/K218</f>
        <v>47.429970404074965</v>
      </c>
      <c r="L215" s="409"/>
      <c r="M215" s="409">
        <f>(M207+M88+M90)*100/M218</f>
        <v>72.498283621939137</v>
      </c>
      <c r="N215" s="409">
        <f>(N207+N88+N90)*100/N218</f>
        <v>59.539198877805497</v>
      </c>
      <c r="O215" s="409"/>
      <c r="P215" s="409">
        <f>(P207+P88+P90)*100/P218</f>
        <v>85.179161335559755</v>
      </c>
      <c r="Q215" s="409">
        <f>(Q207+Q88+Q90)*100/Q218</f>
        <v>65.170597630729517</v>
      </c>
      <c r="R215" s="409"/>
      <c r="S215" s="409">
        <f>(S207+S88+S90)*100/S218</f>
        <v>97.793156919896063</v>
      </c>
      <c r="T215" s="409"/>
      <c r="U215" s="409"/>
      <c r="V215" s="409">
        <f>(V207+V88+V90)*100/V218</f>
        <v>109.56859337332509</v>
      </c>
      <c r="W215" s="409"/>
      <c r="X215" s="409"/>
      <c r="Y215" s="409">
        <f>(Y207+Y88+Y90)*100/Y218</f>
        <v>124.41088836011693</v>
      </c>
      <c r="Z215" s="409"/>
      <c r="AA215" s="409"/>
      <c r="AB215" s="831">
        <f>(AB207+AB88+AB90)*100/AB218</f>
        <v>141.25556173526138</v>
      </c>
      <c r="AC215" s="409"/>
      <c r="AD215" s="409"/>
      <c r="AE215" s="409">
        <f t="shared" ref="AE215:BF215" si="982">(AE207+AE88+AE90)*100/AE218</f>
        <v>144.26859755913827</v>
      </c>
      <c r="AF215" s="409"/>
      <c r="AG215" s="409"/>
      <c r="AH215" s="409">
        <f t="shared" si="982"/>
        <v>165.51393732770219</v>
      </c>
      <c r="AI215" s="409"/>
      <c r="AJ215" s="409"/>
      <c r="AK215" s="409">
        <f t="shared" si="982"/>
        <v>188.07260885874581</v>
      </c>
      <c r="AL215" s="409"/>
      <c r="AM215" s="409"/>
      <c r="AN215" s="409">
        <f t="shared" si="982"/>
        <v>213.47044525299847</v>
      </c>
      <c r="AO215" s="409"/>
      <c r="AP215" s="409"/>
      <c r="AQ215" s="409">
        <f t="shared" si="982"/>
        <v>241.65929891916019</v>
      </c>
      <c r="AR215" s="409"/>
      <c r="AS215" s="409"/>
      <c r="AT215" s="409">
        <f t="shared" si="982"/>
        <v>272.9814474824388</v>
      </c>
      <c r="AU215" s="409"/>
      <c r="AV215" s="409"/>
      <c r="AW215" s="409">
        <f t="shared" si="982"/>
        <v>307.56771598212367</v>
      </c>
      <c r="AX215" s="409"/>
      <c r="AY215" s="409"/>
      <c r="AZ215" s="409">
        <f t="shared" si="982"/>
        <v>346.16522857690535</v>
      </c>
      <c r="BA215" s="409"/>
      <c r="BB215" s="409"/>
      <c r="BC215" s="409">
        <f t="shared" si="982"/>
        <v>389.48215287610697</v>
      </c>
      <c r="BD215" s="409"/>
      <c r="BE215" s="409"/>
      <c r="BF215" s="409">
        <f t="shared" si="982"/>
        <v>438.40061667793179</v>
      </c>
      <c r="BG215" s="409"/>
      <c r="BH215" s="409"/>
      <c r="BI215" s="409">
        <f t="shared" ref="BI215" si="983">(BI207+BI88+BI90)*100/BI218</f>
        <v>492.81785144010558</v>
      </c>
      <c r="BJ215" s="323"/>
    </row>
    <row r="216" spans="1:62" s="312" customFormat="1">
      <c r="A216" s="312" t="s">
        <v>465</v>
      </c>
      <c r="B216" s="416">
        <f>B114/B178</f>
        <v>-0.12365201082928746</v>
      </c>
      <c r="C216" s="416"/>
      <c r="D216" s="416">
        <f>D114/D178</f>
        <v>-0.15901991071187824</v>
      </c>
      <c r="E216" s="416">
        <f>E114/E178</f>
        <v>3.2666928002091914E-5</v>
      </c>
      <c r="F216" s="416"/>
      <c r="G216" s="416">
        <f>G114/G178</f>
        <v>-0.20474870690416086</v>
      </c>
      <c r="H216" s="416">
        <f>H114/H178</f>
        <v>-1.3888216010206444E-3</v>
      </c>
      <c r="I216" s="416"/>
      <c r="J216" s="416">
        <f>J114/J178</f>
        <v>-3.1727004688481789E-2</v>
      </c>
      <c r="K216" s="416">
        <f>K114/K178</f>
        <v>0.23885559023403485</v>
      </c>
      <c r="L216" s="416"/>
      <c r="M216" s="416">
        <f>M114/M178</f>
        <v>-0.24416275797373357</v>
      </c>
      <c r="N216" s="416">
        <f>N114/N178</f>
        <v>-0.14296899595634982</v>
      </c>
      <c r="O216" s="416"/>
      <c r="P216" s="416">
        <f>P114/P178</f>
        <v>-0.18004679309357632</v>
      </c>
      <c r="Q216" s="416">
        <f>Q114/Q178</f>
        <v>7.1290139224642968E-3</v>
      </c>
      <c r="R216" s="416"/>
      <c r="S216" s="416">
        <f>S114/S178</f>
        <v>8.7738457757516444E-2</v>
      </c>
      <c r="T216" s="416"/>
      <c r="U216" s="416"/>
      <c r="V216" s="416">
        <f>V114/V178</f>
        <v>0.25509868656119128</v>
      </c>
      <c r="W216" s="416"/>
      <c r="X216" s="416"/>
      <c r="Y216" s="416">
        <f>Y114/Y178</f>
        <v>-6.3198673919553375E-2</v>
      </c>
      <c r="Z216" s="416"/>
      <c r="AA216" s="416"/>
      <c r="AB216" s="843">
        <f>AB114/AB178</f>
        <v>-4.9765381648932114E-2</v>
      </c>
      <c r="AC216" s="416"/>
      <c r="AD216" s="416"/>
      <c r="AE216" s="416">
        <f t="shared" ref="AE216:BF216" si="984">AE114/AE178</f>
        <v>4.1185767122396872E-4</v>
      </c>
      <c r="AF216" s="416"/>
      <c r="AG216" s="416"/>
      <c r="AH216" s="416">
        <f t="shared" si="984"/>
        <v>-0.13079916319200646</v>
      </c>
      <c r="AI216" s="416"/>
      <c r="AJ216" s="416"/>
      <c r="AK216" s="416">
        <f t="shared" si="984"/>
        <v>-0.15155074729727672</v>
      </c>
      <c r="AL216" s="416"/>
      <c r="AM216" s="416"/>
      <c r="AN216" s="416">
        <f t="shared" si="984"/>
        <v>-0.22012572529697172</v>
      </c>
      <c r="AO216" s="416"/>
      <c r="AP216" s="416"/>
      <c r="AQ216" s="416">
        <f t="shared" si="984"/>
        <v>-0.25835499385271515</v>
      </c>
      <c r="AR216" s="416"/>
      <c r="AS216" s="416"/>
      <c r="AT216" s="416">
        <f t="shared" si="984"/>
        <v>-0.28179763662636159</v>
      </c>
      <c r="AU216" s="416"/>
      <c r="AV216" s="416"/>
      <c r="AW216" s="416">
        <f t="shared" si="984"/>
        <v>-0.30772659889367349</v>
      </c>
      <c r="AX216" s="416"/>
      <c r="AY216" s="416"/>
      <c r="AZ216" s="416">
        <f t="shared" si="984"/>
        <v>-0.33346006903382047</v>
      </c>
      <c r="BA216" s="416"/>
      <c r="BB216" s="416"/>
      <c r="BC216" s="416">
        <f t="shared" si="984"/>
        <v>-0.35555606964838837</v>
      </c>
      <c r="BD216" s="416"/>
      <c r="BE216" s="416"/>
      <c r="BF216" s="416">
        <f t="shared" si="984"/>
        <v>-0.37692015233287451</v>
      </c>
      <c r="BG216" s="416"/>
      <c r="BH216" s="416"/>
      <c r="BI216" s="416">
        <f t="shared" ref="BI216" si="985">BI114/BI178</f>
        <v>-0.39756876830684745</v>
      </c>
      <c r="BJ216" s="343"/>
    </row>
    <row r="217" spans="1:62" s="312" customFormat="1">
      <c r="A217" s="312" t="s">
        <v>466</v>
      </c>
      <c r="B217" s="431">
        <f>(B178-B142-B144)*100/B220</f>
        <v>129.13915536486394</v>
      </c>
      <c r="C217" s="431"/>
      <c r="D217" s="431">
        <f>(D178-D142-D144)*100/D220</f>
        <v>122.64037818517235</v>
      </c>
      <c r="E217" s="431">
        <f>(E178-E142-E144)*100/E220</f>
        <v>128.79556115015421</v>
      </c>
      <c r="F217" s="431"/>
      <c r="G217" s="431">
        <f>(G178-G142-G144)*100/G220</f>
        <v>131.17106729697528</v>
      </c>
      <c r="H217" s="431">
        <f>(H178-H142-H144)*100/H220</f>
        <v>149.45733406155833</v>
      </c>
      <c r="I217" s="431"/>
      <c r="J217" s="431">
        <f>(J178-J142-J144)*100/J220</f>
        <v>143.68038740920099</v>
      </c>
      <c r="K217" s="431">
        <f>(K178-K142-K144)*100/K220</f>
        <v>133.47688368360491</v>
      </c>
      <c r="L217" s="431"/>
      <c r="M217" s="431">
        <f>(M178-M142-M144)*100/M220</f>
        <v>194.9706733995329</v>
      </c>
      <c r="N217" s="431">
        <f>(N178-N142-N144)*100/N220</f>
        <v>181.42834411696654</v>
      </c>
      <c r="O217" s="431"/>
      <c r="P217" s="431">
        <f>(P178-P142-P144)*100/P220</f>
        <v>199.13588523642051</v>
      </c>
      <c r="Q217" s="431">
        <f>(Q178-Q142-Q144)*100/Q220</f>
        <v>245.61001720843743</v>
      </c>
      <c r="R217" s="431"/>
      <c r="S217" s="431">
        <f>(S178-S142-S144)*100/S220</f>
        <v>267.91850007775571</v>
      </c>
      <c r="T217" s="431"/>
      <c r="U217" s="431"/>
      <c r="V217" s="431">
        <f>(V178-V142-V144)*100/V220</f>
        <v>259.5793925909029</v>
      </c>
      <c r="W217" s="431"/>
      <c r="X217" s="431"/>
      <c r="Y217" s="431">
        <f>(Y178-Y142-Y144)*100/Y220</f>
        <v>305.32238041020105</v>
      </c>
      <c r="Z217" s="431"/>
      <c r="AA217" s="431"/>
      <c r="AB217" s="995">
        <f>(AB178-AB142-AB144)*100/AB220</f>
        <v>363.31734479413353</v>
      </c>
      <c r="AC217" s="431"/>
      <c r="AD217" s="431"/>
      <c r="AE217" s="431">
        <f t="shared" ref="AE217:AT217" si="986">(AE178-AE142-AE144)*100/AE220</f>
        <v>407.96965623832659</v>
      </c>
      <c r="AF217" s="431"/>
      <c r="AG217" s="431"/>
      <c r="AH217" s="431">
        <f t="shared" si="986"/>
        <v>462.20631592791005</v>
      </c>
      <c r="AI217" s="431"/>
      <c r="AJ217" s="431"/>
      <c r="AK217" s="431">
        <f t="shared" si="986"/>
        <v>525.72363782833838</v>
      </c>
      <c r="AL217" s="431"/>
      <c r="AM217" s="431"/>
      <c r="AN217" s="431">
        <f t="shared" si="986"/>
        <v>600.07919436973361</v>
      </c>
      <c r="AO217" s="431"/>
      <c r="AP217" s="431"/>
      <c r="AQ217" s="431">
        <f t="shared" si="986"/>
        <v>686.671818419945</v>
      </c>
      <c r="AR217" s="431"/>
      <c r="AS217" s="431"/>
      <c r="AT217" s="431">
        <f t="shared" si="986"/>
        <v>788.14590507929222</v>
      </c>
      <c r="AU217" s="431"/>
      <c r="AV217" s="431"/>
      <c r="AW217" s="431">
        <f t="shared" ref="AW217" si="987">(AW178-AW142-AW144)*100/AW220</f>
        <v>903.91136438770843</v>
      </c>
      <c r="AX217" s="431"/>
      <c r="AY217" s="431"/>
      <c r="AZ217" s="431">
        <f t="shared" ref="AZ217:BC217" si="988">(AZ178-AZ142-AZ144)*100/AZ220</f>
        <v>1037.0074416825946</v>
      </c>
      <c r="BA217" s="431"/>
      <c r="BB217" s="431"/>
      <c r="BC217" s="431">
        <f t="shared" si="988"/>
        <v>1189.0562341621219</v>
      </c>
      <c r="BD217" s="431"/>
      <c r="BE217" s="431"/>
      <c r="BF217" s="431">
        <f t="shared" ref="BF217" si="989">(BF178-BF142-BF144)*100/BF220</f>
        <v>1362.4443015800111</v>
      </c>
      <c r="BG217" s="431"/>
      <c r="BH217" s="431"/>
      <c r="BI217" s="431">
        <f t="shared" ref="BI217" si="990">(BI178-BI142-BI144)*100/BI220</f>
        <v>1560.3231167583072</v>
      </c>
      <c r="BJ217" s="391"/>
    </row>
    <row r="218" spans="1:62" s="312" customFormat="1">
      <c r="A218" s="344" t="s">
        <v>522</v>
      </c>
      <c r="B218" s="497">
        <v>130.09532200000001</v>
      </c>
      <c r="C218" s="409"/>
      <c r="D218" s="497">
        <v>130.095</v>
      </c>
      <c r="E218" s="497">
        <v>130.09532200000001</v>
      </c>
      <c r="F218" s="409"/>
      <c r="G218" s="497">
        <v>130.095</v>
      </c>
      <c r="H218" s="497">
        <v>130.09532200000001</v>
      </c>
      <c r="I218" s="409"/>
      <c r="J218" s="497">
        <v>130.095</v>
      </c>
      <c r="K218" s="409">
        <f>49.669/38.1*100</f>
        <v>130.36482939632546</v>
      </c>
      <c r="L218" s="409"/>
      <c r="M218" s="497">
        <v>131.09</v>
      </c>
      <c r="N218" s="512">
        <f>64.16/46.6*100</f>
        <v>137.68240343347637</v>
      </c>
      <c r="O218" s="409"/>
      <c r="P218" s="497">
        <v>138.339</v>
      </c>
      <c r="Q218" s="409">
        <f>AVERAGE(P220:Q220)</f>
        <v>139.15017399999999</v>
      </c>
      <c r="R218" s="409"/>
      <c r="S218" s="497">
        <v>139.29400000000001</v>
      </c>
      <c r="T218" s="409" t="e">
        <f>T220</f>
        <v>#REF!</v>
      </c>
      <c r="U218" s="409"/>
      <c r="V218" s="497">
        <v>142.696</v>
      </c>
      <c r="W218" s="409">
        <v>142.78136499999999</v>
      </c>
      <c r="X218" s="409"/>
      <c r="Y218" s="497">
        <v>143.309</v>
      </c>
      <c r="Z218" s="409">
        <f>Z220</f>
        <v>143.93782300000001</v>
      </c>
      <c r="AA218" s="409"/>
      <c r="AB218" s="858">
        <v>143.84</v>
      </c>
      <c r="AC218" s="409">
        <f>AC220</f>
        <v>143.94248099999999</v>
      </c>
      <c r="AD218" s="409"/>
      <c r="AE218" s="409">
        <f>+AVERAGE(AB220,AE220)+1.2439+0.136227</f>
        <v>145.32260799999997</v>
      </c>
      <c r="AF218" s="409">
        <f>AF220</f>
        <v>143.94248099999999</v>
      </c>
      <c r="AG218" s="409"/>
      <c r="AH218" s="409">
        <f>+AVERAGE(AE220,AH220)+1.2439+0.136227</f>
        <v>145.32260799999997</v>
      </c>
      <c r="AI218" s="409">
        <f>AI220</f>
        <v>143.94248099999999</v>
      </c>
      <c r="AJ218" s="409"/>
      <c r="AK218" s="409">
        <f>+AVERAGE(AH220,AK220)+1.2439+0.136227</f>
        <v>145.32260799999997</v>
      </c>
      <c r="AL218" s="409"/>
      <c r="AM218" s="409"/>
      <c r="AN218" s="409">
        <f>+AVERAGE(AK220,AN220)+1.2439+0.136227</f>
        <v>145.32260799999997</v>
      </c>
      <c r="AO218" s="409"/>
      <c r="AP218" s="409"/>
      <c r="AQ218" s="409">
        <f>+AVERAGE(AN220,AQ220)+1.2439+0.136227</f>
        <v>145.32260799999997</v>
      </c>
      <c r="AR218" s="409"/>
      <c r="AS218" s="409"/>
      <c r="AT218" s="409">
        <f>+AVERAGE(AQ220,AT220)+1.2439+0.136227</f>
        <v>145.32260799999997</v>
      </c>
      <c r="AU218" s="409"/>
      <c r="AV218" s="409"/>
      <c r="AW218" s="409">
        <f>+AVERAGE(AT220,AW220)+1.2439+0.136227</f>
        <v>145.32260799999997</v>
      </c>
      <c r="AX218" s="409"/>
      <c r="AY218" s="409"/>
      <c r="AZ218" s="409">
        <f>+AVERAGE(AW220,AZ220)+1.2439+0.136227</f>
        <v>145.32260799999997</v>
      </c>
      <c r="BA218" s="409"/>
      <c r="BB218" s="409"/>
      <c r="BC218" s="409">
        <f>+AVERAGE(AZ220,BC220)+1.2439+0.136227</f>
        <v>145.32260799999997</v>
      </c>
      <c r="BD218" s="409"/>
      <c r="BE218" s="409"/>
      <c r="BF218" s="409">
        <f>+AVERAGE(BC220,BF220)+1.2439+0.136227</f>
        <v>145.32260799999997</v>
      </c>
      <c r="BG218" s="409"/>
      <c r="BH218" s="409"/>
      <c r="BI218" s="409">
        <f t="shared" ref="BI218" si="991">+AVERAGE(BF220,BI220)+1.2439+0.136227</f>
        <v>145.32260799999997</v>
      </c>
      <c r="BJ218" s="323"/>
    </row>
    <row r="219" spans="1:62" s="312" customFormat="1">
      <c r="A219" s="344" t="s">
        <v>1643</v>
      </c>
      <c r="B219" s="409">
        <f>B218</f>
        <v>130.09532200000001</v>
      </c>
      <c r="C219" s="409"/>
      <c r="D219" s="409">
        <f t="shared" ref="D219:E219" si="992">D218</f>
        <v>130.095</v>
      </c>
      <c r="E219" s="409">
        <f t="shared" si="992"/>
        <v>130.09532200000001</v>
      </c>
      <c r="F219" s="409"/>
      <c r="G219" s="409">
        <f t="shared" ref="G219" si="993">G218</f>
        <v>130.095</v>
      </c>
      <c r="H219" s="409">
        <f t="shared" ref="H219" si="994">H218</f>
        <v>130.09532200000001</v>
      </c>
      <c r="I219" s="409"/>
      <c r="J219" s="409">
        <f t="shared" ref="J219" si="995">J218</f>
        <v>130.095</v>
      </c>
      <c r="K219" s="409">
        <f t="shared" ref="K219:N219" si="996">K218</f>
        <v>130.36482939632546</v>
      </c>
      <c r="L219" s="409"/>
      <c r="M219" s="409">
        <f t="shared" si="996"/>
        <v>131.09</v>
      </c>
      <c r="N219" s="409">
        <f t="shared" si="996"/>
        <v>137.68240343347637</v>
      </c>
      <c r="O219" s="409"/>
      <c r="P219" s="497">
        <v>139.505</v>
      </c>
      <c r="Q219" s="409">
        <f>P219-P218+Q218</f>
        <v>140.31617399999999</v>
      </c>
      <c r="R219" s="409"/>
      <c r="S219" s="497">
        <v>140.345</v>
      </c>
      <c r="T219" s="409" t="e">
        <f>S219-S218+T218</f>
        <v>#REF!</v>
      </c>
      <c r="U219" s="409"/>
      <c r="V219" s="497"/>
      <c r="W219" s="409">
        <f>V219-V218+W218</f>
        <v>8.5364999999995916E-2</v>
      </c>
      <c r="X219" s="409"/>
      <c r="Y219" s="497">
        <v>144.88999999999999</v>
      </c>
      <c r="Z219" s="409">
        <f>Y219-Y218+Z218</f>
        <v>145.518823</v>
      </c>
      <c r="AA219" s="409"/>
      <c r="AB219" s="858">
        <v>146.01900000000001</v>
      </c>
      <c r="AC219" s="409">
        <f>AB219-AB218+AC218</f>
        <v>146.12148099999999</v>
      </c>
      <c r="AD219" s="409"/>
      <c r="AE219" s="409"/>
      <c r="AF219" s="409">
        <f>AE219-AE218+AF218</f>
        <v>-1.3801269999999874</v>
      </c>
      <c r="AG219" s="409"/>
      <c r="AH219" s="409"/>
      <c r="AI219" s="409">
        <f>AH219-AH218+AI218</f>
        <v>-1.3801269999999874</v>
      </c>
      <c r="AJ219" s="409"/>
      <c r="AK219" s="409"/>
      <c r="AL219" s="409"/>
      <c r="AM219" s="409"/>
      <c r="AN219" s="409"/>
      <c r="AO219" s="409"/>
      <c r="AP219" s="409"/>
      <c r="AQ219" s="409"/>
      <c r="AR219" s="409"/>
      <c r="AS219" s="409"/>
      <c r="AT219" s="409"/>
      <c r="AU219" s="409"/>
      <c r="AV219" s="409"/>
      <c r="AW219" s="409"/>
      <c r="AX219" s="409"/>
      <c r="AY219" s="409"/>
      <c r="AZ219" s="409"/>
      <c r="BA219" s="409"/>
      <c r="BB219" s="409"/>
      <c r="BC219" s="409"/>
      <c r="BD219" s="409"/>
      <c r="BE219" s="409"/>
      <c r="BF219" s="409"/>
      <c r="BG219" s="409"/>
      <c r="BH219" s="409"/>
      <c r="BI219" s="409"/>
      <c r="BJ219" s="323"/>
    </row>
    <row r="220" spans="1:62" s="312" customFormat="1">
      <c r="A220" s="344" t="s">
        <v>523</v>
      </c>
      <c r="B220" s="497">
        <v>130.09532200000001</v>
      </c>
      <c r="C220" s="409"/>
      <c r="D220" s="497">
        <v>130.095</v>
      </c>
      <c r="E220" s="497">
        <v>130.09532200000001</v>
      </c>
      <c r="F220" s="409"/>
      <c r="G220" s="497">
        <v>130.095</v>
      </c>
      <c r="H220" s="497">
        <v>130.09532200000001</v>
      </c>
      <c r="I220" s="409"/>
      <c r="J220" s="497">
        <v>130.095</v>
      </c>
      <c r="K220" s="497">
        <v>130.382127</v>
      </c>
      <c r="L220" s="409"/>
      <c r="M220" s="497">
        <v>136.54412500000001</v>
      </c>
      <c r="N220" s="497">
        <v>138.94080400000001</v>
      </c>
      <c r="O220" s="409"/>
      <c r="P220" s="497">
        <v>138.94080400000001</v>
      </c>
      <c r="Q220" s="409">
        <v>139.359544</v>
      </c>
      <c r="R220" s="409"/>
      <c r="S220" s="497">
        <v>139.359544</v>
      </c>
      <c r="T220" s="497" t="e">
        <f>S220+(#REF!/1000000)</f>
        <v>#REF!</v>
      </c>
      <c r="U220" s="409"/>
      <c r="V220" s="497">
        <v>142.78136499999999</v>
      </c>
      <c r="W220" s="497">
        <v>143.42534800000001</v>
      </c>
      <c r="X220" s="409"/>
      <c r="Y220" s="497">
        <v>143.430691</v>
      </c>
      <c r="Z220" s="497">
        <v>143.93782300000001</v>
      </c>
      <c r="AA220" s="409"/>
      <c r="AB220" s="858">
        <v>143.94248099999999</v>
      </c>
      <c r="AC220" s="1197">
        <f>AB220</f>
        <v>143.94248099999999</v>
      </c>
      <c r="AD220" s="409"/>
      <c r="AE220" s="409">
        <f>+AB220</f>
        <v>143.94248099999999</v>
      </c>
      <c r="AF220" s="409">
        <f>AE220</f>
        <v>143.94248099999999</v>
      </c>
      <c r="AG220" s="409"/>
      <c r="AH220" s="409">
        <f>+AE220</f>
        <v>143.94248099999999</v>
      </c>
      <c r="AI220" s="409">
        <f>AH220</f>
        <v>143.94248099999999</v>
      </c>
      <c r="AJ220" s="409"/>
      <c r="AK220" s="409">
        <f>+AH220</f>
        <v>143.94248099999999</v>
      </c>
      <c r="AL220" s="409"/>
      <c r="AM220" s="409"/>
      <c r="AN220" s="409">
        <f>+AK220</f>
        <v>143.94248099999999</v>
      </c>
      <c r="AO220" s="409"/>
      <c r="AP220" s="409"/>
      <c r="AQ220" s="409">
        <f>+AN220</f>
        <v>143.94248099999999</v>
      </c>
      <c r="AR220" s="409"/>
      <c r="AS220" s="409"/>
      <c r="AT220" s="409">
        <f>+AQ220</f>
        <v>143.94248099999999</v>
      </c>
      <c r="AU220" s="409"/>
      <c r="AV220" s="409"/>
      <c r="AW220" s="409">
        <f>+AT220</f>
        <v>143.94248099999999</v>
      </c>
      <c r="AX220" s="409"/>
      <c r="AY220" s="409"/>
      <c r="AZ220" s="409">
        <f>+AW220</f>
        <v>143.94248099999999</v>
      </c>
      <c r="BA220" s="409"/>
      <c r="BB220" s="409"/>
      <c r="BC220" s="409">
        <f>+AZ220</f>
        <v>143.94248099999999</v>
      </c>
      <c r="BD220" s="409"/>
      <c r="BE220" s="409"/>
      <c r="BF220" s="409">
        <f>+BC220</f>
        <v>143.94248099999999</v>
      </c>
      <c r="BG220" s="409"/>
      <c r="BH220" s="409"/>
      <c r="BI220" s="409">
        <f t="shared" ref="BI220" si="997">+BF220</f>
        <v>143.94248099999999</v>
      </c>
      <c r="BJ220" s="323"/>
    </row>
    <row r="221" spans="1:62" s="312" customFormat="1">
      <c r="B221" s="363"/>
      <c r="C221" s="363"/>
      <c r="D221" s="363"/>
      <c r="E221" s="363"/>
      <c r="F221" s="363"/>
      <c r="G221" s="363"/>
      <c r="H221" s="363"/>
      <c r="I221" s="363"/>
      <c r="J221" s="363"/>
      <c r="K221" s="363"/>
      <c r="L221" s="363"/>
      <c r="M221" s="363"/>
      <c r="N221" s="363"/>
      <c r="O221" s="363"/>
      <c r="P221" s="363"/>
      <c r="Q221" s="363"/>
      <c r="R221" s="363"/>
      <c r="S221" s="363"/>
      <c r="T221" s="363"/>
      <c r="U221" s="363"/>
      <c r="V221" s="363"/>
      <c r="W221" s="363"/>
      <c r="X221" s="363"/>
      <c r="Y221" s="363"/>
      <c r="Z221" s="363"/>
      <c r="AA221" s="363"/>
      <c r="AB221" s="851"/>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H221" s="363"/>
      <c r="BI221" s="363"/>
      <c r="BJ221" s="388"/>
    </row>
    <row r="222" spans="1:62" s="312" customFormat="1">
      <c r="A222" s="344" t="s">
        <v>467</v>
      </c>
      <c r="B222" s="363"/>
      <c r="C222" s="363"/>
      <c r="D222" s="363"/>
      <c r="E222" s="363"/>
      <c r="F222" s="363"/>
      <c r="G222" s="363"/>
      <c r="H222" s="363"/>
      <c r="I222" s="363"/>
      <c r="J222" s="363"/>
      <c r="K222" s="363"/>
      <c r="L222" s="363"/>
      <c r="M222" s="363"/>
      <c r="N222" s="363"/>
      <c r="O222" s="363"/>
      <c r="P222" s="363"/>
      <c r="Q222" s="363"/>
      <c r="R222" s="363"/>
      <c r="S222" s="363"/>
      <c r="T222" s="363"/>
      <c r="U222" s="363"/>
      <c r="V222" s="363"/>
      <c r="W222" s="363"/>
      <c r="X222" s="363"/>
      <c r="Y222" s="363"/>
      <c r="Z222" s="363"/>
      <c r="AA222" s="363"/>
      <c r="AB222" s="851"/>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H222" s="363"/>
      <c r="BI222" s="363"/>
      <c r="BJ222" s="388"/>
    </row>
    <row r="223" spans="1:62" s="312" customFormat="1">
      <c r="A223" s="312" t="s">
        <v>1065</v>
      </c>
      <c r="B223" s="409">
        <f>B5</f>
        <v>339.16799999999995</v>
      </c>
      <c r="C223" s="409"/>
      <c r="D223" s="409">
        <f>D5</f>
        <v>605.73300000000006</v>
      </c>
      <c r="E223" s="409">
        <f>E5</f>
        <v>385.41</v>
      </c>
      <c r="F223" s="409"/>
      <c r="G223" s="409">
        <f>G5</f>
        <v>652.34800000000007</v>
      </c>
      <c r="H223" s="409">
        <f>H5</f>
        <v>440.37100000000004</v>
      </c>
      <c r="I223" s="409"/>
      <c r="J223" s="409">
        <f>J5</f>
        <v>759.9670000000001</v>
      </c>
      <c r="K223" s="409">
        <f>K5</f>
        <v>552.03399999999999</v>
      </c>
      <c r="L223" s="409"/>
      <c r="M223" s="409">
        <f>M5</f>
        <v>952.24400000000003</v>
      </c>
      <c r="N223" s="409">
        <f>N5</f>
        <v>710.95799999999997</v>
      </c>
      <c r="O223" s="409"/>
      <c r="P223" s="409">
        <f>P5</f>
        <v>1187.6590000000001</v>
      </c>
      <c r="Q223" s="409">
        <f>Q5</f>
        <v>878.65900000000011</v>
      </c>
      <c r="R223" s="409"/>
      <c r="S223" s="409">
        <f t="shared" ref="S223:BF223" si="998">S5</f>
        <v>1418.4</v>
      </c>
      <c r="T223" s="409">
        <f t="shared" si="998"/>
        <v>887.99699999999996</v>
      </c>
      <c r="U223" s="409">
        <f t="shared" si="998"/>
        <v>590.50300000000004</v>
      </c>
      <c r="V223" s="409">
        <f t="shared" si="998"/>
        <v>1478.5540000000001</v>
      </c>
      <c r="W223" s="409">
        <f t="shared" si="998"/>
        <v>905.83199999999999</v>
      </c>
      <c r="X223" s="409">
        <f t="shared" si="998"/>
        <v>624.26799999999992</v>
      </c>
      <c r="Y223" s="409">
        <f t="shared" ref="Y223" si="999">Y5</f>
        <v>1529.9929999999999</v>
      </c>
      <c r="Z223" s="409">
        <f t="shared" si="998"/>
        <v>997.49999999999989</v>
      </c>
      <c r="AA223" s="409">
        <f t="shared" ref="AA223:AB223" si="1000">AA5</f>
        <v>699.13900000000001</v>
      </c>
      <c r="AB223" s="831">
        <f t="shared" si="1000"/>
        <v>1696.5509999999999</v>
      </c>
      <c r="AC223" s="409">
        <f t="shared" si="998"/>
        <v>1098.7</v>
      </c>
      <c r="AD223" s="409">
        <f t="shared" si="998"/>
        <v>752.60008239636772</v>
      </c>
      <c r="AE223" s="409">
        <f t="shared" si="998"/>
        <v>1851.3000823963678</v>
      </c>
      <c r="AF223" s="409">
        <f t="shared" ref="AF223:AG223" si="1001">AF5</f>
        <v>1177.7590341241112</v>
      </c>
      <c r="AG223" s="409">
        <f t="shared" si="1001"/>
        <v>858.9228815534683</v>
      </c>
      <c r="AH223" s="409">
        <f t="shared" si="998"/>
        <v>2036.6819156775794</v>
      </c>
      <c r="AI223" s="409">
        <f t="shared" si="998"/>
        <v>1266.3316391017588</v>
      </c>
      <c r="AJ223" s="409">
        <f t="shared" si="998"/>
        <v>986.36402596757853</v>
      </c>
      <c r="AK223" s="409">
        <f t="shared" si="998"/>
        <v>2252.6956650693378</v>
      </c>
      <c r="AL223" s="409"/>
      <c r="AM223" s="409"/>
      <c r="AN223" s="409">
        <f t="shared" si="998"/>
        <v>2493.5320711644317</v>
      </c>
      <c r="AO223" s="409"/>
      <c r="AP223" s="409"/>
      <c r="AQ223" s="409">
        <f t="shared" si="998"/>
        <v>2755.1549382270032</v>
      </c>
      <c r="AR223" s="409"/>
      <c r="AS223" s="409"/>
      <c r="AT223" s="409">
        <f t="shared" si="998"/>
        <v>3042.0695600071904</v>
      </c>
      <c r="AU223" s="409"/>
      <c r="AV223" s="409"/>
      <c r="AW223" s="409">
        <f t="shared" si="998"/>
        <v>3361.3312027490433</v>
      </c>
      <c r="AX223" s="409"/>
      <c r="AY223" s="409"/>
      <c r="AZ223" s="409">
        <f t="shared" si="998"/>
        <v>3716.7812730539749</v>
      </c>
      <c r="BA223" s="409"/>
      <c r="BB223" s="409"/>
      <c r="BC223" s="409">
        <f t="shared" si="998"/>
        <v>4112.7380749799595</v>
      </c>
      <c r="BD223" s="409"/>
      <c r="BE223" s="409"/>
      <c r="BF223" s="409">
        <f t="shared" si="998"/>
        <v>4554.0584658402686</v>
      </c>
      <c r="BG223" s="409"/>
      <c r="BH223" s="409"/>
      <c r="BI223" s="409">
        <f t="shared" ref="BI223" si="1002">BI5</f>
        <v>5046.2077740660498</v>
      </c>
      <c r="BJ223" s="323"/>
    </row>
    <row r="224" spans="1:62" s="312" customFormat="1">
      <c r="A224" s="312" t="s">
        <v>1067</v>
      </c>
      <c r="B224" s="409">
        <f>B44+B88+B90</f>
        <v>54.228000000000002</v>
      </c>
      <c r="C224" s="409"/>
      <c r="D224" s="409">
        <f>D44+D88+D90</f>
        <v>89.789000000000001</v>
      </c>
      <c r="E224" s="409">
        <f>E44+E88+E90</f>
        <v>61.515000000000001</v>
      </c>
      <c r="F224" s="409"/>
      <c r="G224" s="409">
        <f>G44+G88+G90</f>
        <v>100.21100000000001</v>
      </c>
      <c r="H224" s="409">
        <f>H44+H88+H90</f>
        <v>70.49799999999999</v>
      </c>
      <c r="I224" s="409"/>
      <c r="J224" s="409">
        <f>J44+J88+J90</f>
        <v>113.961</v>
      </c>
      <c r="K224" s="409">
        <f>K44+K88+K90</f>
        <v>85.150999999999996</v>
      </c>
      <c r="L224" s="409"/>
      <c r="M224" s="409">
        <f>M44+M88+M90</f>
        <v>132.238</v>
      </c>
      <c r="N224" s="409">
        <f>N44+N88+N90</f>
        <v>112.42099999999999</v>
      </c>
      <c r="O224" s="409"/>
      <c r="P224" s="409">
        <f>P44+P88+P90</f>
        <v>163.298</v>
      </c>
      <c r="Q224" s="409">
        <f>Q44+Q88+Q90</f>
        <v>125.5</v>
      </c>
      <c r="R224" s="409"/>
      <c r="S224" s="409">
        <f t="shared" ref="S224:BF224" si="1003">S44+S88+S90</f>
        <v>186.864</v>
      </c>
      <c r="T224" s="409">
        <f t="shared" si="1003"/>
        <v>141.886</v>
      </c>
      <c r="U224" s="409">
        <f t="shared" si="1003"/>
        <v>76.276999999999987</v>
      </c>
      <c r="V224" s="409">
        <f t="shared" si="1003"/>
        <v>218.16299999999998</v>
      </c>
      <c r="W224" s="409">
        <f t="shared" si="1003"/>
        <v>159.238</v>
      </c>
      <c r="X224" s="409">
        <f t="shared" si="1003"/>
        <v>86.26</v>
      </c>
      <c r="Y224" s="409">
        <f t="shared" ref="Y224" si="1004">Y44+Y88+Y90</f>
        <v>245.49799999999999</v>
      </c>
      <c r="Z224" s="409">
        <f t="shared" si="1003"/>
        <v>177.57599999999985</v>
      </c>
      <c r="AA224" s="409">
        <f t="shared" ref="AA224:AB224" si="1005">AA44+AA88+AA90</f>
        <v>94.302000000000007</v>
      </c>
      <c r="AB224" s="831">
        <f t="shared" si="1005"/>
        <v>271.89400000000001</v>
      </c>
      <c r="AC224" s="409">
        <f t="shared" si="1003"/>
        <v>182.762</v>
      </c>
      <c r="AD224" s="409">
        <f t="shared" si="1003"/>
        <v>97.594207465628429</v>
      </c>
      <c r="AE224" s="409">
        <f t="shared" si="1003"/>
        <v>280.35620746562842</v>
      </c>
      <c r="AF224" s="409">
        <f t="shared" ref="AF224:AG224" si="1006">AF44+AF88+AF90</f>
        <v>196.02680803350148</v>
      </c>
      <c r="AG224" s="409">
        <f t="shared" si="1006"/>
        <v>122.75106078417798</v>
      </c>
      <c r="AH224" s="409">
        <f t="shared" si="1003"/>
        <v>318.77786881767946</v>
      </c>
      <c r="AI224" s="409">
        <f t="shared" si="1003"/>
        <v>227.44536747427009</v>
      </c>
      <c r="AJ224" s="409">
        <f t="shared" si="1003"/>
        <v>130.78315076206462</v>
      </c>
      <c r="AK224" s="409">
        <f t="shared" si="1003"/>
        <v>358.22851823633471</v>
      </c>
      <c r="AL224" s="409"/>
      <c r="AM224" s="409"/>
      <c r="AN224" s="409">
        <f t="shared" si="1003"/>
        <v>406.34286200559256</v>
      </c>
      <c r="AO224" s="409"/>
      <c r="AP224" s="409"/>
      <c r="AQ224" s="409">
        <f t="shared" si="1003"/>
        <v>458.9614204737095</v>
      </c>
      <c r="AR224" s="409"/>
      <c r="AS224" s="409"/>
      <c r="AT224" s="409">
        <f t="shared" si="1003"/>
        <v>518.38636302953046</v>
      </c>
      <c r="AU224" s="409"/>
      <c r="AV224" s="409"/>
      <c r="AW224" s="409">
        <f t="shared" si="1003"/>
        <v>582.25125375731591</v>
      </c>
      <c r="AX224" s="409"/>
      <c r="AY224" s="409"/>
      <c r="AZ224" s="409">
        <f t="shared" si="1003"/>
        <v>654.24964681628546</v>
      </c>
      <c r="BA224" s="409"/>
      <c r="BB224" s="409"/>
      <c r="BC224" s="409">
        <f t="shared" si="1003"/>
        <v>735.44565845341231</v>
      </c>
      <c r="BD224" s="409"/>
      <c r="BE224" s="409"/>
      <c r="BF224" s="409">
        <f t="shared" si="1003"/>
        <v>827.04644416723374</v>
      </c>
      <c r="BG224" s="409"/>
      <c r="BH224" s="409"/>
      <c r="BI224" s="409">
        <f t="shared" ref="BI224" si="1007">BI44+BI88+BI90</f>
        <v>928.7921385469017</v>
      </c>
      <c r="BJ224" s="323"/>
    </row>
    <row r="225" spans="1:123" s="312" customFormat="1">
      <c r="A225" s="312" t="s">
        <v>468</v>
      </c>
      <c r="B225" s="409">
        <f>B88</f>
        <v>5.0860000000000003</v>
      </c>
      <c r="C225" s="409"/>
      <c r="D225" s="409">
        <f>D88</f>
        <v>10.769</v>
      </c>
      <c r="E225" s="409">
        <f>E88</f>
        <v>6.3159999999999998</v>
      </c>
      <c r="F225" s="409"/>
      <c r="G225" s="409">
        <f>G88</f>
        <v>13.302</v>
      </c>
      <c r="H225" s="409">
        <f>H88</f>
        <v>8.16</v>
      </c>
      <c r="I225" s="409"/>
      <c r="J225" s="409">
        <f>J88</f>
        <v>16.616</v>
      </c>
      <c r="K225" s="409">
        <f>K88</f>
        <v>12.163</v>
      </c>
      <c r="L225" s="409"/>
      <c r="M225" s="409">
        <f>M88</f>
        <v>22.338000000000001</v>
      </c>
      <c r="N225" s="409">
        <f>N88</f>
        <v>17.815000000000001</v>
      </c>
      <c r="O225" s="409"/>
      <c r="P225" s="409">
        <f>P88</f>
        <v>26.867999999999999</v>
      </c>
      <c r="Q225" s="409">
        <f>Q88</f>
        <v>12.989000000000001</v>
      </c>
      <c r="R225" s="409"/>
      <c r="S225" s="409">
        <f>S88</f>
        <v>30.463999999999999</v>
      </c>
      <c r="T225" s="409">
        <f>-T36</f>
        <v>20.777999999999999</v>
      </c>
      <c r="U225" s="409"/>
      <c r="V225" s="409">
        <f>V88</f>
        <v>46.141999999999996</v>
      </c>
      <c r="W225" s="409">
        <f>-W36</f>
        <v>28.227</v>
      </c>
      <c r="X225" s="409"/>
      <c r="Y225" s="409">
        <f>Y88</f>
        <v>59.784999999999997</v>
      </c>
      <c r="Z225" s="409">
        <f>-Z36</f>
        <v>32.792000000000002</v>
      </c>
      <c r="AA225" s="409"/>
      <c r="AB225" s="831">
        <f>AB88</f>
        <v>67.328000000000003</v>
      </c>
      <c r="AC225" s="409">
        <f>-AC36</f>
        <v>36.936999999999998</v>
      </c>
      <c r="AD225" s="409"/>
      <c r="AE225" s="409">
        <f t="shared" ref="AE225:BF225" si="1008">AE88</f>
        <v>73.883378007412034</v>
      </c>
      <c r="AF225" s="501">
        <f>-AF36</f>
        <v>40.029878361488699</v>
      </c>
      <c r="AG225" s="409"/>
      <c r="AH225" s="409">
        <f t="shared" si="1008"/>
        <v>80.059756722977397</v>
      </c>
      <c r="AI225" s="501">
        <f>-AI36</f>
        <v>43.712337524201416</v>
      </c>
      <c r="AJ225" s="409"/>
      <c r="AK225" s="409">
        <f t="shared" si="1008"/>
        <v>87.424675048402833</v>
      </c>
      <c r="AL225" s="409"/>
      <c r="AM225" s="409"/>
      <c r="AN225" s="409">
        <f t="shared" si="1008"/>
        <v>95.524508675248029</v>
      </c>
      <c r="AO225" s="409"/>
      <c r="AP225" s="409"/>
      <c r="AQ225" s="409">
        <f t="shared" si="1008"/>
        <v>104.16941943613006</v>
      </c>
      <c r="AR225" s="409"/>
      <c r="AS225" s="409"/>
      <c r="AT225" s="409">
        <f t="shared" si="1008"/>
        <v>113.49631526209532</v>
      </c>
      <c r="AU225" s="409"/>
      <c r="AV225" s="409"/>
      <c r="AW225" s="409">
        <f t="shared" si="1008"/>
        <v>125.40762081936802</v>
      </c>
      <c r="AX225" s="409"/>
      <c r="AY225" s="409"/>
      <c r="AZ225" s="409">
        <f t="shared" si="1008"/>
        <v>138.66907735199482</v>
      </c>
      <c r="BA225" s="409"/>
      <c r="BB225" s="409"/>
      <c r="BC225" s="409">
        <f t="shared" si="1008"/>
        <v>153.44179609990417</v>
      </c>
      <c r="BD225" s="409"/>
      <c r="BE225" s="409"/>
      <c r="BF225" s="409">
        <f t="shared" si="1008"/>
        <v>169.90698114075985</v>
      </c>
      <c r="BG225" s="409"/>
      <c r="BH225" s="409"/>
      <c r="BI225" s="409">
        <f t="shared" ref="BI225" si="1009">BI88</f>
        <v>188.26853794956713</v>
      </c>
      <c r="BJ225" s="323"/>
    </row>
    <row r="226" spans="1:123" s="312" customFormat="1">
      <c r="A226" s="312" t="s">
        <v>398</v>
      </c>
      <c r="B226" s="409">
        <f>B48</f>
        <v>-1.0069999999999999</v>
      </c>
      <c r="C226" s="409"/>
      <c r="D226" s="409">
        <f>D48</f>
        <v>-1.7969999999999997</v>
      </c>
      <c r="E226" s="409">
        <f>E48</f>
        <v>-1.63</v>
      </c>
      <c r="F226" s="409"/>
      <c r="G226" s="409">
        <f>G48</f>
        <v>-2.536</v>
      </c>
      <c r="H226" s="409">
        <f>H48</f>
        <v>-1.496</v>
      </c>
      <c r="I226" s="409"/>
      <c r="J226" s="409">
        <f>J48</f>
        <v>-3.0340000000000003</v>
      </c>
      <c r="K226" s="409">
        <f>K48</f>
        <v>-4.1999999999999993</v>
      </c>
      <c r="L226" s="409"/>
      <c r="M226" s="409">
        <f>M48</f>
        <v>-8.1760000000000002</v>
      </c>
      <c r="N226" s="409">
        <f>N48</f>
        <v>-4.508</v>
      </c>
      <c r="O226" s="409"/>
      <c r="P226" s="409">
        <f>P48</f>
        <v>-9.0269999999999992</v>
      </c>
      <c r="Q226" s="409">
        <f>Q48</f>
        <v>-3.5019999999999998</v>
      </c>
      <c r="R226" s="409"/>
      <c r="S226" s="409">
        <f>S48</f>
        <v>-8.5269999999999992</v>
      </c>
      <c r="T226" s="409"/>
      <c r="U226" s="409"/>
      <c r="V226" s="409">
        <f>V48</f>
        <v>-21.03</v>
      </c>
      <c r="W226" s="409"/>
      <c r="X226" s="409"/>
      <c r="Y226" s="409">
        <f>Y48</f>
        <v>-20.026</v>
      </c>
      <c r="Z226" s="409"/>
      <c r="AA226" s="409"/>
      <c r="AB226" s="831">
        <f>AB48</f>
        <v>-14.667999999999999</v>
      </c>
      <c r="AC226" s="409"/>
      <c r="AD226" s="409"/>
      <c r="AE226" s="409">
        <f t="shared" ref="AE226:BF226" si="1010">AE48</f>
        <v>-16.690134071000426</v>
      </c>
      <c r="AF226" s="409"/>
      <c r="AG226" s="409"/>
      <c r="AH226" s="409">
        <f t="shared" si="1010"/>
        <v>-14.412455251429058</v>
      </c>
      <c r="AI226" s="409"/>
      <c r="AJ226" s="409"/>
      <c r="AK226" s="409">
        <f t="shared" si="1010"/>
        <v>-10.968762470636673</v>
      </c>
      <c r="AL226" s="409"/>
      <c r="AM226" s="409"/>
      <c r="AN226" s="409">
        <f t="shared" si="1010"/>
        <v>-10.713830719444774</v>
      </c>
      <c r="AO226" s="409"/>
      <c r="AP226" s="409"/>
      <c r="AQ226" s="409">
        <f t="shared" si="1010"/>
        <v>-9.5104647317693427</v>
      </c>
      <c r="AR226" s="409"/>
      <c r="AS226" s="409"/>
      <c r="AT226" s="409">
        <f t="shared" si="1010"/>
        <v>-9.0200172927568865</v>
      </c>
      <c r="AU226" s="409"/>
      <c r="AV226" s="409"/>
      <c r="AW226" s="409">
        <f t="shared" si="1010"/>
        <v>-7.3671056946831497</v>
      </c>
      <c r="AX226" s="409"/>
      <c r="AY226" s="409"/>
      <c r="AZ226" s="409">
        <f t="shared" si="1010"/>
        <v>-6.2366263167081692</v>
      </c>
      <c r="BA226" s="409"/>
      <c r="BB226" s="409"/>
      <c r="BC226" s="409">
        <f t="shared" si="1010"/>
        <v>-5.3182626727439528</v>
      </c>
      <c r="BD226" s="409"/>
      <c r="BE226" s="409"/>
      <c r="BF226" s="409">
        <f t="shared" si="1010"/>
        <v>-4.0993595595580299</v>
      </c>
      <c r="BG226" s="409"/>
      <c r="BH226" s="409"/>
      <c r="BI226" s="409">
        <f t="shared" ref="BI226" si="1011">BI48</f>
        <v>-2.6099242245655603</v>
      </c>
      <c r="BJ226" s="323"/>
    </row>
    <row r="227" spans="1:123" s="312" customFormat="1">
      <c r="A227" s="312" t="s">
        <v>400</v>
      </c>
      <c r="B227" s="409">
        <f>B52</f>
        <v>-14.409000000000001</v>
      </c>
      <c r="C227" s="409"/>
      <c r="D227" s="409">
        <f>D52</f>
        <v>-23.388999999999999</v>
      </c>
      <c r="E227" s="409">
        <f>E52</f>
        <v>-15.651999999999999</v>
      </c>
      <c r="F227" s="409"/>
      <c r="G227" s="409">
        <f>G52</f>
        <v>-24.282999999999998</v>
      </c>
      <c r="H227" s="409">
        <f>H52</f>
        <v>-17.324000000000002</v>
      </c>
      <c r="I227" s="409"/>
      <c r="J227" s="409">
        <f>J52</f>
        <v>-26.925999999999998</v>
      </c>
      <c r="K227" s="409">
        <f>K52</f>
        <v>-19.119</v>
      </c>
      <c r="L227" s="409"/>
      <c r="M227" s="409">
        <f>M52</f>
        <v>-29.024000000000001</v>
      </c>
      <c r="N227" s="409">
        <f>N52</f>
        <v>-25.937999999999999</v>
      </c>
      <c r="O227" s="409"/>
      <c r="P227" s="409">
        <f>P52</f>
        <v>-36.435000000000002</v>
      </c>
      <c r="Q227" s="409">
        <f>Q52</f>
        <v>-31.312999999999999</v>
      </c>
      <c r="R227" s="409"/>
      <c r="S227" s="409">
        <f>S52</f>
        <v>-42.116999999999997</v>
      </c>
      <c r="T227" s="409"/>
      <c r="U227" s="409"/>
      <c r="V227" s="409">
        <f>V52</f>
        <v>-40.783000000000001</v>
      </c>
      <c r="W227" s="409"/>
      <c r="X227" s="409"/>
      <c r="Y227" s="409">
        <f>Y52</f>
        <v>-47.18</v>
      </c>
      <c r="Z227" s="409"/>
      <c r="AA227" s="409"/>
      <c r="AB227" s="831">
        <f>AB52</f>
        <v>-54.043999999999997</v>
      </c>
      <c r="AC227" s="409"/>
      <c r="AD227" s="409"/>
      <c r="AE227" s="409">
        <f t="shared" ref="AE227:BF227" si="1012">AE52</f>
        <v>-54.011184896663991</v>
      </c>
      <c r="AF227" s="409"/>
      <c r="AG227" s="409"/>
      <c r="AH227" s="409">
        <f t="shared" si="1012"/>
        <v>-63.836243238148086</v>
      </c>
      <c r="AI227" s="409"/>
      <c r="AJ227" s="409"/>
      <c r="AK227" s="409">
        <f t="shared" si="1012"/>
        <v>-73.947735638529636</v>
      </c>
      <c r="AL227" s="409"/>
      <c r="AM227" s="409"/>
      <c r="AN227" s="409">
        <f t="shared" si="1012"/>
        <v>-85.408212935278215</v>
      </c>
      <c r="AO227" s="409"/>
      <c r="AP227" s="409"/>
      <c r="AQ227" s="409">
        <f t="shared" si="1012"/>
        <v>-98.265360078100869</v>
      </c>
      <c r="AR227" s="409"/>
      <c r="AS227" s="409"/>
      <c r="AT227" s="409">
        <f t="shared" si="1012"/>
        <v>-112.66258689914326</v>
      </c>
      <c r="AU227" s="409"/>
      <c r="AV227" s="409"/>
      <c r="AW227" s="409">
        <f t="shared" si="1012"/>
        <v>-127.91872183137787</v>
      </c>
      <c r="AX227" s="409"/>
      <c r="AY227" s="409"/>
      <c r="AZ227" s="409">
        <f t="shared" si="1012"/>
        <v>-144.95668234245724</v>
      </c>
      <c r="BA227" s="409"/>
      <c r="BB227" s="409"/>
      <c r="BC227" s="409">
        <f t="shared" si="1012"/>
        <v>-164.12177352656278</v>
      </c>
      <c r="BD227" s="409"/>
      <c r="BE227" s="409"/>
      <c r="BF227" s="409">
        <f t="shared" si="1012"/>
        <v>-185.85187496322234</v>
      </c>
      <c r="BG227" s="409"/>
      <c r="BH227" s="409"/>
      <c r="BI227" s="409">
        <f t="shared" ref="BI227" si="1013">BI52</f>
        <v>-210.00645992000926</v>
      </c>
      <c r="BJ227" s="323"/>
    </row>
    <row r="228" spans="1:123" s="312" customFormat="1">
      <c r="A228" s="312" t="s">
        <v>447</v>
      </c>
      <c r="B228" s="409">
        <f>B56</f>
        <v>0</v>
      </c>
      <c r="C228" s="409"/>
      <c r="D228" s="409">
        <f>D56</f>
        <v>0</v>
      </c>
      <c r="E228" s="409">
        <f>E56</f>
        <v>0</v>
      </c>
      <c r="F228" s="409"/>
      <c r="G228" s="409">
        <f>G56</f>
        <v>0</v>
      </c>
      <c r="H228" s="409">
        <f>H56</f>
        <v>0</v>
      </c>
      <c r="I228" s="409"/>
      <c r="J228" s="409">
        <f>J56</f>
        <v>0</v>
      </c>
      <c r="K228" s="409">
        <f>K56</f>
        <v>0</v>
      </c>
      <c r="L228" s="409"/>
      <c r="M228" s="409">
        <f>M56</f>
        <v>0</v>
      </c>
      <c r="N228" s="409">
        <f>N56</f>
        <v>0</v>
      </c>
      <c r="O228" s="409"/>
      <c r="P228" s="409">
        <f>P56</f>
        <v>0</v>
      </c>
      <c r="Q228" s="409">
        <f>Q56</f>
        <v>0</v>
      </c>
      <c r="R228" s="409"/>
      <c r="S228" s="409">
        <f>S56</f>
        <v>0</v>
      </c>
      <c r="T228" s="409"/>
      <c r="U228" s="409"/>
      <c r="V228" s="409">
        <f>V56</f>
        <v>0</v>
      </c>
      <c r="W228" s="409"/>
      <c r="X228" s="409"/>
      <c r="Y228" s="409">
        <f>Y56</f>
        <v>0</v>
      </c>
      <c r="Z228" s="409"/>
      <c r="AA228" s="409"/>
      <c r="AB228" s="831">
        <f>AB56</f>
        <v>0</v>
      </c>
      <c r="AC228" s="409"/>
      <c r="AD228" s="409"/>
      <c r="AE228" s="409">
        <f t="shared" ref="AE228:BF228" si="1014">AE56</f>
        <v>0</v>
      </c>
      <c r="AF228" s="409"/>
      <c r="AG228" s="409"/>
      <c r="AH228" s="409">
        <f t="shared" si="1014"/>
        <v>0</v>
      </c>
      <c r="AI228" s="409"/>
      <c r="AJ228" s="409"/>
      <c r="AK228" s="409">
        <f t="shared" si="1014"/>
        <v>0</v>
      </c>
      <c r="AL228" s="409"/>
      <c r="AM228" s="409"/>
      <c r="AN228" s="409">
        <f t="shared" si="1014"/>
        <v>0</v>
      </c>
      <c r="AO228" s="409"/>
      <c r="AP228" s="409"/>
      <c r="AQ228" s="409">
        <f t="shared" si="1014"/>
        <v>0</v>
      </c>
      <c r="AR228" s="409"/>
      <c r="AS228" s="409"/>
      <c r="AT228" s="409">
        <f t="shared" si="1014"/>
        <v>0</v>
      </c>
      <c r="AU228" s="409"/>
      <c r="AV228" s="409"/>
      <c r="AW228" s="409">
        <f t="shared" si="1014"/>
        <v>0</v>
      </c>
      <c r="AX228" s="409"/>
      <c r="AY228" s="409"/>
      <c r="AZ228" s="409">
        <f t="shared" si="1014"/>
        <v>0</v>
      </c>
      <c r="BA228" s="409"/>
      <c r="BB228" s="409"/>
      <c r="BC228" s="409">
        <f t="shared" si="1014"/>
        <v>0</v>
      </c>
      <c r="BD228" s="409"/>
      <c r="BE228" s="409"/>
      <c r="BF228" s="409">
        <f t="shared" si="1014"/>
        <v>0</v>
      </c>
      <c r="BG228" s="409"/>
      <c r="BH228" s="409"/>
      <c r="BI228" s="409">
        <f t="shared" ref="BI228" si="1015">BI56</f>
        <v>0</v>
      </c>
      <c r="BJ228" s="323"/>
    </row>
    <row r="229" spans="1:123" s="312" customFormat="1">
      <c r="A229" s="312" t="s">
        <v>473</v>
      </c>
      <c r="B229" s="409">
        <f>B114</f>
        <v>-32.701999999999998</v>
      </c>
      <c r="C229" s="409"/>
      <c r="D229" s="409">
        <f>D114</f>
        <v>-41.282999999999994</v>
      </c>
      <c r="E229" s="409">
        <f>E114</f>
        <v>9.0000000000003411E-3</v>
      </c>
      <c r="F229" s="409"/>
      <c r="G229" s="409">
        <f>G114</f>
        <v>-57.992000000000004</v>
      </c>
      <c r="H229" s="409">
        <f>H114</f>
        <v>-0.43000000000000682</v>
      </c>
      <c r="I229" s="409"/>
      <c r="J229" s="409">
        <f>J114</f>
        <v>-9.8459999999999965</v>
      </c>
      <c r="K229" s="409">
        <f>K114</f>
        <v>79.821000000000012</v>
      </c>
      <c r="L229" s="409"/>
      <c r="M229" s="409">
        <f>M114</f>
        <v>-104.11099999999999</v>
      </c>
      <c r="N229" s="409">
        <f>N114</f>
        <v>-69.935000000000002</v>
      </c>
      <c r="O229" s="409"/>
      <c r="P229" s="409">
        <f>P114</f>
        <v>-91.191000000000003</v>
      </c>
      <c r="Q229" s="409">
        <f>Q114</f>
        <v>4.1640000000000157</v>
      </c>
      <c r="R229" s="409"/>
      <c r="S229" s="409">
        <f>S114</f>
        <v>53.907999999999987</v>
      </c>
      <c r="T229" s="409"/>
      <c r="U229" s="409"/>
      <c r="V229" s="409">
        <f>V114</f>
        <v>196.33899999999991</v>
      </c>
      <c r="W229" s="409"/>
      <c r="X229" s="409"/>
      <c r="Y229" s="409">
        <f>Y114</f>
        <v>-53.606000000000037</v>
      </c>
      <c r="Z229" s="409"/>
      <c r="AA229" s="409"/>
      <c r="AB229" s="831">
        <f>AB114</f>
        <v>-48.457000000000043</v>
      </c>
      <c r="AC229" s="409"/>
      <c r="AD229" s="409"/>
      <c r="AE229" s="409">
        <f t="shared" ref="AE229:BF229" si="1016">AE114</f>
        <v>0.43480273388340152</v>
      </c>
      <c r="AF229" s="409"/>
      <c r="AG229" s="409"/>
      <c r="AH229" s="409">
        <f t="shared" si="1016"/>
        <v>-150.90192695204271</v>
      </c>
      <c r="AI229" s="409"/>
      <c r="AJ229" s="409"/>
      <c r="AK229" s="409">
        <f t="shared" si="1016"/>
        <v>-192.00235129254742</v>
      </c>
      <c r="AL229" s="409"/>
      <c r="AM229" s="409"/>
      <c r="AN229" s="409">
        <f t="shared" si="1016"/>
        <v>-307.58763603978696</v>
      </c>
      <c r="AO229" s="409"/>
      <c r="AP229" s="409"/>
      <c r="AQ229" s="409">
        <f t="shared" si="1016"/>
        <v>-399.66926036931727</v>
      </c>
      <c r="AR229" s="409"/>
      <c r="AS229" s="409"/>
      <c r="AT229" s="409">
        <f t="shared" si="1016"/>
        <v>-484.61848900095532</v>
      </c>
      <c r="AU229" s="409"/>
      <c r="AV229" s="409"/>
      <c r="AW229" s="409">
        <f t="shared" si="1016"/>
        <v>-589.25535618827485</v>
      </c>
      <c r="AX229" s="409"/>
      <c r="AY229" s="409"/>
      <c r="AZ229" s="409">
        <f t="shared" si="1016"/>
        <v>-712.55001614113212</v>
      </c>
      <c r="BA229" s="409"/>
      <c r="BB229" s="409"/>
      <c r="BC229" s="409">
        <f t="shared" si="1016"/>
        <v>-849.10108152016642</v>
      </c>
      <c r="BD229" s="409"/>
      <c r="BE229" s="409"/>
      <c r="BF229" s="409">
        <f t="shared" si="1016"/>
        <v>-1007.1966386992656</v>
      </c>
      <c r="BG229" s="409"/>
      <c r="BH229" s="409"/>
      <c r="BI229" s="409">
        <f t="shared" ref="BI229" si="1017">BI114</f>
        <v>-1190.2112406104536</v>
      </c>
      <c r="BJ229" s="323"/>
    </row>
    <row r="230" spans="1:123" s="312" customFormat="1">
      <c r="A230" s="312" t="s">
        <v>480</v>
      </c>
      <c r="B230" s="432">
        <f>B229/B178*100</f>
        <v>-12.365201082928747</v>
      </c>
      <c r="C230" s="432"/>
      <c r="D230" s="432">
        <f>D229/D178*100</f>
        <v>-15.901991071187824</v>
      </c>
      <c r="E230" s="432">
        <f>E229/E178*100</f>
        <v>3.2666928002091913E-3</v>
      </c>
      <c r="F230" s="432"/>
      <c r="G230" s="432">
        <f>G229/G178*100</f>
        <v>-20.474870690416086</v>
      </c>
      <c r="H230" s="432">
        <f>H229/H178*100</f>
        <v>-0.13888216010206444</v>
      </c>
      <c r="I230" s="432"/>
      <c r="J230" s="432">
        <f>J229/J178*100</f>
        <v>-3.1727004688481788</v>
      </c>
      <c r="K230" s="432">
        <f>K229/K178*100</f>
        <v>23.885559023403484</v>
      </c>
      <c r="L230" s="432"/>
      <c r="M230" s="432">
        <f>M229/M178*100</f>
        <v>-24.416275797373359</v>
      </c>
      <c r="N230" s="432">
        <f>N229/N178*100</f>
        <v>-14.296899595634983</v>
      </c>
      <c r="O230" s="432"/>
      <c r="P230" s="432">
        <f>P229/P178*100</f>
        <v>-18.004679309357634</v>
      </c>
      <c r="Q230" s="432">
        <f>Q229/Q178*100</f>
        <v>0.71290139224642968</v>
      </c>
      <c r="R230" s="432"/>
      <c r="S230" s="432">
        <f>S229/S178*100</f>
        <v>8.7738457757516439</v>
      </c>
      <c r="T230" s="432"/>
      <c r="U230" s="432"/>
      <c r="V230" s="432">
        <f>V229/V178*100</f>
        <v>25.509868656119128</v>
      </c>
      <c r="W230" s="432"/>
      <c r="X230" s="432"/>
      <c r="Y230" s="432">
        <f>Y229/Y178*100</f>
        <v>-6.3198673919553379</v>
      </c>
      <c r="Z230" s="432"/>
      <c r="AA230" s="432"/>
      <c r="AB230" s="989">
        <f>AB229/AB178*100</f>
        <v>-4.9765381648932117</v>
      </c>
      <c r="AC230" s="432"/>
      <c r="AD230" s="432"/>
      <c r="AE230" s="432">
        <f t="shared" ref="AE230:AT230" si="1018">AE229/AE178*100</f>
        <v>4.1185767122396875E-2</v>
      </c>
      <c r="AF230" s="432"/>
      <c r="AG230" s="432"/>
      <c r="AH230" s="432">
        <f t="shared" si="1018"/>
        <v>-13.079916319200645</v>
      </c>
      <c r="AI230" s="432"/>
      <c r="AJ230" s="432"/>
      <c r="AK230" s="432">
        <f t="shared" si="1018"/>
        <v>-15.155074729727671</v>
      </c>
      <c r="AL230" s="432"/>
      <c r="AM230" s="432"/>
      <c r="AN230" s="432">
        <f t="shared" si="1018"/>
        <v>-22.012572529697174</v>
      </c>
      <c r="AO230" s="432"/>
      <c r="AP230" s="432"/>
      <c r="AQ230" s="432">
        <f t="shared" si="1018"/>
        <v>-25.835499385271515</v>
      </c>
      <c r="AR230" s="432"/>
      <c r="AS230" s="432"/>
      <c r="AT230" s="432">
        <f t="shared" si="1018"/>
        <v>-28.179763662636159</v>
      </c>
      <c r="AU230" s="432"/>
      <c r="AV230" s="432"/>
      <c r="AW230" s="432">
        <f t="shared" ref="AW230" si="1019">AW229/AW178*100</f>
        <v>-30.772659889367347</v>
      </c>
      <c r="AX230" s="432"/>
      <c r="AY230" s="432"/>
      <c r="AZ230" s="432">
        <f t="shared" ref="AZ230:BC230" si="1020">AZ229/AZ178*100</f>
        <v>-33.346006903382047</v>
      </c>
      <c r="BA230" s="432"/>
      <c r="BB230" s="432"/>
      <c r="BC230" s="432">
        <f t="shared" si="1020"/>
        <v>-35.555606964838837</v>
      </c>
      <c r="BD230" s="432"/>
      <c r="BE230" s="432"/>
      <c r="BF230" s="432">
        <f t="shared" ref="BF230" si="1021">BF229/BF178*100</f>
        <v>-37.692015233287449</v>
      </c>
      <c r="BG230" s="432"/>
      <c r="BH230" s="432"/>
      <c r="BI230" s="432">
        <f t="shared" ref="BI230" si="1022">BI229/BI178*100</f>
        <v>-39.756876830684746</v>
      </c>
      <c r="BJ230" s="323"/>
    </row>
    <row r="231" spans="1:123" s="312" customFormat="1">
      <c r="B231" s="409"/>
      <c r="C231" s="409"/>
      <c r="D231" s="409"/>
      <c r="E231" s="409"/>
      <c r="F231" s="409"/>
      <c r="G231" s="409"/>
      <c r="H231" s="409"/>
      <c r="I231" s="409"/>
      <c r="J231" s="409"/>
      <c r="K231" s="409"/>
      <c r="L231" s="409"/>
      <c r="M231" s="409"/>
      <c r="N231" s="409"/>
      <c r="O231" s="409"/>
      <c r="P231" s="409"/>
      <c r="Q231" s="409"/>
      <c r="R231" s="409"/>
      <c r="S231" s="409"/>
      <c r="T231" s="409"/>
      <c r="U231" s="409"/>
      <c r="V231" s="409"/>
      <c r="W231" s="409"/>
      <c r="X231" s="409"/>
      <c r="Y231" s="409"/>
      <c r="Z231" s="409"/>
      <c r="AA231" s="409"/>
      <c r="AB231" s="831"/>
      <c r="AC231" s="409"/>
      <c r="AD231" s="409"/>
      <c r="AE231" s="409"/>
      <c r="AF231" s="409"/>
      <c r="AG231" s="409"/>
      <c r="AH231" s="409"/>
      <c r="AI231" s="409"/>
      <c r="AJ231" s="409"/>
      <c r="AK231" s="409"/>
      <c r="AL231" s="409"/>
      <c r="AM231" s="409"/>
      <c r="AN231" s="409"/>
      <c r="AO231" s="409"/>
      <c r="AP231" s="409"/>
      <c r="AQ231" s="409"/>
      <c r="AR231" s="409"/>
      <c r="AS231" s="409"/>
      <c r="AT231" s="409"/>
      <c r="AU231" s="409"/>
      <c r="AV231" s="409"/>
      <c r="AW231" s="409"/>
      <c r="AX231" s="409"/>
      <c r="AY231" s="409"/>
      <c r="AZ231" s="409"/>
      <c r="BA231" s="409"/>
      <c r="BB231" s="409"/>
      <c r="BC231" s="409"/>
      <c r="BD231" s="409"/>
      <c r="BE231" s="409"/>
      <c r="BF231" s="409"/>
      <c r="BG231" s="409"/>
      <c r="BH231" s="409"/>
      <c r="BI231" s="409"/>
      <c r="BJ231" s="323"/>
    </row>
    <row r="232" spans="1:123" hidden="1" outlineLevel="1">
      <c r="A232" s="316" t="s">
        <v>1679</v>
      </c>
      <c r="B232" s="395"/>
      <c r="C232" s="395"/>
      <c r="D232" s="395"/>
      <c r="E232" s="395"/>
      <c r="F232" s="395"/>
      <c r="G232" s="395"/>
      <c r="H232" s="395"/>
      <c r="I232" s="395"/>
      <c r="J232" s="395"/>
      <c r="K232" s="395"/>
      <c r="L232" s="395"/>
      <c r="M232" s="395"/>
      <c r="N232" s="395"/>
      <c r="O232" s="395"/>
      <c r="P232" s="395"/>
      <c r="Q232" s="395"/>
      <c r="R232" s="395"/>
      <c r="S232" s="395"/>
      <c r="T232" s="395"/>
      <c r="U232" s="395"/>
      <c r="V232" s="395"/>
      <c r="W232" s="395"/>
      <c r="X232" s="395"/>
      <c r="Y232" s="395"/>
      <c r="Z232" s="395"/>
      <c r="AA232" s="395"/>
      <c r="AB232" s="824"/>
      <c r="AC232" s="395"/>
      <c r="AD232" s="395"/>
      <c r="AE232" s="395"/>
      <c r="AF232" s="395"/>
      <c r="AG232" s="395"/>
      <c r="AH232" s="395"/>
      <c r="AI232" s="395"/>
      <c r="AJ232" s="395"/>
      <c r="AK232" s="395"/>
      <c r="AL232" s="395"/>
      <c r="AM232" s="395"/>
      <c r="AN232" s="395"/>
      <c r="AO232" s="395"/>
      <c r="AP232" s="395"/>
      <c r="AQ232" s="395"/>
      <c r="AR232" s="395"/>
      <c r="AS232" s="395"/>
      <c r="AT232" s="395"/>
      <c r="AU232" s="395"/>
      <c r="AV232" s="395"/>
      <c r="AW232" s="395"/>
      <c r="AX232" s="395"/>
      <c r="AY232" s="395"/>
      <c r="AZ232" s="395"/>
      <c r="BA232" s="395"/>
      <c r="BB232" s="395"/>
      <c r="BC232" s="395"/>
      <c r="BD232" s="395"/>
      <c r="BE232" s="395"/>
      <c r="BF232" s="395"/>
      <c r="BG232" s="395"/>
      <c r="BH232" s="395"/>
      <c r="BI232" s="395"/>
      <c r="BJ232" s="350"/>
    </row>
    <row r="233" spans="1:123" s="312" customFormat="1" hidden="1" outlineLevel="1">
      <c r="A233" s="312" t="s">
        <v>1680</v>
      </c>
      <c r="B233" s="482">
        <f t="shared" ref="B233:J233" si="1023">B30</f>
        <v>-57.492999999999995</v>
      </c>
      <c r="C233" s="482">
        <f t="shared" si="1023"/>
        <v>-49.394000000000005</v>
      </c>
      <c r="D233" s="482">
        <f t="shared" si="1023"/>
        <v>-106.887</v>
      </c>
      <c r="E233" s="482">
        <f t="shared" si="1023"/>
        <v>-76.207000000000008</v>
      </c>
      <c r="F233" s="482">
        <f t="shared" si="1023"/>
        <v>-55.842000000000006</v>
      </c>
      <c r="G233" s="482">
        <f t="shared" si="1023"/>
        <v>-132.04900000000001</v>
      </c>
      <c r="H233" s="482">
        <f t="shared" si="1023"/>
        <v>-87.77300000000001</v>
      </c>
      <c r="I233" s="482">
        <f t="shared" si="1023"/>
        <v>-69.466000000000008</v>
      </c>
      <c r="J233" s="482">
        <f t="shared" si="1023"/>
        <v>-157.239</v>
      </c>
      <c r="K233" s="482">
        <f t="shared" ref="K233:BF233" si="1024">K30-K245</f>
        <v>-106.01600000000001</v>
      </c>
      <c r="L233" s="482">
        <f t="shared" si="1024"/>
        <v>-91.219000000000051</v>
      </c>
      <c r="M233" s="482">
        <f t="shared" si="1024"/>
        <v>-197.23500000000007</v>
      </c>
      <c r="N233" s="482">
        <f t="shared" si="1024"/>
        <v>-140.935</v>
      </c>
      <c r="O233" s="482">
        <f t="shared" si="1024"/>
        <v>-118.12799999999999</v>
      </c>
      <c r="P233" s="482">
        <f t="shared" si="1024"/>
        <v>-259.06299999999999</v>
      </c>
      <c r="Q233" s="482">
        <f t="shared" si="1024"/>
        <v>-179.10700000000003</v>
      </c>
      <c r="R233" s="482">
        <f t="shared" si="1024"/>
        <v>-129.18199999999996</v>
      </c>
      <c r="S233" s="482">
        <f t="shared" si="1024"/>
        <v>-308.36500000000001</v>
      </c>
      <c r="T233" s="482">
        <f t="shared" si="1024"/>
        <v>-179.88499999999999</v>
      </c>
      <c r="U233" s="482">
        <f t="shared" si="1024"/>
        <v>-142.63600000000017</v>
      </c>
      <c r="V233" s="482">
        <f t="shared" si="1024"/>
        <v>-321.22200000000009</v>
      </c>
      <c r="W233" s="482">
        <f t="shared" si="1024"/>
        <v>-185.35</v>
      </c>
      <c r="X233" s="482">
        <f t="shared" si="1024"/>
        <v>-151.167</v>
      </c>
      <c r="Y233" s="482">
        <f t="shared" si="1024"/>
        <v>-336.517</v>
      </c>
      <c r="Z233" s="482">
        <f t="shared" si="1024"/>
        <v>-203.04199999999997</v>
      </c>
      <c r="AA233" s="482">
        <f t="shared" ref="AA233" si="1025">AA30-AA245</f>
        <v>-172.52899999999988</v>
      </c>
      <c r="AB233" s="853">
        <f t="shared" si="1024"/>
        <v>-375.57099999999986</v>
      </c>
      <c r="AC233" s="482">
        <f t="shared" si="1024"/>
        <v>-220.27599999999998</v>
      </c>
      <c r="AD233" s="482">
        <f t="shared" si="1024"/>
        <v>-179.77218607039856</v>
      </c>
      <c r="AE233" s="482">
        <f t="shared" si="1024"/>
        <v>-400.04818607039857</v>
      </c>
      <c r="AF233" s="482">
        <f t="shared" ref="AF233:AG233" si="1026">AF30-AF245</f>
        <v>-231.31723825013722</v>
      </c>
      <c r="AG233" s="482">
        <f t="shared" si="1026"/>
        <v>-204.43361891386431</v>
      </c>
      <c r="AH233" s="482">
        <f t="shared" si="1024"/>
        <v>-435.75085716400156</v>
      </c>
      <c r="AI233" s="482">
        <f t="shared" si="1024"/>
        <v>-247.73368121038692</v>
      </c>
      <c r="AJ233" s="482">
        <f t="shared" si="1024"/>
        <v>-231.67203233722768</v>
      </c>
      <c r="AK233" s="482">
        <f t="shared" si="1024"/>
        <v>-479.4057135476146</v>
      </c>
      <c r="AL233" s="482"/>
      <c r="AM233" s="482"/>
      <c r="AN233" s="482">
        <f t="shared" si="1024"/>
        <v>-526.43506886397279</v>
      </c>
      <c r="AO233" s="482"/>
      <c r="AP233" s="482"/>
      <c r="AQ233" s="482">
        <f t="shared" si="1024"/>
        <v>-577.43700368223926</v>
      </c>
      <c r="AR233" s="482"/>
      <c r="AS233" s="482"/>
      <c r="AT233" s="482">
        <f t="shared" si="1024"/>
        <v>-632.96531774666971</v>
      </c>
      <c r="AU233" s="482"/>
      <c r="AV233" s="482"/>
      <c r="AW233" s="482">
        <f t="shared" si="1024"/>
        <v>-697.65528100304584</v>
      </c>
      <c r="AX233" s="482"/>
      <c r="AY233" s="482"/>
      <c r="AZ233" s="482">
        <f t="shared" si="1024"/>
        <v>-769.49922189883375</v>
      </c>
      <c r="BA233" s="482"/>
      <c r="BB233" s="482"/>
      <c r="BC233" s="482">
        <f t="shared" si="1024"/>
        <v>-849.33430244114663</v>
      </c>
      <c r="BD233" s="482"/>
      <c r="BE233" s="482"/>
      <c r="BF233" s="482">
        <f t="shared" si="1024"/>
        <v>-938.09909136092767</v>
      </c>
      <c r="BG233" s="482"/>
      <c r="BH233" s="482"/>
      <c r="BI233" s="482">
        <f t="shared" ref="BI233" si="1027">BI30-BI245</f>
        <v>-1036.8467144200358</v>
      </c>
      <c r="BJ233" s="388"/>
    </row>
    <row r="234" spans="1:123" s="312" customFormat="1" hidden="1" outlineLevel="1">
      <c r="B234" s="409"/>
      <c r="C234" s="409"/>
      <c r="D234" s="409"/>
      <c r="E234" s="409"/>
      <c r="F234" s="409"/>
      <c r="G234" s="409"/>
      <c r="H234" s="409"/>
      <c r="I234" s="409"/>
      <c r="J234" s="409"/>
      <c r="K234" s="409"/>
      <c r="L234" s="363"/>
      <c r="M234" s="363"/>
      <c r="N234" s="363"/>
      <c r="O234" s="363"/>
      <c r="P234" s="363"/>
      <c r="Q234" s="409"/>
      <c r="R234" s="409"/>
      <c r="S234" s="409"/>
      <c r="T234" s="409"/>
      <c r="U234" s="409"/>
      <c r="V234" s="409"/>
      <c r="W234" s="409"/>
      <c r="X234" s="409"/>
      <c r="Y234" s="409"/>
      <c r="Z234" s="409"/>
      <c r="AA234" s="409"/>
      <c r="AB234" s="831"/>
      <c r="AC234" s="409"/>
      <c r="AD234" s="409"/>
      <c r="AE234" s="409"/>
      <c r="AF234" s="409"/>
      <c r="AG234" s="409"/>
      <c r="AH234" s="409"/>
      <c r="AI234" s="409"/>
      <c r="AJ234" s="409"/>
      <c r="AK234" s="409"/>
      <c r="AL234" s="409"/>
      <c r="AM234" s="409"/>
      <c r="AN234" s="409"/>
      <c r="AO234" s="409"/>
      <c r="AP234" s="409"/>
      <c r="AQ234" s="409"/>
      <c r="AR234" s="409"/>
      <c r="AS234" s="409"/>
      <c r="AT234" s="409"/>
      <c r="AU234" s="409"/>
      <c r="AV234" s="409"/>
      <c r="AW234" s="409"/>
      <c r="AX234" s="409"/>
      <c r="AY234" s="409"/>
      <c r="AZ234" s="409"/>
      <c r="BA234" s="409"/>
      <c r="BB234" s="409"/>
      <c r="BC234" s="409"/>
      <c r="BD234" s="409"/>
      <c r="BE234" s="409"/>
      <c r="BF234" s="409"/>
      <c r="BG234" s="409"/>
      <c r="BH234" s="409"/>
      <c r="BI234" s="409"/>
      <c r="BJ234" s="388"/>
    </row>
    <row r="235" spans="1:123" s="484" customFormat="1" hidden="1" outlineLevel="1">
      <c r="A235" s="484" t="s">
        <v>1067</v>
      </c>
      <c r="B235" s="485">
        <f t="shared" ref="B235:BF235" si="1028">(B11+B233)</f>
        <v>54.227999999999952</v>
      </c>
      <c r="C235" s="485">
        <f t="shared" si="1028"/>
        <v>35.561000000000035</v>
      </c>
      <c r="D235" s="485">
        <f t="shared" si="1028"/>
        <v>89.789000000000044</v>
      </c>
      <c r="E235" s="485">
        <f t="shared" si="1028"/>
        <v>61.515000000000029</v>
      </c>
      <c r="F235" s="485">
        <f t="shared" si="1028"/>
        <v>38.695999999999948</v>
      </c>
      <c r="G235" s="485">
        <f t="shared" si="1028"/>
        <v>100.21100000000004</v>
      </c>
      <c r="H235" s="485">
        <f t="shared" si="1028"/>
        <v>70.498000000000005</v>
      </c>
      <c r="I235" s="485">
        <f t="shared" si="1028"/>
        <v>43.463000000000022</v>
      </c>
      <c r="J235" s="485">
        <f t="shared" si="1028"/>
        <v>113.9610000000001</v>
      </c>
      <c r="K235" s="485">
        <f t="shared" si="1028"/>
        <v>80.906999999999996</v>
      </c>
      <c r="L235" s="485">
        <f t="shared" si="1028"/>
        <v>42.418000000000006</v>
      </c>
      <c r="M235" s="485">
        <f t="shared" si="1028"/>
        <v>123.32499999999999</v>
      </c>
      <c r="N235" s="485">
        <f t="shared" si="1028"/>
        <v>108.00699999999995</v>
      </c>
      <c r="O235" s="485">
        <f t="shared" si="1028"/>
        <v>46.59800000000007</v>
      </c>
      <c r="P235" s="485">
        <f t="shared" si="1028"/>
        <v>154.60500000000013</v>
      </c>
      <c r="Q235" s="485">
        <f t="shared" si="1028"/>
        <v>120.89200000000011</v>
      </c>
      <c r="R235" s="485">
        <f t="shared" si="1028"/>
        <v>56.718999999999994</v>
      </c>
      <c r="S235" s="485">
        <f t="shared" si="1028"/>
        <v>177.53500000000008</v>
      </c>
      <c r="T235" s="485">
        <f t="shared" si="1028"/>
        <v>131.38099999999997</v>
      </c>
      <c r="U235" s="485">
        <f t="shared" si="1028"/>
        <v>63.039999999999992</v>
      </c>
      <c r="V235" s="485">
        <f t="shared" si="1028"/>
        <v>195.72000000000003</v>
      </c>
      <c r="W235" s="485">
        <f t="shared" si="1028"/>
        <v>146.69099999999995</v>
      </c>
      <c r="X235" s="485">
        <f t="shared" si="1028"/>
        <v>73.730000000000047</v>
      </c>
      <c r="Y235" s="485">
        <f t="shared" si="1028"/>
        <v>220.42099999999999</v>
      </c>
      <c r="Z235" s="485">
        <f t="shared" si="1028"/>
        <v>163.20999999999987</v>
      </c>
      <c r="AA235" s="485">
        <f t="shared" ref="AA235" si="1029">(AA11+AA233)</f>
        <v>81.69600000000014</v>
      </c>
      <c r="AB235" s="854">
        <f t="shared" si="1028"/>
        <v>244.90600000000001</v>
      </c>
      <c r="AC235" s="485">
        <f t="shared" si="1028"/>
        <v>169.18100000000001</v>
      </c>
      <c r="AD235" s="485">
        <f t="shared" si="1028"/>
        <v>88.141093551095651</v>
      </c>
      <c r="AE235" s="485">
        <f t="shared" si="1028"/>
        <v>257.36509355109564</v>
      </c>
      <c r="AF235" s="485">
        <f t="shared" ref="AF235:AG235" si="1030">(AF11+AF233)</f>
        <v>180.69864576154987</v>
      </c>
      <c r="AG235" s="485">
        <f t="shared" si="1030"/>
        <v>113.66173463405474</v>
      </c>
      <c r="AH235" s="485">
        <f t="shared" si="1028"/>
        <v>293.36038039560458</v>
      </c>
      <c r="AI235" s="485">
        <f t="shared" si="1028"/>
        <v>210.67774910175507</v>
      </c>
      <c r="AJ235" s="485">
        <f t="shared" si="1028"/>
        <v>120.10634364066124</v>
      </c>
      <c r="AK235" s="485">
        <f t="shared" si="1028"/>
        <v>330.42409274241629</v>
      </c>
      <c r="AL235" s="485"/>
      <c r="AM235" s="485"/>
      <c r="AN235" s="485">
        <f t="shared" si="1028"/>
        <v>375.80026643174642</v>
      </c>
      <c r="AO235" s="485"/>
      <c r="AP235" s="485"/>
      <c r="AQ235" s="485">
        <f t="shared" si="1028"/>
        <v>425.31349073044919</v>
      </c>
      <c r="AR235" s="485"/>
      <c r="AS235" s="485"/>
      <c r="AT235" s="485">
        <f t="shared" si="1028"/>
        <v>481.27578530510061</v>
      </c>
      <c r="AU235" s="485"/>
      <c r="AV235" s="485"/>
      <c r="AW235" s="485">
        <f t="shared" si="1028"/>
        <v>541.30430531174773</v>
      </c>
      <c r="AX235" s="485"/>
      <c r="AY235" s="485"/>
      <c r="AZ235" s="485">
        <f t="shared" si="1028"/>
        <v>609.04518167440631</v>
      </c>
      <c r="BA235" s="485"/>
      <c r="BB235" s="485"/>
      <c r="BC235" s="485">
        <f t="shared" si="1028"/>
        <v>685.5104412461136</v>
      </c>
      <c r="BD235" s="485"/>
      <c r="BE235" s="485"/>
      <c r="BF235" s="485">
        <f t="shared" si="1028"/>
        <v>771.8495169291192</v>
      </c>
      <c r="BG235" s="485"/>
      <c r="BH235" s="485"/>
      <c r="BI235" s="485">
        <f t="shared" ref="BI235" si="1031">(BI11+BI233)</f>
        <v>867.73821094595519</v>
      </c>
      <c r="BJ235" s="347"/>
      <c r="BK235" s="486"/>
      <c r="BL235" s="486"/>
      <c r="BM235" s="486"/>
      <c r="BN235" s="486"/>
      <c r="BO235" s="486"/>
      <c r="BP235" s="486"/>
      <c r="BQ235" s="486"/>
      <c r="BR235" s="486"/>
      <c r="BS235" s="486"/>
      <c r="BT235" s="486"/>
      <c r="BU235" s="486"/>
      <c r="BV235" s="486"/>
      <c r="BW235" s="486"/>
      <c r="BX235" s="486"/>
      <c r="BY235" s="486"/>
      <c r="BZ235" s="486"/>
      <c r="CA235" s="486"/>
      <c r="CB235" s="486"/>
      <c r="CC235" s="486"/>
      <c r="CD235" s="486"/>
      <c r="CE235" s="486"/>
      <c r="CF235" s="486"/>
      <c r="CG235" s="486"/>
      <c r="CH235" s="486"/>
      <c r="CI235" s="486"/>
      <c r="CJ235" s="486"/>
      <c r="CK235" s="486"/>
      <c r="CL235" s="486"/>
      <c r="CM235" s="486"/>
      <c r="CN235" s="486"/>
      <c r="CO235" s="486"/>
      <c r="CP235" s="486"/>
      <c r="CQ235" s="486"/>
      <c r="CR235" s="486"/>
      <c r="CS235" s="486"/>
      <c r="CT235" s="486"/>
      <c r="CU235" s="486"/>
      <c r="CV235" s="486"/>
      <c r="CW235" s="486"/>
      <c r="CX235" s="486"/>
      <c r="CY235" s="486"/>
      <c r="CZ235" s="486"/>
      <c r="DA235" s="486"/>
      <c r="DB235" s="486"/>
      <c r="DC235" s="486"/>
      <c r="DD235" s="486"/>
      <c r="DE235" s="486"/>
      <c r="DF235" s="486"/>
      <c r="DG235" s="486"/>
      <c r="DH235" s="486"/>
      <c r="DI235" s="486"/>
      <c r="DJ235" s="486"/>
      <c r="DK235" s="486"/>
      <c r="DL235" s="486"/>
      <c r="DM235" s="486"/>
      <c r="DN235" s="486"/>
      <c r="DO235" s="486"/>
      <c r="DP235" s="486"/>
      <c r="DQ235" s="486"/>
      <c r="DR235" s="486"/>
      <c r="DS235" s="486"/>
    </row>
    <row r="236" spans="1:123" s="312" customFormat="1" hidden="1" outlineLevel="1">
      <c r="B236" s="480">
        <f>B235/B$5</f>
        <v>0.15988536654401347</v>
      </c>
      <c r="C236" s="480">
        <f t="shared" ref="C236:Q236" si="1032">C235/C$5</f>
        <v>0.13340461050775618</v>
      </c>
      <c r="D236" s="480">
        <f t="shared" si="1032"/>
        <v>0.14823197679505662</v>
      </c>
      <c r="E236" s="480">
        <f t="shared" si="1032"/>
        <v>0.15960924729508841</v>
      </c>
      <c r="F236" s="480">
        <f t="shared" si="1032"/>
        <v>0.14496250065558275</v>
      </c>
      <c r="G236" s="480">
        <f t="shared" si="1032"/>
        <v>0.15361586147271092</v>
      </c>
      <c r="H236" s="480">
        <f t="shared" si="1032"/>
        <v>0.16008774419750618</v>
      </c>
      <c r="I236" s="480">
        <f t="shared" si="1032"/>
        <v>0.13599356687818379</v>
      </c>
      <c r="J236" s="480">
        <f t="shared" si="1032"/>
        <v>0.14995519542295926</v>
      </c>
      <c r="K236" s="480">
        <f t="shared" si="1032"/>
        <v>0.14656162482745627</v>
      </c>
      <c r="L236" s="480">
        <f t="shared" si="1032"/>
        <v>0.10598935558831614</v>
      </c>
      <c r="M236" s="480">
        <f t="shared" si="1032"/>
        <v>0.12950987351981214</v>
      </c>
      <c r="N236" s="480">
        <f t="shared" si="1032"/>
        <v>0.15191755349823752</v>
      </c>
      <c r="O236" s="480">
        <f t="shared" si="1032"/>
        <v>9.7751001151665448E-2</v>
      </c>
      <c r="P236" s="480">
        <f t="shared" si="1032"/>
        <v>0.13017625429521446</v>
      </c>
      <c r="Q236" s="480">
        <f t="shared" si="1032"/>
        <v>0.13758693645657769</v>
      </c>
      <c r="R236" s="480">
        <f t="shared" ref="R236" si="1033">R235/R$5</f>
        <v>0.1050855873465236</v>
      </c>
      <c r="S236" s="480">
        <f t="shared" ref="S236" si="1034">S235/S$5</f>
        <v>0.12516567963902994</v>
      </c>
      <c r="T236" s="480">
        <f t="shared" ref="T236" si="1035">T235/T$5</f>
        <v>0.14795207641467253</v>
      </c>
      <c r="U236" s="480">
        <f t="shared" ref="U236" si="1036">U235/U$5</f>
        <v>0.10675644323568211</v>
      </c>
      <c r="V236" s="480">
        <f t="shared" ref="V236:X236" si="1037">V235/V$5</f>
        <v>0.1323725748264859</v>
      </c>
      <c r="W236" s="480">
        <f t="shared" si="1037"/>
        <v>0.1619406247516095</v>
      </c>
      <c r="X236" s="480">
        <f t="shared" si="1037"/>
        <v>0.11810632612916257</v>
      </c>
      <c r="Y236" s="480">
        <f t="shared" ref="Y236:AA236" si="1038">Y235/Y$5</f>
        <v>0.14406667220046104</v>
      </c>
      <c r="Z236" s="480">
        <f t="shared" si="1038"/>
        <v>0.1636190476190475</v>
      </c>
      <c r="AA236" s="480">
        <f t="shared" si="1038"/>
        <v>0.11685229975727307</v>
      </c>
      <c r="AB236" s="833">
        <f t="shared" ref="AB236:AD236" si="1039">AB235/AB$5</f>
        <v>0.14435522421666075</v>
      </c>
      <c r="AC236" s="480">
        <f t="shared" si="1039"/>
        <v>0.15398288886866296</v>
      </c>
      <c r="AD236" s="480">
        <f t="shared" si="1039"/>
        <v>0.11711544499230452</v>
      </c>
      <c r="AE236" s="480">
        <f t="shared" ref="AE236:AG236" si="1040">AE235/AE$5</f>
        <v>0.13901857186651018</v>
      </c>
      <c r="AF236" s="480">
        <f t="shared" si="1040"/>
        <v>0.1534258201601772</v>
      </c>
      <c r="AG236" s="480">
        <f t="shared" si="1040"/>
        <v>0.13233054686875198</v>
      </c>
      <c r="AH236" s="480">
        <f t="shared" ref="AH236:AJ236" si="1041">AH235/AH$5</f>
        <v>0.14403838819279108</v>
      </c>
      <c r="AI236" s="480">
        <f t="shared" si="1041"/>
        <v>0.16636854248638544</v>
      </c>
      <c r="AJ236" s="480">
        <f t="shared" si="1041"/>
        <v>0.12176675190768677</v>
      </c>
      <c r="AK236" s="480">
        <f t="shared" ref="AK236" si="1042">AK235/AK$5</f>
        <v>0.146679419624242</v>
      </c>
      <c r="AL236" s="480"/>
      <c r="AM236" s="480"/>
      <c r="AN236" s="480">
        <f t="shared" ref="AN236" si="1043">AN235/AN$5</f>
        <v>0.15071001924441055</v>
      </c>
      <c r="AO236" s="480"/>
      <c r="AP236" s="480"/>
      <c r="AQ236" s="480">
        <f t="shared" ref="AQ236" si="1044">AQ235/AQ$5</f>
        <v>0.15437008090882426</v>
      </c>
      <c r="AR236" s="480"/>
      <c r="AS236" s="480"/>
      <c r="AT236" s="480">
        <f t="shared" ref="AT236:AW236" si="1045">AT235/AT$5</f>
        <v>0.15820669968636847</v>
      </c>
      <c r="AU236" s="480"/>
      <c r="AV236" s="480"/>
      <c r="AW236" s="480">
        <f t="shared" si="1045"/>
        <v>0.1610386696999824</v>
      </c>
      <c r="AX236" s="480"/>
      <c r="AY236" s="480"/>
      <c r="AZ236" s="480">
        <f t="shared" ref="AZ236:BC236" si="1046">AZ235/AZ$5</f>
        <v>0.16386360588121748</v>
      </c>
      <c r="BA236" s="480"/>
      <c r="BB236" s="480"/>
      <c r="BC236" s="480">
        <f t="shared" si="1046"/>
        <v>0.16667981980580029</v>
      </c>
      <c r="BD236" s="480"/>
      <c r="BE236" s="480"/>
      <c r="BF236" s="480">
        <f t="shared" ref="BF236" si="1047">BF235/BF$5</f>
        <v>0.16948607988209158</v>
      </c>
      <c r="BG236" s="480"/>
      <c r="BH236" s="480"/>
      <c r="BI236" s="480">
        <f t="shared" ref="BI236" si="1048">BI235/BI$5</f>
        <v>0.17195847848467868</v>
      </c>
      <c r="BJ236" s="388"/>
    </row>
    <row r="237" spans="1:123" s="312" customFormat="1" hidden="1" outlineLevel="1">
      <c r="B237" s="480"/>
      <c r="C237" s="480"/>
      <c r="D237" s="480"/>
      <c r="E237" s="480">
        <f>E235/B235-1</f>
        <v>0.13437707457402226</v>
      </c>
      <c r="F237" s="480">
        <f t="shared" ref="F237:Q237" si="1049">F235/C235-1</f>
        <v>8.8158375748710993E-2</v>
      </c>
      <c r="G237" s="480">
        <f t="shared" si="1049"/>
        <v>0.11607212464778538</v>
      </c>
      <c r="H237" s="480">
        <f t="shared" si="1049"/>
        <v>0.14602942371779193</v>
      </c>
      <c r="I237" s="480">
        <f t="shared" si="1049"/>
        <v>0.12319102749638411</v>
      </c>
      <c r="J237" s="480">
        <f t="shared" si="1049"/>
        <v>0.13721048587480467</v>
      </c>
      <c r="K237" s="480">
        <f t="shared" si="1049"/>
        <v>0.14764957871145268</v>
      </c>
      <c r="L237" s="480">
        <f t="shared" si="1049"/>
        <v>-2.4043439247176113E-2</v>
      </c>
      <c r="M237" s="480">
        <f t="shared" si="1049"/>
        <v>8.2168461140213589E-2</v>
      </c>
      <c r="N237" s="480">
        <f t="shared" si="1049"/>
        <v>0.33495247629994873</v>
      </c>
      <c r="O237" s="480">
        <f t="shared" si="1049"/>
        <v>9.8543071337641175E-2</v>
      </c>
      <c r="P237" s="480">
        <f t="shared" si="1049"/>
        <v>0.25363875937563463</v>
      </c>
      <c r="Q237" s="480">
        <f t="shared" si="1049"/>
        <v>0.11929782328923277</v>
      </c>
      <c r="R237" s="480">
        <f t="shared" ref="R237" si="1050">R235/O235-1</f>
        <v>0.21719816301128603</v>
      </c>
      <c r="S237" s="480">
        <f t="shared" ref="S237" si="1051">S235/P235-1</f>
        <v>0.14831344393777646</v>
      </c>
      <c r="T237" s="480">
        <f t="shared" ref="T237" si="1052">T235/Q235-1</f>
        <v>8.6763392118583971E-2</v>
      </c>
      <c r="U237" s="480">
        <f t="shared" ref="U237" si="1053">U235/R235-1</f>
        <v>0.11144413688534693</v>
      </c>
      <c r="V237" s="480">
        <f t="shared" ref="V237" si="1054">V235/S235-1</f>
        <v>0.10243050666065812</v>
      </c>
      <c r="W237" s="480">
        <f t="shared" ref="W237" si="1055">W235/T235-1</f>
        <v>0.11653130970231595</v>
      </c>
      <c r="X237" s="480">
        <f t="shared" ref="X237" si="1056">X235/U235-1</f>
        <v>0.1695748730964477</v>
      </c>
      <c r="Y237" s="480">
        <f t="shared" ref="Y237" si="1057">Y235/T235-1</f>
        <v>0.67772356733469863</v>
      </c>
      <c r="Z237" s="480">
        <f t="shared" ref="Z237:AA237" si="1058">Z235/W235-1</f>
        <v>0.11261086228875605</v>
      </c>
      <c r="AA237" s="480">
        <f t="shared" si="1058"/>
        <v>0.10804285908042988</v>
      </c>
      <c r="AB237" s="833">
        <f t="shared" ref="AB237" si="1059">AB235/U235-1</f>
        <v>2.8849302030456858</v>
      </c>
      <c r="AC237" s="480">
        <f t="shared" ref="AC237" si="1060">AC235/Z235-1</f>
        <v>3.65847680901914E-2</v>
      </c>
      <c r="AD237" s="480">
        <f t="shared" ref="AD237" si="1061">AD235/AA235-1</f>
        <v>7.8891176447996259E-2</v>
      </c>
      <c r="AE237" s="480">
        <f t="shared" ref="AE237" si="1062">AE235/V235-1</f>
        <v>0.31496573447320464</v>
      </c>
      <c r="AF237" s="480">
        <f t="shared" ref="AF237" si="1063">AF235/AC235-1</f>
        <v>6.8078837230834743E-2</v>
      </c>
      <c r="AG237" s="480">
        <f t="shared" ref="AG237" si="1064">AG235/AD235-1</f>
        <v>0.28954305029316085</v>
      </c>
      <c r="AH237" s="480">
        <f t="shared" ref="AH237" si="1065">AH235/Y235-1</f>
        <v>0.33090939790493912</v>
      </c>
      <c r="AI237" s="480">
        <f t="shared" ref="AI237" si="1066">AI235/AF235-1</f>
        <v>0.16590662986907856</v>
      </c>
      <c r="AJ237" s="480">
        <f t="shared" ref="AJ237" si="1067">AJ235/AG235-1</f>
        <v>5.6699900167418438E-2</v>
      </c>
      <c r="AK237" s="480">
        <f t="shared" ref="AK237" si="1068">AK235/AB235-1</f>
        <v>0.34918741371144968</v>
      </c>
      <c r="AL237" s="480"/>
      <c r="AM237" s="480"/>
      <c r="AN237" s="480">
        <f t="shared" ref="AN237" si="1069">AN235/AE235-1</f>
        <v>0.46018351302616489</v>
      </c>
      <c r="AO237" s="480"/>
      <c r="AP237" s="480"/>
      <c r="AQ237" s="480">
        <f t="shared" ref="AQ237" si="1070">AQ235/AH235-1</f>
        <v>0.44979867477981239</v>
      </c>
      <c r="AR237" s="480"/>
      <c r="AS237" s="480"/>
      <c r="AT237" s="480">
        <f>AT235/AK235-1</f>
        <v>0.45653962854422203</v>
      </c>
      <c r="AU237" s="480"/>
      <c r="AV237" s="480"/>
      <c r="AW237" s="480">
        <f>AW235/AN235-1</f>
        <v>0.44040426168793179</v>
      </c>
      <c r="AX237" s="480"/>
      <c r="AY237" s="480"/>
      <c r="AZ237" s="480">
        <f>AZ235/AQ235-1</f>
        <v>0.43199121341862323</v>
      </c>
      <c r="BA237" s="480"/>
      <c r="BB237" s="480"/>
      <c r="BC237" s="480">
        <f>BC235/AT235-1</f>
        <v>0.42436096345786489</v>
      </c>
      <c r="BD237" s="480"/>
      <c r="BE237" s="480"/>
      <c r="BF237" s="480">
        <f>BF235/AW235-1</f>
        <v>0.42590685009349039</v>
      </c>
      <c r="BG237" s="480"/>
      <c r="BH237" s="480"/>
      <c r="BI237" s="480">
        <f t="shared" ref="BI237" si="1071">BI235/AZ235-1</f>
        <v>0.4247517869862163</v>
      </c>
      <c r="BJ237" s="388"/>
    </row>
    <row r="238" spans="1:123" s="312" customFormat="1" hidden="1" outlineLevel="1">
      <c r="B238" s="363"/>
      <c r="C238" s="363"/>
      <c r="D238" s="363"/>
      <c r="E238" s="363"/>
      <c r="F238" s="363"/>
      <c r="G238" s="363"/>
      <c r="H238" s="363"/>
      <c r="I238" s="363"/>
      <c r="J238" s="363"/>
      <c r="K238" s="363"/>
      <c r="L238" s="363"/>
      <c r="M238" s="363"/>
      <c r="N238" s="363"/>
      <c r="O238" s="363"/>
      <c r="P238" s="363"/>
      <c r="Q238" s="363"/>
      <c r="R238" s="363"/>
      <c r="S238" s="363"/>
      <c r="T238" s="363"/>
      <c r="U238" s="363"/>
      <c r="V238" s="363"/>
      <c r="W238" s="363"/>
      <c r="X238" s="363"/>
      <c r="Y238" s="363"/>
      <c r="Z238" s="363"/>
      <c r="AA238" s="363"/>
      <c r="AB238" s="851"/>
      <c r="AC238" s="363"/>
      <c r="AD238" s="363"/>
      <c r="AE238" s="363"/>
      <c r="AF238" s="363"/>
      <c r="AG238" s="363"/>
      <c r="AH238" s="363"/>
      <c r="AI238" s="363"/>
      <c r="AJ238" s="363"/>
      <c r="AK238" s="363"/>
      <c r="AL238" s="363"/>
      <c r="AM238" s="363"/>
      <c r="AN238" s="363"/>
      <c r="AO238" s="363"/>
      <c r="AP238" s="363"/>
      <c r="AQ238" s="363"/>
      <c r="AR238" s="363"/>
      <c r="AS238" s="363"/>
      <c r="AT238" s="363"/>
      <c r="AU238" s="363"/>
      <c r="AV238" s="363"/>
      <c r="AW238" s="363"/>
      <c r="AX238" s="363"/>
      <c r="AY238" s="363"/>
      <c r="AZ238" s="363"/>
      <c r="BA238" s="363"/>
      <c r="BB238" s="363"/>
      <c r="BC238" s="363"/>
      <c r="BD238" s="363"/>
      <c r="BE238" s="363"/>
      <c r="BF238" s="363"/>
      <c r="BG238" s="363"/>
      <c r="BH238" s="363"/>
      <c r="BI238" s="363"/>
      <c r="BJ238" s="388"/>
    </row>
    <row r="239" spans="1:123" s="481" customFormat="1" hidden="1" outlineLevel="1">
      <c r="A239" s="481" t="s">
        <v>1639</v>
      </c>
      <c r="B239" s="482">
        <f>B36+B246</f>
        <v>-5.0860000000000003</v>
      </c>
      <c r="C239" s="482">
        <f>D239-B239</f>
        <v>-5.6829999999999998</v>
      </c>
      <c r="D239" s="482">
        <f t="shared" ref="D239:BF239" si="1072">D36+D246</f>
        <v>-10.769</v>
      </c>
      <c r="E239" s="482">
        <f t="shared" si="1072"/>
        <v>-6.3159999999999998</v>
      </c>
      <c r="F239" s="482">
        <f t="shared" si="1072"/>
        <v>-6.9859999999999998</v>
      </c>
      <c r="G239" s="482">
        <f t="shared" si="1072"/>
        <v>-13.302</v>
      </c>
      <c r="H239" s="482">
        <f t="shared" si="1072"/>
        <v>-8.16</v>
      </c>
      <c r="I239" s="482">
        <f t="shared" si="1072"/>
        <v>-8.4559999999999995</v>
      </c>
      <c r="J239" s="482">
        <f t="shared" si="1072"/>
        <v>-16.616</v>
      </c>
      <c r="K239" s="482">
        <f t="shared" si="1072"/>
        <v>-9.0370000000000008</v>
      </c>
      <c r="L239" s="482">
        <f t="shared" si="1072"/>
        <v>-6.9240000000000013</v>
      </c>
      <c r="M239" s="482">
        <f t="shared" si="1072"/>
        <v>-15.961000000000002</v>
      </c>
      <c r="N239" s="482">
        <f t="shared" si="1072"/>
        <v>-14.637895694220585</v>
      </c>
      <c r="O239" s="482">
        <f t="shared" si="1072"/>
        <v>-6.144104305779412</v>
      </c>
      <c r="P239" s="482">
        <f t="shared" si="1072"/>
        <v>-20.781999999999996</v>
      </c>
      <c r="Q239" s="482">
        <f t="shared" si="1072"/>
        <v>-9.672258577020493</v>
      </c>
      <c r="R239" s="482">
        <f t="shared" si="1072"/>
        <v>-14.317294811952646</v>
      </c>
      <c r="S239" s="482">
        <f t="shared" si="1072"/>
        <v>-23.985942022316806</v>
      </c>
      <c r="T239" s="482">
        <f t="shared" si="1072"/>
        <v>-13.216722081510476</v>
      </c>
      <c r="U239" s="482">
        <f t="shared" si="1072"/>
        <v>-16.36538997326528</v>
      </c>
      <c r="V239" s="482">
        <f t="shared" si="1072"/>
        <v>-30.429576440814444</v>
      </c>
      <c r="W239" s="482">
        <f t="shared" si="1072"/>
        <v>-19.195933456136309</v>
      </c>
      <c r="X239" s="482">
        <f t="shared" si="1072"/>
        <v>-23.040013776914243</v>
      </c>
      <c r="Y239" s="482">
        <f t="shared" si="1072"/>
        <v>-41.735103154501488</v>
      </c>
      <c r="Z239" s="482">
        <f t="shared" si="1072"/>
        <v>-22.45165553764679</v>
      </c>
      <c r="AA239" s="482">
        <f t="shared" ref="AA239" si="1073">AA36+AA246</f>
        <v>-25.955471499777467</v>
      </c>
      <c r="AB239" s="853">
        <f t="shared" si="1072"/>
        <v>-48.981358963396787</v>
      </c>
      <c r="AC239" s="482">
        <f t="shared" si="1072"/>
        <v>-27.161682017038913</v>
      </c>
      <c r="AD239" s="482">
        <f t="shared" si="1072"/>
        <v>-31.73892212774204</v>
      </c>
      <c r="AE239" s="482">
        <f t="shared" si="1072"/>
        <v>-57.787217960955516</v>
      </c>
      <c r="AF239" s="482">
        <f t="shared" ref="AF239:AG239" si="1074">AF36+AF246</f>
        <v>-28.996989744836441</v>
      </c>
      <c r="AG239" s="482">
        <f t="shared" si="1074"/>
        <v>-33.171080185353944</v>
      </c>
      <c r="AH239" s="482">
        <f t="shared" si="1072"/>
        <v>-61.764783476970948</v>
      </c>
      <c r="AI239" s="482">
        <f t="shared" si="1072"/>
        <v>-31.643358700235957</v>
      </c>
      <c r="AJ239" s="482">
        <f t="shared" si="1072"/>
        <v>-36.209434810157603</v>
      </c>
      <c r="AK239" s="482">
        <f t="shared" si="1072"/>
        <v>-68.523021951993286</v>
      </c>
      <c r="AL239" s="482"/>
      <c r="AM239" s="482"/>
      <c r="AN239" s="482">
        <f t="shared" si="1072"/>
        <v>-74.14152965046631</v>
      </c>
      <c r="AO239" s="482"/>
      <c r="AP239" s="482"/>
      <c r="AQ239" s="482">
        <f t="shared" si="1072"/>
        <v>-79.950347739737751</v>
      </c>
      <c r="AR239" s="482"/>
      <c r="AS239" s="482"/>
      <c r="AT239" s="482">
        <f t="shared" si="1072"/>
        <v>-88.268271384406034</v>
      </c>
      <c r="AU239" s="482"/>
      <c r="AV239" s="482"/>
      <c r="AW239" s="482">
        <f t="shared" si="1072"/>
        <v>-96.740517605318985</v>
      </c>
      <c r="AX239" s="482"/>
      <c r="AY239" s="482"/>
      <c r="AZ239" s="482">
        <f t="shared" si="1072"/>
        <v>-106.13185468712854</v>
      </c>
      <c r="BA239" s="482"/>
      <c r="BB239" s="482"/>
      <c r="BC239" s="482">
        <f t="shared" si="1072"/>
        <v>-119.49546791007454</v>
      </c>
      <c r="BD239" s="482"/>
      <c r="BE239" s="482"/>
      <c r="BF239" s="482">
        <f t="shared" si="1072"/>
        <v>-131.2634174491499</v>
      </c>
      <c r="BG239" s="482"/>
      <c r="BH239" s="482"/>
      <c r="BI239" s="482">
        <f t="shared" ref="BI239" si="1075">BI36+BI246</f>
        <v>-144.32320576431295</v>
      </c>
      <c r="BJ239" s="337"/>
      <c r="BK239" s="483"/>
      <c r="BL239" s="483"/>
      <c r="BM239" s="483"/>
      <c r="BN239" s="483"/>
      <c r="BO239" s="483"/>
      <c r="BP239" s="483"/>
      <c r="BQ239" s="483"/>
      <c r="BR239" s="483"/>
      <c r="BS239" s="483"/>
      <c r="BT239" s="483"/>
      <c r="BU239" s="483"/>
      <c r="BV239" s="483"/>
      <c r="BW239" s="483"/>
      <c r="BX239" s="483"/>
      <c r="BY239" s="483"/>
      <c r="BZ239" s="483"/>
      <c r="CA239" s="483"/>
      <c r="CB239" s="483"/>
      <c r="CC239" s="483"/>
      <c r="CD239" s="483"/>
      <c r="CE239" s="483"/>
      <c r="CF239" s="483"/>
      <c r="CG239" s="483"/>
      <c r="CH239" s="483"/>
      <c r="CI239" s="483"/>
      <c r="CJ239" s="483"/>
      <c r="CK239" s="483"/>
      <c r="CL239" s="483"/>
      <c r="CM239" s="483"/>
      <c r="CN239" s="483"/>
      <c r="CO239" s="483"/>
      <c r="CP239" s="483"/>
      <c r="CQ239" s="483"/>
      <c r="CR239" s="483"/>
      <c r="CS239" s="483"/>
      <c r="CT239" s="483"/>
      <c r="CU239" s="483"/>
      <c r="CV239" s="483"/>
      <c r="CW239" s="483"/>
      <c r="CX239" s="483"/>
      <c r="CY239" s="483"/>
      <c r="CZ239" s="483"/>
      <c r="DA239" s="483"/>
      <c r="DB239" s="483"/>
      <c r="DC239" s="483"/>
      <c r="DD239" s="483"/>
      <c r="DE239" s="483"/>
      <c r="DF239" s="483"/>
      <c r="DG239" s="483"/>
      <c r="DH239" s="483"/>
      <c r="DI239" s="483"/>
      <c r="DJ239" s="483"/>
      <c r="DK239" s="483"/>
      <c r="DL239" s="483"/>
      <c r="DM239" s="483"/>
      <c r="DN239" s="483"/>
      <c r="DO239" s="483"/>
      <c r="DP239" s="483"/>
      <c r="DQ239" s="483"/>
      <c r="DR239" s="483"/>
      <c r="DS239" s="483"/>
    </row>
    <row r="240" spans="1:123" s="312" customFormat="1" hidden="1" outlineLevel="1">
      <c r="B240" s="363"/>
      <c r="C240" s="363"/>
      <c r="D240" s="363"/>
      <c r="E240" s="363"/>
      <c r="F240" s="363"/>
      <c r="G240" s="363"/>
      <c r="H240" s="363"/>
      <c r="I240" s="363"/>
      <c r="J240" s="363"/>
      <c r="K240" s="363"/>
      <c r="L240" s="363"/>
      <c r="M240" s="363"/>
      <c r="N240" s="363"/>
      <c r="O240" s="363"/>
      <c r="P240" s="363"/>
      <c r="Q240" s="363"/>
      <c r="R240" s="363"/>
      <c r="S240" s="363"/>
      <c r="T240" s="363"/>
      <c r="U240" s="363"/>
      <c r="V240" s="363"/>
      <c r="W240" s="363"/>
      <c r="X240" s="363"/>
      <c r="Y240" s="363"/>
      <c r="Z240" s="363"/>
      <c r="AA240" s="363"/>
      <c r="AB240" s="851"/>
      <c r="AC240" s="363"/>
      <c r="AD240" s="363"/>
      <c r="AE240" s="363"/>
      <c r="AF240" s="363"/>
      <c r="AG240" s="363"/>
      <c r="AH240" s="363"/>
      <c r="AI240" s="363"/>
      <c r="AJ240" s="363"/>
      <c r="AK240" s="363"/>
      <c r="AL240" s="363"/>
      <c r="AM240" s="363"/>
      <c r="AN240" s="363"/>
      <c r="AO240" s="363"/>
      <c r="AP240" s="363"/>
      <c r="AQ240" s="363"/>
      <c r="AR240" s="363"/>
      <c r="AS240" s="363"/>
      <c r="AT240" s="363"/>
      <c r="AU240" s="363"/>
      <c r="AV240" s="363"/>
      <c r="AW240" s="363"/>
      <c r="AX240" s="363"/>
      <c r="AY240" s="363"/>
      <c r="AZ240" s="363"/>
      <c r="BA240" s="363"/>
      <c r="BB240" s="363"/>
      <c r="BC240" s="363"/>
      <c r="BD240" s="363"/>
      <c r="BE240" s="363"/>
      <c r="BF240" s="363"/>
      <c r="BG240" s="363"/>
      <c r="BH240" s="363"/>
      <c r="BI240" s="363"/>
      <c r="BJ240" s="388"/>
    </row>
    <row r="241" spans="1:123" s="484" customFormat="1" hidden="1" outlineLevel="1">
      <c r="A241" s="484" t="s">
        <v>1107</v>
      </c>
      <c r="B241" s="485">
        <f>B235+B239</f>
        <v>49.141999999999953</v>
      </c>
      <c r="C241" s="485">
        <f t="shared" ref="C241:Q241" si="1076">C235+C239</f>
        <v>29.878000000000036</v>
      </c>
      <c r="D241" s="485">
        <f t="shared" si="1076"/>
        <v>79.020000000000039</v>
      </c>
      <c r="E241" s="485">
        <f t="shared" si="1076"/>
        <v>55.199000000000026</v>
      </c>
      <c r="F241" s="485">
        <f t="shared" si="1076"/>
        <v>31.709999999999948</v>
      </c>
      <c r="G241" s="485">
        <f t="shared" si="1076"/>
        <v>86.909000000000049</v>
      </c>
      <c r="H241" s="485">
        <f t="shared" si="1076"/>
        <v>62.338000000000008</v>
      </c>
      <c r="I241" s="485">
        <f t="shared" si="1076"/>
        <v>35.007000000000019</v>
      </c>
      <c r="J241" s="485">
        <f t="shared" si="1076"/>
        <v>97.345000000000098</v>
      </c>
      <c r="K241" s="485">
        <f t="shared" si="1076"/>
        <v>71.86999999999999</v>
      </c>
      <c r="L241" s="485">
        <f t="shared" si="1076"/>
        <v>35.494000000000007</v>
      </c>
      <c r="M241" s="485">
        <f t="shared" si="1076"/>
        <v>107.36399999999999</v>
      </c>
      <c r="N241" s="485">
        <f t="shared" si="1076"/>
        <v>93.369104305779359</v>
      </c>
      <c r="O241" s="485">
        <f t="shared" si="1076"/>
        <v>40.453895694220655</v>
      </c>
      <c r="P241" s="485">
        <f t="shared" si="1076"/>
        <v>133.82300000000015</v>
      </c>
      <c r="Q241" s="485">
        <f t="shared" si="1076"/>
        <v>111.21974142297961</v>
      </c>
      <c r="R241" s="485">
        <f t="shared" ref="R241:AT241" si="1077">R235+R239</f>
        <v>42.401705188047345</v>
      </c>
      <c r="S241" s="485">
        <f t="shared" si="1077"/>
        <v>153.54905797768328</v>
      </c>
      <c r="T241" s="485">
        <f t="shared" si="1077"/>
        <v>118.16427791848949</v>
      </c>
      <c r="U241" s="485">
        <f t="shared" si="1077"/>
        <v>46.674610026734712</v>
      </c>
      <c r="V241" s="485">
        <f t="shared" si="1077"/>
        <v>165.29042355918557</v>
      </c>
      <c r="W241" s="485">
        <f t="shared" ref="W241:X241" si="1078">W235+W239</f>
        <v>127.49506654386363</v>
      </c>
      <c r="X241" s="485">
        <f t="shared" si="1078"/>
        <v>50.689986223085803</v>
      </c>
      <c r="Y241" s="485">
        <f t="shared" si="1077"/>
        <v>178.68589684549852</v>
      </c>
      <c r="Z241" s="485">
        <f t="shared" si="1077"/>
        <v>140.75834446235308</v>
      </c>
      <c r="AA241" s="485">
        <f t="shared" si="1077"/>
        <v>55.740528500222673</v>
      </c>
      <c r="AB241" s="854">
        <f t="shared" si="1077"/>
        <v>195.92464103660322</v>
      </c>
      <c r="AC241" s="485">
        <f t="shared" ref="AC241:AD241" si="1079">AC235+AC239</f>
        <v>142.0193179829611</v>
      </c>
      <c r="AD241" s="485">
        <f t="shared" si="1079"/>
        <v>56.402171423353607</v>
      </c>
      <c r="AE241" s="485">
        <f t="shared" si="1077"/>
        <v>199.57787559014014</v>
      </c>
      <c r="AF241" s="485">
        <f t="shared" si="1077"/>
        <v>151.70165601671343</v>
      </c>
      <c r="AG241" s="485">
        <f t="shared" si="1077"/>
        <v>80.490654448700795</v>
      </c>
      <c r="AH241" s="485">
        <f t="shared" si="1077"/>
        <v>231.59559691863365</v>
      </c>
      <c r="AI241" s="485">
        <f t="shared" ref="AI241:AJ241" si="1080">AI235+AI239</f>
        <v>179.03439040151912</v>
      </c>
      <c r="AJ241" s="485">
        <f t="shared" si="1080"/>
        <v>83.896908830503634</v>
      </c>
      <c r="AK241" s="485">
        <f t="shared" si="1077"/>
        <v>261.90107079042298</v>
      </c>
      <c r="AL241" s="485"/>
      <c r="AM241" s="485"/>
      <c r="AN241" s="485">
        <f t="shared" si="1077"/>
        <v>301.65873678128014</v>
      </c>
      <c r="AO241" s="485"/>
      <c r="AP241" s="485"/>
      <c r="AQ241" s="485">
        <f t="shared" si="1077"/>
        <v>345.36314299071142</v>
      </c>
      <c r="AR241" s="485"/>
      <c r="AS241" s="485"/>
      <c r="AT241" s="485">
        <f t="shared" si="1077"/>
        <v>393.00751392069458</v>
      </c>
      <c r="AU241" s="485"/>
      <c r="AV241" s="485"/>
      <c r="AW241" s="485">
        <f t="shared" ref="AW241" si="1081">AW235+AW239</f>
        <v>444.56378770642874</v>
      </c>
      <c r="AX241" s="485"/>
      <c r="AY241" s="485"/>
      <c r="AZ241" s="485">
        <f t="shared" ref="AZ241:BC241" si="1082">AZ235+AZ239</f>
        <v>502.91332698727774</v>
      </c>
      <c r="BA241" s="485"/>
      <c r="BB241" s="485"/>
      <c r="BC241" s="485">
        <f t="shared" si="1082"/>
        <v>566.01497333603902</v>
      </c>
      <c r="BD241" s="485"/>
      <c r="BE241" s="485"/>
      <c r="BF241" s="485">
        <f t="shared" ref="BF241" si="1083">BF235+BF239</f>
        <v>640.58609947996933</v>
      </c>
      <c r="BG241" s="485"/>
      <c r="BH241" s="485"/>
      <c r="BI241" s="485">
        <f t="shared" ref="BI241" si="1084">BI235+BI239</f>
        <v>723.4150051816423</v>
      </c>
      <c r="BJ241" s="347"/>
      <c r="BK241" s="486"/>
      <c r="BL241" s="486"/>
      <c r="BM241" s="486"/>
      <c r="BN241" s="486"/>
      <c r="BO241" s="486"/>
      <c r="BP241" s="486"/>
      <c r="BQ241" s="486"/>
      <c r="BR241" s="486"/>
      <c r="BS241" s="486"/>
      <c r="BT241" s="486"/>
      <c r="BU241" s="486"/>
      <c r="BV241" s="486"/>
      <c r="BW241" s="486"/>
      <c r="BX241" s="486"/>
      <c r="BY241" s="486"/>
      <c r="BZ241" s="486"/>
      <c r="CA241" s="486"/>
      <c r="CB241" s="486"/>
      <c r="CC241" s="486"/>
      <c r="CD241" s="486"/>
      <c r="CE241" s="486"/>
      <c r="CF241" s="486"/>
      <c r="CG241" s="486"/>
      <c r="CH241" s="486"/>
      <c r="CI241" s="486"/>
      <c r="CJ241" s="486"/>
      <c r="CK241" s="486"/>
      <c r="CL241" s="486"/>
      <c r="CM241" s="486"/>
      <c r="CN241" s="486"/>
      <c r="CO241" s="486"/>
      <c r="CP241" s="486"/>
      <c r="CQ241" s="486"/>
      <c r="CR241" s="486"/>
      <c r="CS241" s="486"/>
      <c r="CT241" s="486"/>
      <c r="CU241" s="486"/>
      <c r="CV241" s="486"/>
      <c r="CW241" s="486"/>
      <c r="CX241" s="486"/>
      <c r="CY241" s="486"/>
      <c r="CZ241" s="486"/>
      <c r="DA241" s="486"/>
      <c r="DB241" s="486"/>
      <c r="DC241" s="486"/>
      <c r="DD241" s="486"/>
      <c r="DE241" s="486"/>
      <c r="DF241" s="486"/>
      <c r="DG241" s="486"/>
      <c r="DH241" s="486"/>
      <c r="DI241" s="486"/>
      <c r="DJ241" s="486"/>
      <c r="DK241" s="486"/>
      <c r="DL241" s="486"/>
      <c r="DM241" s="486"/>
      <c r="DN241" s="486"/>
      <c r="DO241" s="486"/>
      <c r="DP241" s="486"/>
      <c r="DQ241" s="486"/>
      <c r="DR241" s="486"/>
      <c r="DS241" s="486"/>
    </row>
    <row r="242" spans="1:123" s="479" customFormat="1" hidden="1" outlineLevel="1">
      <c r="B242" s="480">
        <f>B241/B$5</f>
        <v>0.14488984809887714</v>
      </c>
      <c r="C242" s="480">
        <f t="shared" ref="C242" si="1085">C241/C$5</f>
        <v>0.11208523249488879</v>
      </c>
      <c r="D242" s="480">
        <f t="shared" ref="D242" si="1086">D241/D$5</f>
        <v>0.13045351664842436</v>
      </c>
      <c r="E242" s="480">
        <f t="shared" ref="E242" si="1087">E241/E$5</f>
        <v>0.14322150437196757</v>
      </c>
      <c r="F242" s="480">
        <f t="shared" ref="F242" si="1088">F241/F$5</f>
        <v>0.1187916295169663</v>
      </c>
      <c r="G242" s="480">
        <f t="shared" ref="G242" si="1089">G241/G$5</f>
        <v>0.13322490449882585</v>
      </c>
      <c r="H242" s="480">
        <f t="shared" ref="H242" si="1090">H241/H$5</f>
        <v>0.14155791366824791</v>
      </c>
      <c r="I242" s="480">
        <f t="shared" ref="I242" si="1091">I241/I$5</f>
        <v>0.10953516314346869</v>
      </c>
      <c r="J242" s="480">
        <f t="shared" ref="J242" si="1092">J241/J$5</f>
        <v>0.12809108816567047</v>
      </c>
      <c r="K242" s="480">
        <f t="shared" ref="K242" si="1093">K241/K$5</f>
        <v>0.13019125633566048</v>
      </c>
      <c r="L242" s="480">
        <f t="shared" ref="L242" si="1094">L241/L$5</f>
        <v>8.8688438569750894E-2</v>
      </c>
      <c r="M242" s="480">
        <f t="shared" ref="M242" si="1095">M241/M$5</f>
        <v>0.11274841322182129</v>
      </c>
      <c r="N242" s="480">
        <f t="shared" ref="N242" si="1096">N241/N$5</f>
        <v>0.13132857961480054</v>
      </c>
      <c r="O242" s="480">
        <f t="shared" ref="O242" si="1097">O241/O$5</f>
        <v>8.4862200193036419E-2</v>
      </c>
      <c r="P242" s="480">
        <f t="shared" ref="P242" si="1098">P241/P$5</f>
        <v>0.11267796564502112</v>
      </c>
      <c r="Q242" s="480">
        <f t="shared" ref="Q242" si="1099">Q241/Q$5</f>
        <v>0.12657895887139334</v>
      </c>
      <c r="R242" s="480">
        <f t="shared" ref="R242" si="1100">R241/R$5</f>
        <v>7.8559355668825132E-2</v>
      </c>
      <c r="S242" s="480">
        <f t="shared" ref="S242" si="1101">S241/S$5</f>
        <v>0.10825511701754319</v>
      </c>
      <c r="T242" s="480">
        <f t="shared" ref="T242" si="1102">T241/T$5</f>
        <v>0.13306833009400876</v>
      </c>
      <c r="U242" s="480">
        <f t="shared" ref="U242" si="1103">U241/U$5</f>
        <v>7.9042121761844913E-2</v>
      </c>
      <c r="V242" s="480">
        <f t="shared" ref="V242:X242" si="1104">V241/V$5</f>
        <v>0.11179194237017083</v>
      </c>
      <c r="W242" s="480">
        <f t="shared" si="1104"/>
        <v>0.14074913068191852</v>
      </c>
      <c r="X242" s="480">
        <f t="shared" si="1104"/>
        <v>8.1199078317462703E-2</v>
      </c>
      <c r="Y242" s="480">
        <f t="shared" ref="Y242:AA242" si="1105">Y241/Y$5</f>
        <v>0.11678870220027054</v>
      </c>
      <c r="Z242" s="480">
        <f t="shared" si="1105"/>
        <v>0.14111112226802316</v>
      </c>
      <c r="AA242" s="480">
        <f t="shared" si="1105"/>
        <v>7.9727391119967086E-2</v>
      </c>
      <c r="AB242" s="833">
        <f t="shared" ref="AB242:AD242" si="1106">AB241/AB$5</f>
        <v>0.11548408567535148</v>
      </c>
      <c r="AC242" s="480">
        <f t="shared" si="1106"/>
        <v>0.12926123417034777</v>
      </c>
      <c r="AD242" s="480">
        <f t="shared" si="1106"/>
        <v>7.4943084305495178E-2</v>
      </c>
      <c r="AE242" s="480">
        <f t="shared" ref="AE242:AG242" si="1107">AE241/AE$5</f>
        <v>0.10780417366578501</v>
      </c>
      <c r="AF242" s="480">
        <f t="shared" si="1107"/>
        <v>0.12880534270707811</v>
      </c>
      <c r="AG242" s="480">
        <f t="shared" si="1107"/>
        <v>9.3711154024821747E-2</v>
      </c>
      <c r="AH242" s="480">
        <f t="shared" ref="AH242:AJ242" si="1108">AH241/AH$5</f>
        <v>0.1137122076529975</v>
      </c>
      <c r="AI242" s="480">
        <f t="shared" si="1108"/>
        <v>0.14138033424523197</v>
      </c>
      <c r="AJ242" s="480">
        <f t="shared" si="1108"/>
        <v>8.5056740332966382E-2</v>
      </c>
      <c r="AK242" s="480">
        <f t="shared" ref="AK242" si="1109">AK241/AK$5</f>
        <v>0.1162611864760532</v>
      </c>
      <c r="AL242" s="480"/>
      <c r="AM242" s="480"/>
      <c r="AN242" s="480">
        <f t="shared" ref="AN242" si="1110">AN241/AN$5</f>
        <v>0.12097648162207567</v>
      </c>
      <c r="AO242" s="480"/>
      <c r="AP242" s="480"/>
      <c r="AQ242" s="480">
        <f t="shared" ref="AQ242" si="1111">AQ241/AQ$5</f>
        <v>0.12535162295190536</v>
      </c>
      <c r="AR242" s="480"/>
      <c r="AS242" s="480"/>
      <c r="AT242" s="480">
        <f t="shared" ref="AT242:AW242" si="1112">AT241/AT$5</f>
        <v>0.12919083741128051</v>
      </c>
      <c r="AU242" s="480"/>
      <c r="AV242" s="480"/>
      <c r="AW242" s="480">
        <f t="shared" si="1112"/>
        <v>0.13225825153523851</v>
      </c>
      <c r="AX242" s="480"/>
      <c r="AY242" s="480"/>
      <c r="AZ242" s="480">
        <f t="shared" ref="AZ242:BC242" si="1113">AZ241/AZ$5</f>
        <v>0.13530883042091094</v>
      </c>
      <c r="BA242" s="480"/>
      <c r="BB242" s="480"/>
      <c r="BC242" s="480">
        <f t="shared" si="1113"/>
        <v>0.13762485308252875</v>
      </c>
      <c r="BD242" s="480"/>
      <c r="BE242" s="480"/>
      <c r="BF242" s="480">
        <f t="shared" ref="BF242" si="1114">BF241/BF$5</f>
        <v>0.14066268676280047</v>
      </c>
      <c r="BG242" s="480"/>
      <c r="BH242" s="480"/>
      <c r="BI242" s="480">
        <f t="shared" ref="BI242" si="1115">BI241/BI$5</f>
        <v>0.14335814884584924</v>
      </c>
      <c r="BJ242" s="341"/>
      <c r="BK242" s="390"/>
      <c r="BL242" s="390"/>
      <c r="BM242" s="390"/>
      <c r="BN242" s="390"/>
      <c r="BO242" s="390"/>
      <c r="BP242" s="390"/>
      <c r="BQ242" s="390"/>
      <c r="BR242" s="390"/>
      <c r="BS242" s="390"/>
      <c r="BT242" s="390"/>
      <c r="BU242" s="390"/>
      <c r="BV242" s="390"/>
      <c r="BW242" s="390"/>
      <c r="BX242" s="390"/>
      <c r="BY242" s="390"/>
      <c r="BZ242" s="390"/>
      <c r="CA242" s="390"/>
      <c r="CB242" s="390"/>
      <c r="CC242" s="390"/>
      <c r="CD242" s="390"/>
      <c r="CE242" s="390"/>
      <c r="CF242" s="390"/>
      <c r="CG242" s="390"/>
      <c r="CH242" s="390"/>
      <c r="CI242" s="390"/>
      <c r="CJ242" s="390"/>
      <c r="CK242" s="390"/>
      <c r="CL242" s="390"/>
      <c r="CM242" s="390"/>
      <c r="CN242" s="390"/>
      <c r="CO242" s="390"/>
      <c r="CP242" s="390"/>
      <c r="CQ242" s="390"/>
      <c r="CR242" s="390"/>
      <c r="CS242" s="390"/>
      <c r="CT242" s="390"/>
      <c r="CU242" s="390"/>
      <c r="CV242" s="390"/>
      <c r="CW242" s="390"/>
      <c r="CX242" s="390"/>
      <c r="CY242" s="390"/>
      <c r="CZ242" s="390"/>
      <c r="DA242" s="390"/>
      <c r="DB242" s="390"/>
      <c r="DC242" s="390"/>
      <c r="DD242" s="390"/>
      <c r="DE242" s="390"/>
      <c r="DF242" s="390"/>
      <c r="DG242" s="390"/>
      <c r="DH242" s="390"/>
      <c r="DI242" s="390"/>
      <c r="DJ242" s="390"/>
      <c r="DK242" s="390"/>
      <c r="DL242" s="390"/>
      <c r="DM242" s="390"/>
      <c r="DN242" s="390"/>
      <c r="DO242" s="390"/>
      <c r="DP242" s="390"/>
      <c r="DQ242" s="390"/>
      <c r="DR242" s="390"/>
      <c r="DS242" s="390"/>
    </row>
    <row r="243" spans="1:123" s="479" customFormat="1" hidden="1" outlineLevel="1">
      <c r="B243" s="480"/>
      <c r="C243" s="480"/>
      <c r="D243" s="480"/>
      <c r="E243" s="480">
        <f>E241/B241-1</f>
        <v>0.12325505677424764</v>
      </c>
      <c r="F243" s="480">
        <f t="shared" ref="F243" si="1116">F241/C241-1</f>
        <v>6.131601847512913E-2</v>
      </c>
      <c r="G243" s="480">
        <f t="shared" ref="G243" si="1117">G241/D241-1</f>
        <v>9.9835484687420983E-2</v>
      </c>
      <c r="H243" s="480">
        <f t="shared" ref="H243" si="1118">H241/E241-1</f>
        <v>0.12933205311690399</v>
      </c>
      <c r="I243" s="480">
        <f t="shared" ref="I243" si="1119">I241/F241-1</f>
        <v>0.1039735099337773</v>
      </c>
      <c r="J243" s="480">
        <f t="shared" ref="J243" si="1120">J241/G241-1</f>
        <v>0.12007962351425094</v>
      </c>
      <c r="K243" s="480">
        <f t="shared" ref="K243" si="1121">K241/H241-1</f>
        <v>0.15290833841316664</v>
      </c>
      <c r="L243" s="480">
        <f t="shared" ref="L243" si="1122">L241/I241-1</f>
        <v>1.3911503413602588E-2</v>
      </c>
      <c r="M243" s="480">
        <f t="shared" ref="M243" si="1123">M241/J241-1</f>
        <v>0.10292259489444633</v>
      </c>
      <c r="N243" s="480">
        <f t="shared" ref="N243" si="1124">N241/K241-1</f>
        <v>0.29913878260441584</v>
      </c>
      <c r="O243" s="480">
        <f t="shared" ref="O243" si="1125">O241/L241-1</f>
        <v>0.13973898952557184</v>
      </c>
      <c r="P243" s="480">
        <f t="shared" ref="P243" si="1126">P241/M241-1</f>
        <v>0.24644201035729063</v>
      </c>
      <c r="Q243" s="480">
        <f t="shared" ref="Q243" si="1127">Q241/N241-1</f>
        <v>0.19118355316701185</v>
      </c>
      <c r="R243" s="480">
        <f t="shared" ref="R243" si="1128">R241/O241-1</f>
        <v>4.8148873190103192E-2</v>
      </c>
      <c r="S243" s="480">
        <f t="shared" ref="S243" si="1129">S241/P241-1</f>
        <v>0.14740409329997917</v>
      </c>
      <c r="T243" s="480">
        <f t="shared" ref="T243" si="1130">T241/Q241-1</f>
        <v>6.2439782781899433E-2</v>
      </c>
      <c r="U243" s="480">
        <f t="shared" ref="U243" si="1131">U241/R241-1</f>
        <v>0.10077200479880366</v>
      </c>
      <c r="V243" s="480">
        <f t="shared" ref="V243" si="1132">V241/S241-1</f>
        <v>7.6466542589983089E-2</v>
      </c>
      <c r="W243" s="480">
        <f t="shared" ref="W243" si="1133">W241/T241-1</f>
        <v>7.8964546559583626E-2</v>
      </c>
      <c r="X243" s="480">
        <f t="shared" ref="X243" si="1134">X241/U241-1</f>
        <v>8.6029132199521907E-2</v>
      </c>
      <c r="Y243" s="480">
        <f t="shared" ref="Y243" si="1135">Y241/T241-1</f>
        <v>0.51218202313864469</v>
      </c>
      <c r="Z243" s="480">
        <f t="shared" ref="Z243:AA243" si="1136">Z241/W241-1</f>
        <v>0.10402973446761821</v>
      </c>
      <c r="AA243" s="480">
        <f t="shared" si="1136"/>
        <v>9.9635897609234192E-2</v>
      </c>
      <c r="AB243" s="833">
        <f t="shared" ref="AB243" si="1137">AB241/U241-1</f>
        <v>3.1976706591523678</v>
      </c>
      <c r="AC243" s="480">
        <f t="shared" ref="AC243" si="1138">AC241/Z241-1</f>
        <v>8.9584281871493143E-3</v>
      </c>
      <c r="AD243" s="480">
        <f t="shared" ref="AD243" si="1139">AD241/AA241-1</f>
        <v>1.1870051126771974E-2</v>
      </c>
      <c r="AE243" s="480">
        <f t="shared" ref="AE243" si="1140">AE241/V241-1</f>
        <v>0.20743761975222519</v>
      </c>
      <c r="AF243" s="480">
        <f t="shared" ref="AF243" si="1141">AF241/AC241-1</f>
        <v>6.8176204274646546E-2</v>
      </c>
      <c r="AG243" s="480">
        <f t="shared" ref="AG243" si="1142">AG241/AD241-1</f>
        <v>0.42708431993760487</v>
      </c>
      <c r="AH243" s="480">
        <f t="shared" ref="AH243" si="1143">AH241/Y241-1</f>
        <v>0.29610451080469824</v>
      </c>
      <c r="AI243" s="480">
        <f t="shared" ref="AI243" si="1144">AI241/AF241-1</f>
        <v>0.18017426508379297</v>
      </c>
      <c r="AJ243" s="480">
        <f t="shared" ref="AJ243" si="1145">AJ241/AG241-1</f>
        <v>4.2318631959611608E-2</v>
      </c>
      <c r="AK243" s="480">
        <f t="shared" ref="AK243" si="1146">AK241/AB241-1</f>
        <v>0.3367439103358818</v>
      </c>
      <c r="AL243" s="480"/>
      <c r="AM243" s="480"/>
      <c r="AN243" s="480">
        <f t="shared" ref="AN243" si="1147">AN241/AE241-1</f>
        <v>0.51148385505804606</v>
      </c>
      <c r="AO243" s="480"/>
      <c r="AP243" s="480"/>
      <c r="AQ243" s="480">
        <f t="shared" ref="AQ243" si="1148">AQ241/AH241-1</f>
        <v>0.49123363132006204</v>
      </c>
      <c r="AR243" s="480"/>
      <c r="AS243" s="480"/>
      <c r="AT243" s="480">
        <f>AT241/AK241-1</f>
        <v>0.50059529246898293</v>
      </c>
      <c r="AU243" s="480"/>
      <c r="AV243" s="480"/>
      <c r="AW243" s="480">
        <f>AW241/AN241-1</f>
        <v>0.47373085377852964</v>
      </c>
      <c r="AX243" s="480"/>
      <c r="AY243" s="480"/>
      <c r="AZ243" s="480">
        <f>AZ241/AQ241-1</f>
        <v>0.45618702283122214</v>
      </c>
      <c r="BA243" s="480"/>
      <c r="BB243" s="480"/>
      <c r="BC243" s="480">
        <f>BC241/AT241-1</f>
        <v>0.4402141264155468</v>
      </c>
      <c r="BD243" s="480"/>
      <c r="BE243" s="480"/>
      <c r="BF243" s="480">
        <f>BF241/AW241-1</f>
        <v>0.44093180145159616</v>
      </c>
      <c r="BG243" s="480"/>
      <c r="BH243" s="480"/>
      <c r="BI243" s="480">
        <f t="shared" ref="BI243" si="1149">BI241/AZ241-1</f>
        <v>0.43844866771634106</v>
      </c>
      <c r="BJ243" s="341"/>
      <c r="BK243" s="390"/>
      <c r="BL243" s="390"/>
      <c r="BM243" s="390"/>
      <c r="BN243" s="390"/>
      <c r="BO243" s="390"/>
      <c r="BP243" s="390"/>
      <c r="BQ243" s="390"/>
      <c r="BR243" s="390"/>
      <c r="BS243" s="390"/>
      <c r="BT243" s="390"/>
      <c r="BU243" s="390"/>
      <c r="BV243" s="390"/>
      <c r="BW243" s="390"/>
      <c r="BX243" s="390"/>
      <c r="BY243" s="390"/>
      <c r="BZ243" s="390"/>
      <c r="CA243" s="390"/>
      <c r="CB243" s="390"/>
      <c r="CC243" s="390"/>
      <c r="CD243" s="390"/>
      <c r="CE243" s="390"/>
      <c r="CF243" s="390"/>
      <c r="CG243" s="390"/>
      <c r="CH243" s="390"/>
      <c r="CI243" s="390"/>
      <c r="CJ243" s="390"/>
      <c r="CK243" s="390"/>
      <c r="CL243" s="390"/>
      <c r="CM243" s="390"/>
      <c r="CN243" s="390"/>
      <c r="CO243" s="390"/>
      <c r="CP243" s="390"/>
      <c r="CQ243" s="390"/>
      <c r="CR243" s="390"/>
      <c r="CS243" s="390"/>
      <c r="CT243" s="390"/>
      <c r="CU243" s="390"/>
      <c r="CV243" s="390"/>
      <c r="CW243" s="390"/>
      <c r="CX243" s="390"/>
      <c r="CY243" s="390"/>
      <c r="CZ243" s="390"/>
      <c r="DA243" s="390"/>
      <c r="DB243" s="390"/>
      <c r="DC243" s="390"/>
      <c r="DD243" s="390"/>
      <c r="DE243" s="390"/>
      <c r="DF243" s="390"/>
      <c r="DG243" s="390"/>
      <c r="DH243" s="390"/>
      <c r="DI243" s="390"/>
      <c r="DJ243" s="390"/>
      <c r="DK243" s="390"/>
      <c r="DL243" s="390"/>
      <c r="DM243" s="390"/>
      <c r="DN243" s="390"/>
      <c r="DO243" s="390"/>
      <c r="DP243" s="390"/>
      <c r="DQ243" s="390"/>
      <c r="DR243" s="390"/>
      <c r="DS243" s="390"/>
    </row>
    <row r="244" spans="1:123" s="312" customFormat="1" hidden="1" outlineLevel="1">
      <c r="B244" s="513"/>
      <c r="C244" s="363"/>
      <c r="D244" s="363"/>
      <c r="E244" s="363"/>
      <c r="F244" s="363"/>
      <c r="G244" s="363"/>
      <c r="H244" s="363"/>
      <c r="I244" s="363"/>
      <c r="J244" s="363"/>
      <c r="K244" s="363"/>
      <c r="L244" s="363"/>
      <c r="M244" s="363"/>
      <c r="N244" s="363"/>
      <c r="O244" s="363"/>
      <c r="P244" s="363"/>
      <c r="Q244" s="363"/>
      <c r="R244" s="363"/>
      <c r="S244" s="363"/>
      <c r="T244" s="363"/>
      <c r="U244" s="363"/>
      <c r="V244" s="363"/>
      <c r="W244" s="363"/>
      <c r="X244" s="363"/>
      <c r="Y244" s="363"/>
      <c r="Z244" s="363"/>
      <c r="AA244" s="363"/>
      <c r="AB244" s="851"/>
      <c r="AC244" s="363"/>
      <c r="AD244" s="363"/>
      <c r="AE244" s="363"/>
      <c r="AF244" s="363"/>
      <c r="AG244" s="363"/>
      <c r="AH244" s="363"/>
      <c r="AI244" s="363"/>
      <c r="AJ244" s="363"/>
      <c r="AK244" s="363"/>
      <c r="AL244" s="363"/>
      <c r="AM244" s="363"/>
      <c r="AN244" s="363"/>
      <c r="AO244" s="363"/>
      <c r="AP244" s="363"/>
      <c r="AQ244" s="363"/>
      <c r="AR244" s="363"/>
      <c r="AS244" s="363"/>
      <c r="AT244" s="363"/>
      <c r="AU244" s="363"/>
      <c r="AV244" s="363"/>
      <c r="AW244" s="363"/>
      <c r="AX244" s="363"/>
      <c r="AY244" s="363"/>
      <c r="AZ244" s="363"/>
      <c r="BA244" s="363"/>
      <c r="BB244" s="363"/>
      <c r="BC244" s="363"/>
      <c r="BD244" s="363"/>
      <c r="BE244" s="363"/>
      <c r="BF244" s="363"/>
      <c r="BG244" s="363"/>
      <c r="BH244" s="363"/>
      <c r="BI244" s="363"/>
      <c r="BJ244" s="388"/>
    </row>
    <row r="245" spans="1:123" s="312" customFormat="1" hidden="1" outlineLevel="1">
      <c r="A245" s="334" t="s">
        <v>1636</v>
      </c>
      <c r="B245" s="363"/>
      <c r="C245" s="363"/>
      <c r="D245" s="363"/>
      <c r="E245" s="363"/>
      <c r="F245" s="363"/>
      <c r="G245" s="363"/>
      <c r="H245" s="363"/>
      <c r="I245" s="363"/>
      <c r="J245" s="363"/>
      <c r="K245" s="514">
        <f t="shared" ref="K245:BF245" si="1150">-K119-K106</f>
        <v>4.343</v>
      </c>
      <c r="L245" s="411">
        <f t="shared" si="1150"/>
        <v>4.57</v>
      </c>
      <c r="M245" s="514">
        <f t="shared" si="1150"/>
        <v>8.9130000000000003</v>
      </c>
      <c r="N245" s="411">
        <f t="shared" si="1150"/>
        <v>4.4139999999999997</v>
      </c>
      <c r="O245" s="411">
        <f t="shared" si="1150"/>
        <v>4.2789999999999999</v>
      </c>
      <c r="P245" s="411">
        <f t="shared" si="1150"/>
        <v>8.6929999999999996</v>
      </c>
      <c r="Q245" s="411">
        <f t="shared" si="1150"/>
        <v>4.6080000000000005</v>
      </c>
      <c r="R245" s="411">
        <f t="shared" si="1150"/>
        <v>4.6450000000000005</v>
      </c>
      <c r="S245" s="411">
        <f t="shared" si="1150"/>
        <v>9.2530000000000001</v>
      </c>
      <c r="T245" s="411">
        <f t="shared" si="1150"/>
        <v>10.505000000000001</v>
      </c>
      <c r="U245" s="411">
        <f t="shared" si="1150"/>
        <v>13.237</v>
      </c>
      <c r="V245" s="411">
        <f t="shared" si="1150"/>
        <v>22.443000000000001</v>
      </c>
      <c r="W245" s="411">
        <f t="shared" si="1150"/>
        <v>12.547000000000001</v>
      </c>
      <c r="X245" s="411">
        <f t="shared" si="1150"/>
        <v>12.530000000000001</v>
      </c>
      <c r="Y245" s="411">
        <f t="shared" si="1150"/>
        <v>25.077000000000002</v>
      </c>
      <c r="Z245" s="411">
        <f t="shared" si="1150"/>
        <v>14.366</v>
      </c>
      <c r="AA245" s="411">
        <f t="shared" ref="AA245" si="1151">-AA119-AA106</f>
        <v>12.622</v>
      </c>
      <c r="AB245" s="836">
        <f t="shared" si="1150"/>
        <v>26.988</v>
      </c>
      <c r="AC245" s="411">
        <f t="shared" si="1150"/>
        <v>13.581</v>
      </c>
      <c r="AD245" s="411">
        <f t="shared" si="1150"/>
        <v>9.4101139145327721</v>
      </c>
      <c r="AE245" s="411">
        <f t="shared" si="1150"/>
        <v>22.991113914532772</v>
      </c>
      <c r="AF245" s="411">
        <f t="shared" ref="AF245:AG245" si="1152">-AF119-AF106</f>
        <v>15.328162271951619</v>
      </c>
      <c r="AG245" s="411">
        <f t="shared" si="1152"/>
        <v>10.089326150123233</v>
      </c>
      <c r="AH245" s="411">
        <f t="shared" si="1150"/>
        <v>25.417488422074854</v>
      </c>
      <c r="AI245" s="411">
        <f t="shared" si="1150"/>
        <v>16.767618372515031</v>
      </c>
      <c r="AJ245" s="411">
        <f t="shared" si="1150"/>
        <v>11.036807121403413</v>
      </c>
      <c r="AK245" s="411">
        <f t="shared" si="1150"/>
        <v>27.804425493918444</v>
      </c>
      <c r="AL245" s="411"/>
      <c r="AM245" s="411"/>
      <c r="AN245" s="411">
        <f t="shared" si="1150"/>
        <v>30.542595573846121</v>
      </c>
      <c r="AO245" s="411"/>
      <c r="AP245" s="411"/>
      <c r="AQ245" s="411">
        <f t="shared" si="1150"/>
        <v>33.64792974326032</v>
      </c>
      <c r="AR245" s="411"/>
      <c r="AS245" s="411"/>
      <c r="AT245" s="411">
        <f t="shared" si="1150"/>
        <v>37.110577724429874</v>
      </c>
      <c r="AU245" s="411"/>
      <c r="AV245" s="411"/>
      <c r="AW245" s="411">
        <f t="shared" si="1150"/>
        <v>40.946948445568225</v>
      </c>
      <c r="AX245" s="411"/>
      <c r="AY245" s="411"/>
      <c r="AZ245" s="411">
        <f t="shared" si="1150"/>
        <v>45.204465141879147</v>
      </c>
      <c r="BA245" s="411"/>
      <c r="BB245" s="411"/>
      <c r="BC245" s="411">
        <f t="shared" si="1150"/>
        <v>49.935217207298734</v>
      </c>
      <c r="BD245" s="411"/>
      <c r="BE245" s="411"/>
      <c r="BF245" s="411">
        <f t="shared" si="1150"/>
        <v>55.196927238114569</v>
      </c>
      <c r="BG245" s="411"/>
      <c r="BH245" s="411"/>
      <c r="BI245" s="411">
        <f t="shared" ref="BI245" si="1153">-BI119-BI106</f>
        <v>61.053927600946572</v>
      </c>
      <c r="BJ245" s="388"/>
    </row>
    <row r="246" spans="1:123" s="312" customFormat="1" hidden="1" outlineLevel="1">
      <c r="A246" s="334" t="s">
        <v>1681</v>
      </c>
      <c r="B246" s="363"/>
      <c r="C246" s="363"/>
      <c r="D246" s="363"/>
      <c r="E246" s="363"/>
      <c r="F246" s="363"/>
      <c r="G246" s="363"/>
      <c r="H246" s="363"/>
      <c r="I246" s="363"/>
      <c r="J246" s="363"/>
      <c r="K246" s="514">
        <v>3.1259999999999999</v>
      </c>
      <c r="L246" s="411">
        <f t="shared" ref="L246:L248" si="1154">M246-K246</f>
        <v>3.2509999999999999</v>
      </c>
      <c r="M246" s="514">
        <v>6.3769999999999998</v>
      </c>
      <c r="N246" s="472">
        <f>K246/K245*N245</f>
        <v>3.177104305779415</v>
      </c>
      <c r="O246" s="411">
        <f>P246-N246</f>
        <v>2.9088956942205852</v>
      </c>
      <c r="P246" s="514">
        <v>6.0860000000000003</v>
      </c>
      <c r="Q246" s="472">
        <f>N246/N245*Q245</f>
        <v>3.3167414229795078</v>
      </c>
      <c r="R246" s="472">
        <f t="shared" ref="R246:V246" si="1155">O246/O245*R245</f>
        <v>3.1577051880473523</v>
      </c>
      <c r="S246" s="472">
        <f t="shared" si="1155"/>
        <v>6.4780579776831946</v>
      </c>
      <c r="T246" s="472">
        <f t="shared" si="1155"/>
        <v>7.561277918489524</v>
      </c>
      <c r="U246" s="472">
        <f t="shared" si="1155"/>
        <v>8.9986100267347258</v>
      </c>
      <c r="V246" s="472">
        <f t="shared" si="1155"/>
        <v>15.712423559185554</v>
      </c>
      <c r="W246" s="472">
        <f t="shared" ref="W246" si="1156">T246/T245*W245</f>
        <v>9.0310665438636892</v>
      </c>
      <c r="X246" s="472">
        <f t="shared" ref="X246" si="1157">U246/U245*X245</f>
        <v>8.517986223085753</v>
      </c>
      <c r="Y246" s="472">
        <f>T246/T245*Y245</f>
        <v>18.049896845498505</v>
      </c>
      <c r="Z246" s="472">
        <f t="shared" ref="Z246:AA246" si="1158">W246/W245*Z245</f>
        <v>10.340344462353212</v>
      </c>
      <c r="AA246" s="472">
        <f t="shared" si="1158"/>
        <v>8.5805285002225347</v>
      </c>
      <c r="AB246" s="855">
        <f>U246/U245*AB245</f>
        <v>18.346641036603216</v>
      </c>
      <c r="AC246" s="472">
        <f t="shared" ref="AC246" si="1159">Z246/Z245*AC245</f>
        <v>9.7753179829610861</v>
      </c>
      <c r="AD246" s="472">
        <f t="shared" ref="AD246" si="1160">AA246/AA245*AD245</f>
        <v>6.3970646992544049</v>
      </c>
      <c r="AE246" s="472">
        <f>V246/V245*AE245</f>
        <v>16.096160046456514</v>
      </c>
      <c r="AF246" s="472">
        <f t="shared" ref="AF246" si="1161">AC246/AC245*AF245</f>
        <v>11.03288861665226</v>
      </c>
      <c r="AG246" s="472">
        <f t="shared" ref="AG246" si="1162">AD246/AD245*AG245</f>
        <v>6.8587981761347576</v>
      </c>
      <c r="AH246" s="472">
        <f>Y246/Y245*AH245</f>
        <v>18.294973246006446</v>
      </c>
      <c r="AI246" s="472">
        <f t="shared" ref="AI246" si="1163">AF246/AF245*AI245</f>
        <v>12.068978823965459</v>
      </c>
      <c r="AJ246" s="472">
        <f t="shared" ref="AJ246" si="1164">AG246/AG245*AJ245</f>
        <v>7.502902714043814</v>
      </c>
      <c r="AK246" s="472">
        <f>AB246/AB245*AK245</f>
        <v>18.901653096409543</v>
      </c>
      <c r="AL246" s="472"/>
      <c r="AM246" s="472"/>
      <c r="AN246" s="472">
        <f>AE246/AE245*AN245</f>
        <v>21.382979024781726</v>
      </c>
      <c r="AO246" s="472"/>
      <c r="AP246" s="472"/>
      <c r="AQ246" s="472">
        <f>AH246/AH245*AQ245</f>
        <v>24.219071696392302</v>
      </c>
      <c r="AR246" s="472"/>
      <c r="AS246" s="472"/>
      <c r="AT246" s="472">
        <f>AK246/AK245*AT245</f>
        <v>25.228043877689281</v>
      </c>
      <c r="AU246" s="472"/>
      <c r="AV246" s="472"/>
      <c r="AW246" s="472">
        <f>AN246/AN245*AW245</f>
        <v>28.667103214049039</v>
      </c>
      <c r="AX246" s="472"/>
      <c r="AY246" s="472"/>
      <c r="AZ246" s="472">
        <f>AQ246/AQ245*AZ245</f>
        <v>32.53722266486627</v>
      </c>
      <c r="BA246" s="472"/>
      <c r="BB246" s="472"/>
      <c r="BC246" s="472">
        <f>AT246/AT245*BC245</f>
        <v>33.946328189829629</v>
      </c>
      <c r="BD246" s="472"/>
      <c r="BE246" s="472"/>
      <c r="BF246" s="472">
        <f>AW246/AW245*BF245</f>
        <v>38.643563691609955</v>
      </c>
      <c r="BG246" s="472"/>
      <c r="BH246" s="472"/>
      <c r="BI246" s="472">
        <f>AZ246/AZ245*BI245</f>
        <v>43.945332185254202</v>
      </c>
      <c r="BJ246" s="388"/>
    </row>
    <row r="247" spans="1:123" s="312" customFormat="1" hidden="1" outlineLevel="1">
      <c r="A247" s="312" t="s">
        <v>1637</v>
      </c>
      <c r="B247" s="363"/>
      <c r="C247" s="363"/>
      <c r="D247" s="363"/>
      <c r="E247" s="363"/>
      <c r="F247" s="363"/>
      <c r="G247" s="363"/>
      <c r="H247" s="363"/>
      <c r="I247" s="363"/>
      <c r="J247" s="363"/>
      <c r="K247" s="514">
        <v>0.81399999999999995</v>
      </c>
      <c r="L247" s="411">
        <f t="shared" si="1154"/>
        <v>0.77400000000000013</v>
      </c>
      <c r="M247" s="514">
        <v>1.5880000000000001</v>
      </c>
      <c r="N247" s="411">
        <v>0.65600000000000003</v>
      </c>
      <c r="O247" s="411">
        <f t="shared" ref="O247" si="1165">P247-N247</f>
        <v>0.55799999999999994</v>
      </c>
      <c r="P247" s="514">
        <v>1.214</v>
      </c>
      <c r="Q247" s="411">
        <v>0.65600000000000003</v>
      </c>
      <c r="R247" s="411">
        <v>0.65600000000000003</v>
      </c>
      <c r="S247" s="411">
        <v>0.65600000000000003</v>
      </c>
      <c r="T247" s="411">
        <v>0.65600000000000003</v>
      </c>
      <c r="U247" s="411">
        <v>0.65600000000000003</v>
      </c>
      <c r="V247" s="411">
        <v>0.65600000000000003</v>
      </c>
      <c r="W247" s="411">
        <v>0.65600000000000003</v>
      </c>
      <c r="X247" s="411">
        <v>0.65600000000000003</v>
      </c>
      <c r="Y247" s="411">
        <v>0.65600000000000003</v>
      </c>
      <c r="Z247" s="411">
        <v>0.65600000000000003</v>
      </c>
      <c r="AA247" s="411">
        <v>0.65600000000000003</v>
      </c>
      <c r="AB247" s="836">
        <v>0.65600000000000003</v>
      </c>
      <c r="AC247" s="411">
        <v>0.65600000000000003</v>
      </c>
      <c r="AD247" s="411">
        <v>0.65600000000000003</v>
      </c>
      <c r="AE247" s="411">
        <v>0.65600000000000003</v>
      </c>
      <c r="AF247" s="411">
        <v>0.65600000000000003</v>
      </c>
      <c r="AG247" s="411">
        <v>0.65600000000000003</v>
      </c>
      <c r="AH247" s="411">
        <v>0.65600000000000003</v>
      </c>
      <c r="AI247" s="411">
        <v>0.65600000000000003</v>
      </c>
      <c r="AJ247" s="411">
        <v>0.65600000000000003</v>
      </c>
      <c r="AK247" s="411">
        <v>0.65600000000000003</v>
      </c>
      <c r="AL247" s="411"/>
      <c r="AM247" s="411"/>
      <c r="AN247" s="411">
        <v>0.65600000000000003</v>
      </c>
      <c r="AO247" s="411"/>
      <c r="AP247" s="411"/>
      <c r="AQ247" s="411">
        <v>0.65600000000000003</v>
      </c>
      <c r="AR247" s="411"/>
      <c r="AS247" s="411"/>
      <c r="AT247" s="411">
        <v>0.65600000000000003</v>
      </c>
      <c r="AU247" s="411"/>
      <c r="AV247" s="411"/>
      <c r="AW247" s="411">
        <v>0.65600000000000003</v>
      </c>
      <c r="AX247" s="411"/>
      <c r="AY247" s="411"/>
      <c r="AZ247" s="411">
        <v>0.65600000000000003</v>
      </c>
      <c r="BA247" s="411"/>
      <c r="BB247" s="411"/>
      <c r="BC247" s="411">
        <v>0.65600000000000003</v>
      </c>
      <c r="BD247" s="411"/>
      <c r="BE247" s="411"/>
      <c r="BF247" s="411">
        <v>0.65600000000000003</v>
      </c>
      <c r="BG247" s="411"/>
      <c r="BH247" s="411"/>
      <c r="BI247" s="411">
        <v>0.65600000000000003</v>
      </c>
      <c r="BJ247" s="388"/>
    </row>
    <row r="248" spans="1:123" s="312" customFormat="1" hidden="1" outlineLevel="1">
      <c r="A248" s="312" t="s">
        <v>1638</v>
      </c>
      <c r="B248" s="363"/>
      <c r="C248" s="363"/>
      <c r="D248" s="363"/>
      <c r="E248" s="363"/>
      <c r="F248" s="363"/>
      <c r="G248" s="363"/>
      <c r="H248" s="363"/>
      <c r="I248" s="363"/>
      <c r="J248" s="363"/>
      <c r="K248" s="411">
        <f>K245-K246-K247</f>
        <v>0.40300000000000014</v>
      </c>
      <c r="L248" s="411">
        <f t="shared" si="1154"/>
        <v>0.54500000000000026</v>
      </c>
      <c r="M248" s="411">
        <f>M245-M246-M247</f>
        <v>0.9480000000000004</v>
      </c>
      <c r="N248" s="411">
        <f t="shared" ref="N248:Q248" si="1166">N245-N246-N247</f>
        <v>0.58089569422058462</v>
      </c>
      <c r="O248" s="411">
        <f t="shared" si="1166"/>
        <v>0.81210430577941473</v>
      </c>
      <c r="P248" s="411">
        <f t="shared" si="1166"/>
        <v>1.3929999999999993</v>
      </c>
      <c r="Q248" s="411">
        <f t="shared" si="1166"/>
        <v>0.63525857702049271</v>
      </c>
      <c r="R248" s="411">
        <f t="shared" ref="R248:AT248" si="1167">R245-R246-R247</f>
        <v>0.83129481195264809</v>
      </c>
      <c r="S248" s="411">
        <f t="shared" si="1167"/>
        <v>2.1189420223168054</v>
      </c>
      <c r="T248" s="411">
        <f t="shared" si="1167"/>
        <v>2.2877220815104766</v>
      </c>
      <c r="U248" s="411">
        <f t="shared" si="1167"/>
        <v>3.5823899732652742</v>
      </c>
      <c r="V248" s="411">
        <f t="shared" si="1167"/>
        <v>6.0745764408144476</v>
      </c>
      <c r="W248" s="411">
        <f t="shared" ref="W248:X248" si="1168">W245-W246-W247</f>
        <v>2.8599334561363112</v>
      </c>
      <c r="X248" s="411">
        <f t="shared" si="1168"/>
        <v>3.356013776914248</v>
      </c>
      <c r="Y248" s="411">
        <f t="shared" si="1167"/>
        <v>6.3711031545014967</v>
      </c>
      <c r="Z248" s="411">
        <f t="shared" si="1167"/>
        <v>3.3696555376467878</v>
      </c>
      <c r="AA248" s="411">
        <f t="shared" si="1167"/>
        <v>3.3854714997774651</v>
      </c>
      <c r="AB248" s="836">
        <f t="shared" si="1167"/>
        <v>7.9853589633967834</v>
      </c>
      <c r="AC248" s="411">
        <f t="shared" ref="AC248:AD248" si="1169">AC245-AC246-AC247</f>
        <v>3.1496820170389133</v>
      </c>
      <c r="AD248" s="411">
        <f t="shared" si="1169"/>
        <v>2.3570492152783671</v>
      </c>
      <c r="AE248" s="411">
        <f t="shared" si="1167"/>
        <v>6.2389538680762575</v>
      </c>
      <c r="AF248" s="411">
        <f t="shared" si="1167"/>
        <v>3.6392736552993594</v>
      </c>
      <c r="AG248" s="411">
        <f t="shared" si="1167"/>
        <v>2.574527973988475</v>
      </c>
      <c r="AH248" s="411">
        <f t="shared" si="1167"/>
        <v>6.4665151760684081</v>
      </c>
      <c r="AI248" s="411">
        <f t="shared" ref="AI248:AJ248" si="1170">AI245-AI246-AI247</f>
        <v>4.0426395485495723</v>
      </c>
      <c r="AJ248" s="411">
        <f t="shared" si="1170"/>
        <v>2.877904407359599</v>
      </c>
      <c r="AK248" s="411">
        <f t="shared" si="1167"/>
        <v>8.2467723975089005</v>
      </c>
      <c r="AL248" s="411"/>
      <c r="AM248" s="411"/>
      <c r="AN248" s="411">
        <f t="shared" si="1167"/>
        <v>8.5036165490643949</v>
      </c>
      <c r="AO248" s="411"/>
      <c r="AP248" s="411"/>
      <c r="AQ248" s="411">
        <f t="shared" si="1167"/>
        <v>8.7728580468680182</v>
      </c>
      <c r="AR248" s="411"/>
      <c r="AS248" s="411"/>
      <c r="AT248" s="411">
        <f t="shared" si="1167"/>
        <v>11.226533846740592</v>
      </c>
      <c r="AU248" s="411"/>
      <c r="AV248" s="411"/>
      <c r="AW248" s="411">
        <f t="shared" ref="AW248" si="1171">AW245-AW246-AW247</f>
        <v>11.623845231519185</v>
      </c>
      <c r="AX248" s="411"/>
      <c r="AY248" s="411"/>
      <c r="AZ248" s="411">
        <f t="shared" ref="AZ248:BC248" si="1172">AZ245-AZ246-AZ247</f>
        <v>12.011242477012877</v>
      </c>
      <c r="BA248" s="411"/>
      <c r="BB248" s="411"/>
      <c r="BC248" s="411">
        <f t="shared" si="1172"/>
        <v>15.332889017469105</v>
      </c>
      <c r="BD248" s="411"/>
      <c r="BE248" s="411"/>
      <c r="BF248" s="411">
        <f t="shared" ref="BF248" si="1173">BF245-BF246-BF247</f>
        <v>15.897363546504613</v>
      </c>
      <c r="BG248" s="411"/>
      <c r="BH248" s="411"/>
      <c r="BI248" s="411">
        <f t="shared" ref="BI248" si="1174">BI245-BI246-BI247</f>
        <v>16.452595415692372</v>
      </c>
      <c r="BJ248" s="388"/>
    </row>
    <row r="249" spans="1:123" s="312" customFormat="1" hidden="1" outlineLevel="1">
      <c r="B249" s="363"/>
      <c r="C249" s="363"/>
      <c r="D249" s="363"/>
      <c r="E249" s="363"/>
      <c r="F249" s="363"/>
      <c r="G249" s="363"/>
      <c r="H249" s="363"/>
      <c r="I249" s="363"/>
      <c r="J249" s="363"/>
      <c r="K249" s="363"/>
      <c r="L249" s="363"/>
      <c r="M249" s="363"/>
      <c r="N249" s="363"/>
      <c r="O249" s="363"/>
      <c r="P249" s="363"/>
      <c r="Q249" s="363"/>
      <c r="R249" s="363"/>
      <c r="S249" s="363"/>
      <c r="T249" s="363"/>
      <c r="U249" s="363"/>
      <c r="V249" s="363"/>
      <c r="W249" s="363"/>
      <c r="X249" s="363"/>
      <c r="Y249" s="363"/>
      <c r="Z249" s="363"/>
      <c r="AA249" s="363"/>
      <c r="AB249" s="851"/>
      <c r="AC249" s="363"/>
      <c r="AD249" s="363"/>
      <c r="AE249" s="363"/>
      <c r="AF249" s="363"/>
      <c r="AG249" s="363"/>
      <c r="AH249" s="363"/>
      <c r="AI249" s="363"/>
      <c r="AJ249" s="363"/>
      <c r="AK249" s="363"/>
      <c r="AL249" s="363"/>
      <c r="AM249" s="363"/>
      <c r="AN249" s="363"/>
      <c r="AO249" s="363"/>
      <c r="AP249" s="363"/>
      <c r="AQ249" s="363"/>
      <c r="AR249" s="363"/>
      <c r="AS249" s="363"/>
      <c r="AT249" s="363"/>
      <c r="AU249" s="363"/>
      <c r="AV249" s="363"/>
      <c r="AW249" s="363"/>
      <c r="AX249" s="363"/>
      <c r="AY249" s="363"/>
      <c r="AZ249" s="363"/>
      <c r="BA249" s="363"/>
      <c r="BB249" s="363"/>
      <c r="BC249" s="363"/>
      <c r="BD249" s="363"/>
      <c r="BE249" s="363"/>
      <c r="BF249" s="363"/>
      <c r="BG249" s="363"/>
      <c r="BH249" s="363"/>
      <c r="BI249" s="363"/>
      <c r="BJ249" s="388"/>
    </row>
    <row r="250" spans="1:123" s="312" customFormat="1" hidden="1" outlineLevel="1">
      <c r="A250" s="344" t="s">
        <v>1639</v>
      </c>
      <c r="B250" s="411">
        <f t="shared" ref="B250:I250" si="1175">B36</f>
        <v>-5.0860000000000003</v>
      </c>
      <c r="C250" s="411" t="e">
        <f t="shared" si="1175"/>
        <v>#REF!</v>
      </c>
      <c r="D250" s="411">
        <f t="shared" si="1175"/>
        <v>-10.769</v>
      </c>
      <c r="E250" s="411">
        <f t="shared" si="1175"/>
        <v>-6.3159999999999998</v>
      </c>
      <c r="F250" s="411">
        <f t="shared" si="1175"/>
        <v>-6.9859999999999998</v>
      </c>
      <c r="G250" s="411">
        <f t="shared" si="1175"/>
        <v>-13.302</v>
      </c>
      <c r="H250" s="411">
        <f t="shared" si="1175"/>
        <v>-8.16</v>
      </c>
      <c r="I250" s="411">
        <f t="shared" si="1175"/>
        <v>-8.4559999999999995</v>
      </c>
      <c r="J250" s="514">
        <v>-16.616</v>
      </c>
      <c r="K250" s="514">
        <v>-12.163</v>
      </c>
      <c r="L250" s="411">
        <f>M250-K250</f>
        <v>-13.419</v>
      </c>
      <c r="M250" s="514">
        <v>-25.582000000000001</v>
      </c>
      <c r="N250" s="411">
        <f t="shared" ref="N250:BF250" si="1176">N36</f>
        <v>-17.815000000000001</v>
      </c>
      <c r="O250" s="411">
        <f t="shared" si="1176"/>
        <v>-9.0529999999999973</v>
      </c>
      <c r="P250" s="411">
        <f t="shared" si="1176"/>
        <v>-26.867999999999999</v>
      </c>
      <c r="Q250" s="411">
        <f t="shared" si="1176"/>
        <v>-12.989000000000001</v>
      </c>
      <c r="R250" s="411">
        <f t="shared" si="1176"/>
        <v>-17.474999999999998</v>
      </c>
      <c r="S250" s="411">
        <f t="shared" si="1176"/>
        <v>-30.463999999999999</v>
      </c>
      <c r="T250" s="411">
        <f t="shared" si="1176"/>
        <v>-20.777999999999999</v>
      </c>
      <c r="U250" s="411">
        <f t="shared" si="1176"/>
        <v>-25.364000000000004</v>
      </c>
      <c r="V250" s="411">
        <f t="shared" si="1176"/>
        <v>-46.141999999999996</v>
      </c>
      <c r="W250" s="411">
        <f t="shared" si="1176"/>
        <v>-28.227</v>
      </c>
      <c r="X250" s="411">
        <f t="shared" si="1176"/>
        <v>-31.557999999999996</v>
      </c>
      <c r="Y250" s="411">
        <f t="shared" si="1176"/>
        <v>-59.784999999999997</v>
      </c>
      <c r="Z250" s="411">
        <f t="shared" si="1176"/>
        <v>-32.792000000000002</v>
      </c>
      <c r="AA250" s="411">
        <f t="shared" ref="AA250" si="1177">AA36</f>
        <v>-34.536000000000001</v>
      </c>
      <c r="AB250" s="836">
        <f t="shared" si="1176"/>
        <v>-67.328000000000003</v>
      </c>
      <c r="AC250" s="411">
        <f t="shared" si="1176"/>
        <v>-36.936999999999998</v>
      </c>
      <c r="AD250" s="411">
        <f t="shared" si="1176"/>
        <v>-38.135986826996444</v>
      </c>
      <c r="AE250" s="411">
        <f t="shared" si="1176"/>
        <v>-73.883378007412034</v>
      </c>
      <c r="AF250" s="411">
        <f t="shared" ref="AF250:AG250" si="1178">AF36</f>
        <v>-40.029878361488699</v>
      </c>
      <c r="AG250" s="411">
        <f t="shared" si="1178"/>
        <v>-40.029878361488699</v>
      </c>
      <c r="AH250" s="411">
        <f t="shared" si="1176"/>
        <v>-80.059756722977397</v>
      </c>
      <c r="AI250" s="411">
        <f t="shared" si="1176"/>
        <v>-43.712337524201416</v>
      </c>
      <c r="AJ250" s="411">
        <f t="shared" si="1176"/>
        <v>-43.712337524201416</v>
      </c>
      <c r="AK250" s="411">
        <f t="shared" si="1176"/>
        <v>-87.424675048402833</v>
      </c>
      <c r="AL250" s="411"/>
      <c r="AM250" s="411"/>
      <c r="AN250" s="411">
        <f t="shared" si="1176"/>
        <v>-95.524508675248029</v>
      </c>
      <c r="AO250" s="411"/>
      <c r="AP250" s="411"/>
      <c r="AQ250" s="411">
        <f t="shared" si="1176"/>
        <v>-104.16941943613006</v>
      </c>
      <c r="AR250" s="411"/>
      <c r="AS250" s="411"/>
      <c r="AT250" s="411">
        <f t="shared" si="1176"/>
        <v>-113.49631526209532</v>
      </c>
      <c r="AU250" s="411"/>
      <c r="AV250" s="411"/>
      <c r="AW250" s="411">
        <f t="shared" si="1176"/>
        <v>-125.40762081936802</v>
      </c>
      <c r="AX250" s="411"/>
      <c r="AY250" s="411"/>
      <c r="AZ250" s="411">
        <f t="shared" si="1176"/>
        <v>-138.66907735199482</v>
      </c>
      <c r="BA250" s="411"/>
      <c r="BB250" s="411"/>
      <c r="BC250" s="411">
        <f t="shared" si="1176"/>
        <v>-153.44179609990417</v>
      </c>
      <c r="BD250" s="411"/>
      <c r="BE250" s="411"/>
      <c r="BF250" s="411">
        <f t="shared" si="1176"/>
        <v>-169.90698114075985</v>
      </c>
      <c r="BG250" s="411"/>
      <c r="BH250" s="411"/>
      <c r="BI250" s="411">
        <f t="shared" ref="BI250" si="1179">BI36</f>
        <v>-188.26853794956713</v>
      </c>
      <c r="BJ250" s="388"/>
    </row>
    <row r="251" spans="1:123" s="312" customFormat="1" hidden="1" outlineLevel="1">
      <c r="A251" s="312" t="s">
        <v>408</v>
      </c>
      <c r="B251" s="411">
        <f>B250/D250*D251</f>
        <v>-1.3304171232240694</v>
      </c>
      <c r="C251" s="411">
        <f>D251-B251</f>
        <v>-1.4865828767759308</v>
      </c>
      <c r="D251" s="514">
        <v>-2.8170000000000002</v>
      </c>
      <c r="E251" s="411">
        <f>E250/G250*G251</f>
        <v>-1.6134241467448505</v>
      </c>
      <c r="F251" s="411">
        <f>G251-E251</f>
        <v>-1.7845758532551497</v>
      </c>
      <c r="G251" s="514">
        <v>-3.3980000000000001</v>
      </c>
      <c r="H251" s="411">
        <f>H250/J250*J251</f>
        <v>-2.2752335098700049</v>
      </c>
      <c r="I251" s="411">
        <f>J251-H251</f>
        <v>-2.3577664901299951</v>
      </c>
      <c r="J251" s="514">
        <v>-4.633</v>
      </c>
      <c r="K251" s="514">
        <v>-2.6920000000000002</v>
      </c>
      <c r="L251" s="411">
        <f t="shared" ref="L251:L253" si="1180">M251-K251</f>
        <v>-2.8819999999999997</v>
      </c>
      <c r="M251" s="514">
        <v>-5.5739999999999998</v>
      </c>
      <c r="N251" s="514">
        <v>-2.86</v>
      </c>
      <c r="O251" s="411">
        <f>P251-N251</f>
        <v>-2.8580000000000001</v>
      </c>
      <c r="P251" s="514">
        <v>-5.718</v>
      </c>
      <c r="Q251" s="514">
        <v>-2.9870000000000001</v>
      </c>
      <c r="R251" s="514">
        <v>-2.9870000000000001</v>
      </c>
      <c r="S251" s="514">
        <v>-2.9870000000000001</v>
      </c>
      <c r="T251" s="514">
        <v>-2.9870000000000001</v>
      </c>
      <c r="U251" s="514">
        <v>-2.9870000000000001</v>
      </c>
      <c r="V251" s="514">
        <v>-2.9870000000000001</v>
      </c>
      <c r="W251" s="514">
        <v>-2.9870000000000001</v>
      </c>
      <c r="X251" s="514">
        <v>-2.9870000000000001</v>
      </c>
      <c r="Y251" s="514">
        <v>-2.9870000000000001</v>
      </c>
      <c r="Z251" s="514">
        <v>-2.9870000000000001</v>
      </c>
      <c r="AA251" s="514">
        <v>-2.9870000000000001</v>
      </c>
      <c r="AB251" s="856">
        <v>-2.9870000000000001</v>
      </c>
      <c r="AC251" s="514">
        <v>-2.9870000000000001</v>
      </c>
      <c r="AD251" s="514">
        <v>-2.9870000000000001</v>
      </c>
      <c r="AE251" s="514">
        <v>-2.9870000000000001</v>
      </c>
      <c r="AF251" s="514">
        <v>-2.9870000000000001</v>
      </c>
      <c r="AG251" s="514">
        <v>-2.9870000000000001</v>
      </c>
      <c r="AH251" s="514">
        <v>-2.9870000000000001</v>
      </c>
      <c r="AI251" s="514">
        <v>-2.9870000000000001</v>
      </c>
      <c r="AJ251" s="514">
        <v>-2.9870000000000001</v>
      </c>
      <c r="AK251" s="514">
        <v>-2.9870000000000001</v>
      </c>
      <c r="AL251" s="514"/>
      <c r="AM251" s="514"/>
      <c r="AN251" s="514">
        <v>-2.9870000000000001</v>
      </c>
      <c r="AO251" s="514"/>
      <c r="AP251" s="514"/>
      <c r="AQ251" s="514">
        <v>-2.9870000000000001</v>
      </c>
      <c r="AR251" s="514"/>
      <c r="AS251" s="514"/>
      <c r="AT251" s="514">
        <v>-2.9870000000000001</v>
      </c>
      <c r="AU251" s="514"/>
      <c r="AV251" s="514"/>
      <c r="AW251" s="514">
        <v>-2.9870000000000001</v>
      </c>
      <c r="AX251" s="514"/>
      <c r="AY251" s="514"/>
      <c r="AZ251" s="514">
        <v>-2.9870000000000001</v>
      </c>
      <c r="BA251" s="514"/>
      <c r="BB251" s="514"/>
      <c r="BC251" s="514">
        <v>-2.9870000000000001</v>
      </c>
      <c r="BD251" s="514"/>
      <c r="BE251" s="514"/>
      <c r="BF251" s="514">
        <v>-2.9870000000000001</v>
      </c>
      <c r="BG251" s="514"/>
      <c r="BH251" s="514"/>
      <c r="BI251" s="514">
        <v>-2.9870000000000001</v>
      </c>
      <c r="BJ251" s="388"/>
    </row>
    <row r="252" spans="1:123" s="312" customFormat="1" hidden="1" outlineLevel="1">
      <c r="A252" s="312" t="s">
        <v>1640</v>
      </c>
      <c r="B252" s="411">
        <f>B250-B251</f>
        <v>-3.7555828767759309</v>
      </c>
      <c r="C252" s="411" t="e">
        <f t="shared" ref="C252" si="1181">C250-C251</f>
        <v>#REF!</v>
      </c>
      <c r="D252" s="514">
        <f>-13.302-D251</f>
        <v>-10.484999999999999</v>
      </c>
      <c r="E252" s="411">
        <f>E250-E251</f>
        <v>-4.7025758532551496</v>
      </c>
      <c r="F252" s="411">
        <f t="shared" ref="F252" si="1182">F250-F251</f>
        <v>-5.2014241467448503</v>
      </c>
      <c r="G252" s="514">
        <f>-13.302-G251</f>
        <v>-9.9039999999999999</v>
      </c>
      <c r="H252" s="411">
        <f>H250-H251</f>
        <v>-5.8847664901299952</v>
      </c>
      <c r="I252" s="411">
        <f t="shared" ref="I252" si="1183">I250-I251</f>
        <v>-6.0982335098700045</v>
      </c>
      <c r="J252" s="514">
        <f>J250-J251</f>
        <v>-11.983000000000001</v>
      </c>
      <c r="K252" s="411">
        <f>K250-K251-K253</f>
        <v>-6.3450000000000006</v>
      </c>
      <c r="L252" s="411">
        <f t="shared" si="1180"/>
        <v>-7.2859999999999996</v>
      </c>
      <c r="M252" s="514">
        <f>-3.307-10.145-0.179</f>
        <v>-13.631</v>
      </c>
      <c r="N252" s="515">
        <f>N250-N251-N253</f>
        <v>-11.777895694220586</v>
      </c>
      <c r="O252" s="411">
        <f t="shared" ref="O252:O253" si="1184">P252-N252</f>
        <v>-3.2861043057794124</v>
      </c>
      <c r="P252" s="514">
        <f>P250-P251-P253</f>
        <v>-15.063999999999998</v>
      </c>
      <c r="Q252" s="411">
        <f>Q250-Q251-Q253</f>
        <v>-6.6852585770204929</v>
      </c>
      <c r="R252" s="411">
        <f t="shared" ref="R252:AT252" si="1185">R250-R251-R253</f>
        <v>-11.330294811952646</v>
      </c>
      <c r="S252" s="411">
        <f t="shared" si="1185"/>
        <v>-20.998942022316804</v>
      </c>
      <c r="T252" s="411">
        <f t="shared" si="1185"/>
        <v>-10.229722081510474</v>
      </c>
      <c r="U252" s="411">
        <f t="shared" si="1185"/>
        <v>-13.378389973265277</v>
      </c>
      <c r="V252" s="411">
        <f t="shared" si="1185"/>
        <v>-27.442576440814442</v>
      </c>
      <c r="W252" s="411">
        <f t="shared" ref="W252:X252" si="1186">W250-W251-W253</f>
        <v>-16.208933456136315</v>
      </c>
      <c r="X252" s="411">
        <f t="shared" si="1186"/>
        <v>-20.053013776914245</v>
      </c>
      <c r="Y252" s="411">
        <f t="shared" si="1185"/>
        <v>-38.748103154501493</v>
      </c>
      <c r="Z252" s="411">
        <f t="shared" si="1185"/>
        <v>-19.464655537646788</v>
      </c>
      <c r="AA252" s="411">
        <f t="shared" si="1185"/>
        <v>-22.968471499777465</v>
      </c>
      <c r="AB252" s="836">
        <f t="shared" si="1185"/>
        <v>-45.994358963396792</v>
      </c>
      <c r="AC252" s="411">
        <f t="shared" ref="AC252:AD252" si="1187">AC250-AC251-AC253</f>
        <v>-24.174682017038911</v>
      </c>
      <c r="AD252" s="411">
        <f t="shared" si="1187"/>
        <v>-28.751922127742038</v>
      </c>
      <c r="AE252" s="411">
        <f t="shared" si="1185"/>
        <v>-54.800217960955521</v>
      </c>
      <c r="AF252" s="411">
        <f t="shared" si="1185"/>
        <v>-26.009989744836439</v>
      </c>
      <c r="AG252" s="411">
        <f t="shared" si="1185"/>
        <v>-30.184080185353938</v>
      </c>
      <c r="AH252" s="411">
        <f t="shared" si="1185"/>
        <v>-58.777783476970953</v>
      </c>
      <c r="AI252" s="411">
        <f t="shared" ref="AI252:AJ252" si="1188">AI250-AI251-AI253</f>
        <v>-28.656358700235955</v>
      </c>
      <c r="AJ252" s="411">
        <f t="shared" si="1188"/>
        <v>-33.222434810157601</v>
      </c>
      <c r="AK252" s="411">
        <f t="shared" si="1185"/>
        <v>-65.536021951993291</v>
      </c>
      <c r="AL252" s="411"/>
      <c r="AM252" s="411"/>
      <c r="AN252" s="411">
        <f t="shared" si="1185"/>
        <v>-71.154529650466316</v>
      </c>
      <c r="AO252" s="411"/>
      <c r="AP252" s="411"/>
      <c r="AQ252" s="411">
        <f t="shared" si="1185"/>
        <v>-76.963347739737756</v>
      </c>
      <c r="AR252" s="411"/>
      <c r="AS252" s="411"/>
      <c r="AT252" s="411">
        <f t="shared" si="1185"/>
        <v>-85.28127138440604</v>
      </c>
      <c r="AU252" s="411"/>
      <c r="AV252" s="411"/>
      <c r="AW252" s="411">
        <f t="shared" ref="AW252" si="1189">AW250-AW251-AW253</f>
        <v>-93.75351760531899</v>
      </c>
      <c r="AX252" s="411"/>
      <c r="AY252" s="411"/>
      <c r="AZ252" s="411">
        <f t="shared" ref="AZ252:BC252" si="1190">AZ250-AZ251-AZ253</f>
        <v>-103.14485468712854</v>
      </c>
      <c r="BA252" s="411"/>
      <c r="BB252" s="411"/>
      <c r="BC252" s="411">
        <f t="shared" si="1190"/>
        <v>-116.50846791007454</v>
      </c>
      <c r="BD252" s="411"/>
      <c r="BE252" s="411"/>
      <c r="BF252" s="411">
        <f t="shared" ref="BF252" si="1191">BF250-BF251-BF253</f>
        <v>-128.2764174491499</v>
      </c>
      <c r="BG252" s="411"/>
      <c r="BH252" s="411"/>
      <c r="BI252" s="411">
        <f t="shared" ref="BI252" si="1192">BI250-BI251-BI253</f>
        <v>-141.33620576431292</v>
      </c>
      <c r="BJ252" s="388"/>
    </row>
    <row r="253" spans="1:123" s="312" customFormat="1" hidden="1" outlineLevel="1">
      <c r="A253" s="312" t="s">
        <v>1641</v>
      </c>
      <c r="B253" s="363"/>
      <c r="C253" s="363"/>
      <c r="D253" s="363"/>
      <c r="E253" s="363"/>
      <c r="F253" s="363"/>
      <c r="G253" s="363"/>
      <c r="H253" s="363"/>
      <c r="I253" s="363"/>
      <c r="J253" s="514">
        <v>0</v>
      </c>
      <c r="K253" s="514">
        <v>-3.1259999999999999</v>
      </c>
      <c r="L253" s="411">
        <f t="shared" si="1180"/>
        <v>-3.2509999999999999</v>
      </c>
      <c r="M253" s="514">
        <v>-6.3769999999999998</v>
      </c>
      <c r="N253" s="411">
        <f>-N246</f>
        <v>-3.177104305779415</v>
      </c>
      <c r="O253" s="411">
        <f t="shared" si="1184"/>
        <v>-2.9088956942205852</v>
      </c>
      <c r="P253" s="514">
        <v>-6.0860000000000003</v>
      </c>
      <c r="Q253" s="411">
        <f>-Q246</f>
        <v>-3.3167414229795078</v>
      </c>
      <c r="R253" s="411">
        <f t="shared" ref="R253:AT253" si="1193">-R246</f>
        <v>-3.1577051880473523</v>
      </c>
      <c r="S253" s="411">
        <f t="shared" si="1193"/>
        <v>-6.4780579776831946</v>
      </c>
      <c r="T253" s="411">
        <f t="shared" si="1193"/>
        <v>-7.561277918489524</v>
      </c>
      <c r="U253" s="411">
        <f t="shared" si="1193"/>
        <v>-8.9986100267347258</v>
      </c>
      <c r="V253" s="411">
        <f t="shared" si="1193"/>
        <v>-15.712423559185554</v>
      </c>
      <c r="W253" s="411">
        <f t="shared" ref="W253:X253" si="1194">-W246</f>
        <v>-9.0310665438636892</v>
      </c>
      <c r="X253" s="411">
        <f t="shared" si="1194"/>
        <v>-8.517986223085753</v>
      </c>
      <c r="Y253" s="411">
        <f t="shared" si="1193"/>
        <v>-18.049896845498505</v>
      </c>
      <c r="Z253" s="411">
        <f t="shared" si="1193"/>
        <v>-10.340344462353212</v>
      </c>
      <c r="AA253" s="411">
        <f t="shared" si="1193"/>
        <v>-8.5805285002225347</v>
      </c>
      <c r="AB253" s="836">
        <f t="shared" si="1193"/>
        <v>-18.346641036603216</v>
      </c>
      <c r="AC253" s="411">
        <f t="shared" ref="AC253:AD253" si="1195">-AC246</f>
        <v>-9.7753179829610861</v>
      </c>
      <c r="AD253" s="411">
        <f t="shared" si="1195"/>
        <v>-6.3970646992544049</v>
      </c>
      <c r="AE253" s="411">
        <f t="shared" si="1193"/>
        <v>-16.096160046456514</v>
      </c>
      <c r="AF253" s="411">
        <f t="shared" si="1193"/>
        <v>-11.03288861665226</v>
      </c>
      <c r="AG253" s="411">
        <f t="shared" si="1193"/>
        <v>-6.8587981761347576</v>
      </c>
      <c r="AH253" s="411">
        <f t="shared" si="1193"/>
        <v>-18.294973246006446</v>
      </c>
      <c r="AI253" s="411">
        <f t="shared" ref="AI253:AJ253" si="1196">-AI246</f>
        <v>-12.068978823965459</v>
      </c>
      <c r="AJ253" s="411">
        <f t="shared" si="1196"/>
        <v>-7.502902714043814</v>
      </c>
      <c r="AK253" s="411">
        <f t="shared" si="1193"/>
        <v>-18.901653096409543</v>
      </c>
      <c r="AL253" s="411"/>
      <c r="AM253" s="411"/>
      <c r="AN253" s="411">
        <f t="shared" si="1193"/>
        <v>-21.382979024781726</v>
      </c>
      <c r="AO253" s="411"/>
      <c r="AP253" s="411"/>
      <c r="AQ253" s="411">
        <f t="shared" si="1193"/>
        <v>-24.219071696392302</v>
      </c>
      <c r="AR253" s="411"/>
      <c r="AS253" s="411"/>
      <c r="AT253" s="411">
        <f t="shared" si="1193"/>
        <v>-25.228043877689281</v>
      </c>
      <c r="AU253" s="411"/>
      <c r="AV253" s="411"/>
      <c r="AW253" s="411">
        <f t="shared" ref="AW253" si="1197">-AW246</f>
        <v>-28.667103214049039</v>
      </c>
      <c r="AX253" s="411"/>
      <c r="AY253" s="411"/>
      <c r="AZ253" s="411">
        <f t="shared" ref="AZ253:BC253" si="1198">-AZ246</f>
        <v>-32.53722266486627</v>
      </c>
      <c r="BA253" s="411"/>
      <c r="BB253" s="411"/>
      <c r="BC253" s="411">
        <f t="shared" si="1198"/>
        <v>-33.946328189829629</v>
      </c>
      <c r="BD253" s="411"/>
      <c r="BE253" s="411"/>
      <c r="BF253" s="411">
        <f t="shared" ref="BF253" si="1199">-BF246</f>
        <v>-38.643563691609955</v>
      </c>
      <c r="BG253" s="411"/>
      <c r="BH253" s="411"/>
      <c r="BI253" s="411">
        <f t="shared" ref="BI253" si="1200">-BI246</f>
        <v>-43.945332185254202</v>
      </c>
      <c r="BJ253" s="388"/>
    </row>
    <row r="254" spans="1:123" s="312" customFormat="1" hidden="1" outlineLevel="1">
      <c r="B254" s="363"/>
      <c r="C254" s="363"/>
      <c r="D254" s="363"/>
      <c r="E254" s="363"/>
      <c r="F254" s="363"/>
      <c r="G254" s="363"/>
      <c r="H254" s="363"/>
      <c r="I254" s="363"/>
      <c r="J254" s="363"/>
      <c r="K254" s="363"/>
      <c r="L254" s="363"/>
      <c r="M254" s="363"/>
      <c r="N254" s="363"/>
      <c r="O254" s="363"/>
      <c r="P254" s="363"/>
      <c r="Q254" s="363"/>
      <c r="R254" s="363"/>
      <c r="S254" s="363"/>
      <c r="T254" s="363"/>
      <c r="U254" s="363"/>
      <c r="V254" s="363"/>
      <c r="W254" s="363"/>
      <c r="X254" s="363"/>
      <c r="Y254" s="363"/>
      <c r="Z254" s="363"/>
      <c r="AA254" s="363"/>
      <c r="AB254" s="851"/>
      <c r="AC254" s="363"/>
      <c r="AD254" s="363"/>
      <c r="AE254" s="363"/>
      <c r="AF254" s="363"/>
      <c r="AG254" s="363"/>
      <c r="AH254" s="363"/>
      <c r="AI254" s="363"/>
      <c r="AJ254" s="363"/>
      <c r="AK254" s="363"/>
      <c r="AL254" s="363"/>
      <c r="AM254" s="363"/>
      <c r="AN254" s="363"/>
      <c r="AO254" s="363"/>
      <c r="AP254" s="363"/>
      <c r="AQ254" s="363"/>
      <c r="AR254" s="363"/>
      <c r="AS254" s="363"/>
      <c r="AT254" s="363"/>
      <c r="AU254" s="363"/>
      <c r="AV254" s="363"/>
      <c r="AW254" s="363"/>
      <c r="AX254" s="363"/>
      <c r="AY254" s="363"/>
      <c r="AZ254" s="363"/>
      <c r="BA254" s="363"/>
      <c r="BB254" s="363"/>
      <c r="BC254" s="363"/>
      <c r="BD254" s="363"/>
      <c r="BE254" s="363"/>
      <c r="BF254" s="363"/>
      <c r="BG254" s="363"/>
      <c r="BH254" s="363"/>
      <c r="BI254" s="363"/>
      <c r="BJ254" s="388"/>
    </row>
    <row r="255" spans="1:123" s="312" customFormat="1" collapsed="1">
      <c r="B255" s="363"/>
      <c r="C255" s="363"/>
      <c r="D255" s="363"/>
      <c r="E255" s="363"/>
      <c r="F255" s="363"/>
      <c r="G255" s="363"/>
      <c r="H255" s="363"/>
      <c r="I255" s="363"/>
      <c r="J255" s="363"/>
      <c r="K255" s="363"/>
      <c r="L255" s="363"/>
      <c r="M255" s="363"/>
      <c r="N255" s="363"/>
      <c r="O255" s="363"/>
      <c r="P255" s="363"/>
      <c r="Q255" s="363"/>
      <c r="R255" s="363"/>
      <c r="S255" s="363"/>
      <c r="T255" s="363"/>
      <c r="U255" s="363"/>
      <c r="V255" s="363"/>
      <c r="W255" s="363"/>
      <c r="X255" s="363"/>
      <c r="Y255" s="363"/>
      <c r="Z255" s="363"/>
      <c r="AA255" s="363"/>
      <c r="AB255" s="851"/>
      <c r="AC255" s="363"/>
      <c r="AD255" s="363"/>
      <c r="AE255" s="363"/>
      <c r="AF255" s="363"/>
      <c r="AG255" s="363"/>
      <c r="AH255" s="363"/>
      <c r="AI255" s="363"/>
      <c r="AJ255" s="363"/>
      <c r="AK255" s="363"/>
      <c r="AL255" s="363"/>
      <c r="AM255" s="363"/>
      <c r="AN255" s="363"/>
      <c r="AO255" s="363"/>
      <c r="AP255" s="363"/>
      <c r="AQ255" s="363"/>
      <c r="AR255" s="363"/>
      <c r="AS255" s="363"/>
      <c r="AT255" s="363"/>
      <c r="AU255" s="363"/>
      <c r="AV255" s="363"/>
      <c r="AW255" s="363"/>
      <c r="AX255" s="363"/>
      <c r="AY255" s="363"/>
      <c r="AZ255" s="363"/>
      <c r="BA255" s="363"/>
      <c r="BB255" s="363"/>
      <c r="BC255" s="363"/>
      <c r="BD255" s="363"/>
      <c r="BE255" s="363"/>
      <c r="BF255" s="363"/>
      <c r="BG255" s="363"/>
      <c r="BH255" s="363"/>
      <c r="BI255" s="363"/>
      <c r="BJ255" s="388"/>
    </row>
    <row r="257" spans="1:1">
      <c r="A257" s="1083" t="s">
        <v>1837</v>
      </c>
    </row>
  </sheetData>
  <dataConsolidate/>
  <customSheetViews>
    <customSheetView guid="{24B33D16-1EBA-11D1-AB32-00805F1DF0BB}" scale="70" showPageBreaks="1" hiddenColumns="1" showRuler="0">
      <pane xSplit="2" ySplit="2" topLeftCell="C3" activePane="bottomRight" state="frozen"/>
      <selection pane="bottomRight" activeCell="AC136" sqref="AC136"/>
      <rowBreaks count="2" manualBreakCount="2">
        <brk id="67" max="65535" man="1"/>
        <brk id="140" max="65535" man="1"/>
      </rowBreaks>
      <pageMargins left="0" right="0" top="0" bottom="0" header="0.19685039370078741" footer="0.19685039370078741"/>
      <printOptions horizontalCentered="1"/>
      <pageSetup paperSize="9" scale="70" fitToHeight="3" orientation="portrait" blackAndWhite="1" r:id="rId1"/>
      <headerFooter alignWithMargins="0">
        <oddHeader>&amp;R&amp;"Times,Bold"&amp;14J B Were &amp;&amp; Son</oddHeader>
        <oddFooter>&amp;LUpdated &amp;D&amp;C&amp;12Analyst: Lou Capparelli&amp;R&amp;12&amp;P</oddFooter>
      </headerFooter>
    </customSheetView>
    <customSheetView guid="{24B33D15-1EBA-11D1-AB32-00805F1DF0BB}" scale="70" showPageBreaks="1" hiddenColumns="1" showRuler="0">
      <pane xSplit="2" ySplit="2" topLeftCell="C3" activePane="bottomRight" state="frozen"/>
      <selection pane="bottomRight" activeCell="N149" sqref="N149"/>
      <rowBreaks count="2" manualBreakCount="2">
        <brk id="67" max="65535" man="1"/>
        <brk id="140" max="65535" man="1"/>
      </rowBreaks>
      <pageMargins left="0" right="0" top="0" bottom="0" header="0.19685039370078741" footer="0.19685039370078741"/>
      <printOptions horizontalCentered="1"/>
      <pageSetup paperSize="9" scale="80" fitToHeight="3" orientation="portrait" blackAndWhite="1" r:id="rId2"/>
      <headerFooter alignWithMargins="0">
        <oddHeader>&amp;R&amp;"Times,Bold"&amp;14J B Were &amp;&amp; Son</oddHeader>
        <oddFooter>&amp;LUpdated &amp;D&amp;C&amp;12Analyst: Lou Capparelli&amp;R&amp;12&amp;P</oddFooter>
      </headerFooter>
    </customSheetView>
  </customSheetViews>
  <phoneticPr fontId="45" type="noConversion"/>
  <conditionalFormatting sqref="G117 J117 M117 O117 J119 G119 Q117:W117 AE117 Y117:Z117 AH117 AK117:AV117 AB117:AC117">
    <cfRule type="cellIs" dxfId="33" priority="198" operator="lessThan">
      <formula>0</formula>
    </cfRule>
  </conditionalFormatting>
  <conditionalFormatting sqref="C117:C119">
    <cfRule type="cellIs" dxfId="32" priority="128" operator="lessThan">
      <formula>0</formula>
    </cfRule>
  </conditionalFormatting>
  <conditionalFormatting sqref="B117:B119">
    <cfRule type="cellIs" dxfId="31" priority="118" operator="lessThan">
      <formula>0</formula>
    </cfRule>
  </conditionalFormatting>
  <conditionalFormatting sqref="F117 F119">
    <cfRule type="cellIs" dxfId="30" priority="105" operator="lessThan">
      <formula>0</formula>
    </cfRule>
  </conditionalFormatting>
  <conditionalFormatting sqref="E117 E119">
    <cfRule type="cellIs" dxfId="29" priority="95" operator="lessThan">
      <formula>0</formula>
    </cfRule>
  </conditionalFormatting>
  <conditionalFormatting sqref="D117 D119">
    <cfRule type="cellIs" dxfId="28" priority="79" operator="lessThan">
      <formula>0</formula>
    </cfRule>
  </conditionalFormatting>
  <conditionalFormatting sqref="I117 I119">
    <cfRule type="cellIs" dxfId="27" priority="78" operator="lessThan">
      <formula>0</formula>
    </cfRule>
  </conditionalFormatting>
  <conditionalFormatting sqref="H117 H119">
    <cfRule type="cellIs" dxfId="26" priority="68" operator="lessThan">
      <formula>0</formula>
    </cfRule>
  </conditionalFormatting>
  <conditionalFormatting sqref="L117 L119">
    <cfRule type="cellIs" dxfId="25" priority="49" operator="lessThan">
      <formula>0</formula>
    </cfRule>
  </conditionalFormatting>
  <conditionalFormatting sqref="K117 K119">
    <cfRule type="cellIs" dxfId="24" priority="48" operator="lessThan">
      <formula>0</formula>
    </cfRule>
  </conditionalFormatting>
  <conditionalFormatting sqref="N117">
    <cfRule type="cellIs" dxfId="23" priority="39" operator="lessThan">
      <formula>0</formula>
    </cfRule>
  </conditionalFormatting>
  <conditionalFormatting sqref="P117">
    <cfRule type="cellIs" dxfId="22" priority="38" operator="lessThan">
      <formula>0</formula>
    </cfRule>
  </conditionalFormatting>
  <conditionalFormatting sqref="T117:U117">
    <cfRule type="cellIs" dxfId="21" priority="36" operator="lessThan">
      <formula>0</formula>
    </cfRule>
  </conditionalFormatting>
  <conditionalFormatting sqref="AQ117:AS117">
    <cfRule type="cellIs" dxfId="20" priority="35" operator="lessThan">
      <formula>0</formula>
    </cfRule>
  </conditionalFormatting>
  <conditionalFormatting sqref="AT117:AV117 BJ117:BJ119">
    <cfRule type="cellIs" dxfId="19" priority="34" operator="lessThan">
      <formula>0</formula>
    </cfRule>
  </conditionalFormatting>
  <conditionalFormatting sqref="X117">
    <cfRule type="cellIs" dxfId="18" priority="33" operator="lessThan">
      <formula>0</formula>
    </cfRule>
  </conditionalFormatting>
  <conditionalFormatting sqref="X117">
    <cfRule type="cellIs" dxfId="17" priority="32" operator="lessThan">
      <formula>0</formula>
    </cfRule>
  </conditionalFormatting>
  <conditionalFormatting sqref="AW117:AY117">
    <cfRule type="cellIs" dxfId="16" priority="31" operator="lessThan">
      <formula>0</formula>
    </cfRule>
  </conditionalFormatting>
  <conditionalFormatting sqref="AW117:AY117">
    <cfRule type="cellIs" dxfId="15" priority="30" operator="lessThan">
      <formula>0</formula>
    </cfRule>
  </conditionalFormatting>
  <conditionalFormatting sqref="AZ117:BB117">
    <cfRule type="cellIs" dxfId="14" priority="19" operator="lessThan">
      <formula>0</formula>
    </cfRule>
  </conditionalFormatting>
  <conditionalFormatting sqref="AZ117:BB117">
    <cfRule type="cellIs" dxfId="13" priority="18" operator="lessThan">
      <formula>0</formula>
    </cfRule>
  </conditionalFormatting>
  <conditionalFormatting sqref="BC117:BI117">
    <cfRule type="cellIs" dxfId="12" priority="17" operator="lessThan">
      <formula>0</formula>
    </cfRule>
  </conditionalFormatting>
  <conditionalFormatting sqref="BC117:BI117">
    <cfRule type="cellIs" dxfId="11" priority="16" operator="lessThan">
      <formula>0</formula>
    </cfRule>
  </conditionalFormatting>
  <conditionalFormatting sqref="W117">
    <cfRule type="cellIs" dxfId="10" priority="13" operator="lessThan">
      <formula>0</formula>
    </cfRule>
  </conditionalFormatting>
  <conditionalFormatting sqref="AD117">
    <cfRule type="cellIs" dxfId="9" priority="12" operator="lessThan">
      <formula>0</formula>
    </cfRule>
  </conditionalFormatting>
  <conditionalFormatting sqref="AD117">
    <cfRule type="cellIs" dxfId="8" priority="11" operator="lessThan">
      <formula>0</formula>
    </cfRule>
  </conditionalFormatting>
  <conditionalFormatting sqref="Z117">
    <cfRule type="cellIs" dxfId="7" priority="10" operator="lessThan">
      <formula>0</formula>
    </cfRule>
  </conditionalFormatting>
  <conditionalFormatting sqref="AF117:AG117">
    <cfRule type="cellIs" dxfId="6" priority="7" operator="lessThan">
      <formula>0</formula>
    </cfRule>
  </conditionalFormatting>
  <conditionalFormatting sqref="AF117:AG117">
    <cfRule type="cellIs" dxfId="5" priority="6" operator="lessThan">
      <formula>0</formula>
    </cfRule>
  </conditionalFormatting>
  <conditionalFormatting sqref="AI117:AJ117">
    <cfRule type="cellIs" dxfId="4" priority="5" operator="lessThan">
      <formula>0</formula>
    </cfRule>
  </conditionalFormatting>
  <conditionalFormatting sqref="AI117:AJ117">
    <cfRule type="cellIs" dxfId="3" priority="4" operator="lessThan">
      <formula>0</formula>
    </cfRule>
  </conditionalFormatting>
  <conditionalFormatting sqref="AA117">
    <cfRule type="cellIs" dxfId="2" priority="3" operator="lessThan">
      <formula>0</formula>
    </cfRule>
  </conditionalFormatting>
  <conditionalFormatting sqref="AA117">
    <cfRule type="cellIs" dxfId="1" priority="2" operator="lessThan">
      <formula>0</formula>
    </cfRule>
  </conditionalFormatting>
  <conditionalFormatting sqref="AC117">
    <cfRule type="cellIs" dxfId="0" priority="1" operator="lessThan">
      <formula>0</formula>
    </cfRule>
  </conditionalFormatting>
  <printOptions horizontalCentered="1"/>
  <pageMargins left="0.19685039370078741" right="0.19685039370078741" top="0.59055118110236227" bottom="0.59055118110236227" header="0.19685039370078741" footer="0.19685039370078741"/>
  <pageSetup paperSize="9" scale="75" fitToHeight="0" orientation="landscape" blackAndWhite="1" r:id="rId3"/>
  <headerFooter alignWithMargins="0">
    <oddHeader>&amp;R&amp;"Times,Bold"&amp;12George Batsakis
+613 9679 1245</oddHeader>
    <oddFooter>&amp;L&amp;A&amp;C&amp;"Helvetica,Bold"Goldman Sachs Australia Confidential&amp;RPage &amp;P</oddFooter>
  </headerFooter>
  <customProperties>
    <customPr name="Qube.Worksheet.Visibility" r:id="rId4"/>
  </customProperties>
  <ignoredErrors>
    <ignoredError sqref="AD15:AD30 AG15:AG30 AD33:AG52" formula="1"/>
  </ignoredErrors>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4"/>
  </sheetPr>
  <dimension ref="A1:BJ137"/>
  <sheetViews>
    <sheetView zoomScale="70" zoomScaleNormal="70" workbookViewId="0">
      <selection activeCell="BK1" sqref="BK1:BQ1048576"/>
    </sheetView>
  </sheetViews>
  <sheetFormatPr defaultColWidth="9.140625" defaultRowHeight="12.75" outlineLevelRow="1" outlineLevelCol="1"/>
  <cols>
    <col min="1" max="1" width="38.85546875" style="314" customWidth="1"/>
    <col min="2" max="3" width="8.85546875" style="314" hidden="1" customWidth="1" outlineLevel="1"/>
    <col min="4" max="4" width="9.85546875" style="430" customWidth="1" collapsed="1"/>
    <col min="5" max="6" width="9.85546875" style="430" hidden="1" customWidth="1" outlineLevel="1"/>
    <col min="7" max="7" width="9.85546875" style="430" customWidth="1" collapsed="1"/>
    <col min="8" max="9" width="9.85546875" style="430" hidden="1" customWidth="1" outlineLevel="1"/>
    <col min="10" max="10" width="9.85546875" style="430" customWidth="1" collapsed="1"/>
    <col min="11" max="12" width="9.85546875" style="430" hidden="1" customWidth="1" outlineLevel="1"/>
    <col min="13" max="13" width="9.85546875" style="430" customWidth="1" collapsed="1"/>
    <col min="14" max="15" width="9.85546875" style="430" hidden="1" customWidth="1" outlineLevel="1"/>
    <col min="16" max="16" width="9.85546875" style="430" customWidth="1" collapsed="1"/>
    <col min="17" max="18" width="9.85546875" style="430" hidden="1" customWidth="1" outlineLevel="1"/>
    <col min="19" max="19" width="9.85546875" style="430" customWidth="1" collapsed="1"/>
    <col min="20" max="21" width="9.85546875" style="430" hidden="1" customWidth="1" outlineLevel="1"/>
    <col min="22" max="22" width="9.85546875" style="430" customWidth="1" collapsed="1"/>
    <col min="23" max="24" width="9.85546875" style="430" hidden="1" customWidth="1" outlineLevel="1"/>
    <col min="25" max="25" width="9.85546875" style="430" customWidth="1" collapsed="1"/>
    <col min="26" max="27" width="9.85546875" style="430" hidden="1" customWidth="1" outlineLevel="1"/>
    <col min="28" max="28" width="9.85546875" style="826" customWidth="1" collapsed="1"/>
    <col min="29" max="30" width="9.85546875" style="430" hidden="1" customWidth="1" outlineLevel="1"/>
    <col min="31" max="31" width="9.85546875" style="430" customWidth="1" collapsed="1"/>
    <col min="32" max="33" width="9.85546875" style="430" hidden="1" customWidth="1" outlineLevel="1"/>
    <col min="34" max="34" width="9.85546875" style="430" customWidth="1" collapsed="1"/>
    <col min="35" max="36" width="9.85546875" style="430" hidden="1" customWidth="1" outlineLevel="1"/>
    <col min="37" max="37" width="9.85546875" style="430" customWidth="1" collapsed="1"/>
    <col min="38" max="39" width="9.85546875" style="430" hidden="1" customWidth="1" outlineLevel="1"/>
    <col min="40" max="40" width="9.85546875" style="430" customWidth="1" collapsed="1"/>
    <col min="41" max="42" width="9.85546875" style="430" hidden="1" customWidth="1" outlineLevel="1"/>
    <col min="43" max="43" width="9.85546875" style="430" customWidth="1" collapsed="1"/>
    <col min="44" max="45" width="9.85546875" style="430" hidden="1" customWidth="1" outlineLevel="1"/>
    <col min="46" max="46" width="9.85546875" style="430" customWidth="1" collapsed="1"/>
    <col min="47" max="48" width="9.85546875" style="430" hidden="1" customWidth="1" outlineLevel="1"/>
    <col min="49" max="49" width="9.85546875" style="430" customWidth="1" collapsed="1"/>
    <col min="50" max="51" width="9.85546875" style="430" hidden="1" customWidth="1" outlineLevel="1"/>
    <col min="52" max="52" width="9.85546875" style="430" customWidth="1" collapsed="1"/>
    <col min="53" max="54" width="9.85546875" style="430" hidden="1" customWidth="1" outlineLevel="1"/>
    <col min="55" max="55" width="9.85546875" style="430" customWidth="1" collapsed="1"/>
    <col min="56" max="57" width="9.85546875" style="430" hidden="1" customWidth="1" outlineLevel="1"/>
    <col min="58" max="58" width="9.85546875" style="430" customWidth="1" collapsed="1"/>
    <col min="59" max="60" width="9.85546875" style="430" hidden="1" customWidth="1" outlineLevel="1"/>
    <col min="61" max="61" width="9.85546875" style="430" customWidth="1" collapsed="1"/>
    <col min="62" max="62" width="9.7109375" style="351" customWidth="1"/>
    <col min="63" max="16384" width="9.140625" style="314"/>
  </cols>
  <sheetData>
    <row r="1" spans="1:62" ht="38.25">
      <c r="A1" s="707" t="s">
        <v>983</v>
      </c>
      <c r="B1" s="716"/>
      <c r="C1" s="716"/>
      <c r="D1" s="709"/>
      <c r="E1" s="708"/>
      <c r="F1" s="708"/>
      <c r="G1" s="710"/>
      <c r="H1" s="708"/>
      <c r="I1" s="708"/>
      <c r="J1" s="708"/>
      <c r="K1" s="711" t="s">
        <v>1617</v>
      </c>
      <c r="L1" s="708"/>
      <c r="M1" s="712" t="s">
        <v>1618</v>
      </c>
      <c r="N1" s="713"/>
      <c r="O1" s="713"/>
      <c r="P1" s="713"/>
      <c r="Q1" s="713"/>
      <c r="R1" s="713"/>
      <c r="S1" s="713"/>
      <c r="T1" s="713"/>
      <c r="U1" s="713"/>
      <c r="V1" s="713"/>
      <c r="W1" s="713"/>
      <c r="X1" s="713"/>
      <c r="Y1" s="713"/>
      <c r="Z1" s="713"/>
      <c r="AA1" s="713"/>
      <c r="AB1" s="822"/>
      <c r="AC1" s="713"/>
      <c r="AD1" s="713"/>
      <c r="AE1" s="713"/>
      <c r="AF1" s="713"/>
      <c r="AG1" s="713"/>
      <c r="AH1" s="713"/>
      <c r="AI1" s="713"/>
      <c r="AJ1" s="713"/>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348"/>
    </row>
    <row r="2" spans="1:62">
      <c r="A2" s="714" t="s">
        <v>396</v>
      </c>
      <c r="B2" s="717" t="s">
        <v>1619</v>
      </c>
      <c r="C2" s="718" t="s">
        <v>1620</v>
      </c>
      <c r="D2" s="706" t="str">
        <f>MODEL!D2</f>
        <v>FY17</v>
      </c>
      <c r="E2" s="706" t="str">
        <f>MODEL!E2</f>
        <v>H1 18</v>
      </c>
      <c r="F2" s="706" t="str">
        <f>MODEL!F2</f>
        <v>H2 18</v>
      </c>
      <c r="G2" s="706" t="str">
        <f>MODEL!G2</f>
        <v>FY18</v>
      </c>
      <c r="H2" s="706" t="str">
        <f>MODEL!H2</f>
        <v>H1 19</v>
      </c>
      <c r="I2" s="706" t="str">
        <f>MODEL!I2</f>
        <v>H2 19</v>
      </c>
      <c r="J2" s="706" t="str">
        <f>MODEL!J2</f>
        <v>FY19</v>
      </c>
      <c r="K2" s="706" t="str">
        <f>MODEL!K2</f>
        <v>H1 20</v>
      </c>
      <c r="L2" s="706" t="str">
        <f>MODEL!L2</f>
        <v>H2 20</v>
      </c>
      <c r="M2" s="706" t="str">
        <f>MODEL!M2</f>
        <v>FY20</v>
      </c>
      <c r="N2" s="706" t="str">
        <f>MODEL!N2</f>
        <v>H1 21</v>
      </c>
      <c r="O2" s="706" t="str">
        <f>MODEL!O2</f>
        <v>H2 21</v>
      </c>
      <c r="P2" s="706" t="str">
        <f>MODEL!P2</f>
        <v>FY21</v>
      </c>
      <c r="Q2" s="706" t="str">
        <f>MODEL!Q2</f>
        <v>H1 22</v>
      </c>
      <c r="R2" s="706" t="str">
        <f>MODEL!R2</f>
        <v>H2 22e</v>
      </c>
      <c r="S2" s="706" t="str">
        <f>MODEL!S2</f>
        <v>FY22</v>
      </c>
      <c r="T2" s="706" t="str">
        <f>MODEL!T2</f>
        <v>H1 23</v>
      </c>
      <c r="U2" s="706" t="str">
        <f>MODEL!U2</f>
        <v>H2 23</v>
      </c>
      <c r="V2" s="706" t="str">
        <f>MODEL!V2</f>
        <v>FY23</v>
      </c>
      <c r="W2" s="706" t="str">
        <f>MODEL!W2</f>
        <v>H1 24</v>
      </c>
      <c r="X2" s="706" t="str">
        <f>MODEL!X2</f>
        <v>H2 24</v>
      </c>
      <c r="Y2" s="706" t="str">
        <f>MODEL!Y2</f>
        <v>FY24</v>
      </c>
      <c r="Z2" s="706" t="str">
        <f>MODEL!Z2</f>
        <v>H1 25</v>
      </c>
      <c r="AA2" s="706" t="str">
        <f>MODEL!AA2</f>
        <v>H2 25</v>
      </c>
      <c r="AB2" s="823" t="str">
        <f>MODEL!AB2</f>
        <v>FY25</v>
      </c>
      <c r="AC2" s="706" t="str">
        <f>MODEL!AC2</f>
        <v>H1 26</v>
      </c>
      <c r="AD2" s="706" t="str">
        <f>MODEL!AD2</f>
        <v>H2 26e</v>
      </c>
      <c r="AE2" s="706" t="str">
        <f>MODEL!AE2</f>
        <v>FY26e</v>
      </c>
      <c r="AF2" s="706" t="str">
        <f>MODEL!AF2</f>
        <v>H1 27e</v>
      </c>
      <c r="AG2" s="706" t="str">
        <f>MODEL!AG2</f>
        <v>H2 27e</v>
      </c>
      <c r="AH2" s="706" t="str">
        <f>MODEL!AH2</f>
        <v>FY27e</v>
      </c>
      <c r="AI2" s="706" t="str">
        <f>MODEL!AI2</f>
        <v>H1 28e</v>
      </c>
      <c r="AJ2" s="706" t="str">
        <f>MODEL!AJ2</f>
        <v>H2 28e</v>
      </c>
      <c r="AK2" s="706" t="str">
        <f>MODEL!AK2</f>
        <v>FY28e</v>
      </c>
      <c r="AL2" s="706" t="str">
        <f>MODEL!AL2</f>
        <v>H1 29e</v>
      </c>
      <c r="AM2" s="706" t="str">
        <f>MODEL!AM2</f>
        <v>H2 29e</v>
      </c>
      <c r="AN2" s="706" t="str">
        <f>MODEL!AN2</f>
        <v>FY29e</v>
      </c>
      <c r="AO2" s="706" t="str">
        <f>MODEL!AO2</f>
        <v>H1 30e</v>
      </c>
      <c r="AP2" s="706" t="str">
        <f>MODEL!AP2</f>
        <v>H2 30e</v>
      </c>
      <c r="AQ2" s="706" t="str">
        <f>MODEL!AQ2</f>
        <v>FY30e</v>
      </c>
      <c r="AR2" s="706" t="str">
        <f>MODEL!AR2</f>
        <v>H1 31e</v>
      </c>
      <c r="AS2" s="706" t="str">
        <f>MODEL!AS2</f>
        <v>H2 31e</v>
      </c>
      <c r="AT2" s="706" t="str">
        <f>MODEL!AT2</f>
        <v>FY31e</v>
      </c>
      <c r="AU2" s="706" t="str">
        <f>MODEL!AU2</f>
        <v>H1 32e</v>
      </c>
      <c r="AV2" s="706" t="str">
        <f>MODEL!AV2</f>
        <v>H2 32e</v>
      </c>
      <c r="AW2" s="706" t="str">
        <f>MODEL!AW2</f>
        <v>FY32e</v>
      </c>
      <c r="AX2" s="706" t="str">
        <f>MODEL!AX2</f>
        <v>H1 33e</v>
      </c>
      <c r="AY2" s="706" t="str">
        <f>MODEL!AY2</f>
        <v>H2 33e</v>
      </c>
      <c r="AZ2" s="706" t="str">
        <f>MODEL!AZ2</f>
        <v>FY33e</v>
      </c>
      <c r="BA2" s="706" t="str">
        <f>MODEL!BA2</f>
        <v>H1 34e</v>
      </c>
      <c r="BB2" s="706" t="str">
        <f>MODEL!BB2</f>
        <v>H2 34e</v>
      </c>
      <c r="BC2" s="706" t="str">
        <f>MODEL!BC2</f>
        <v>FY34e</v>
      </c>
      <c r="BD2" s="706" t="str">
        <f>MODEL!BD2</f>
        <v>H1 35e</v>
      </c>
      <c r="BE2" s="706" t="str">
        <f>MODEL!BE2</f>
        <v>H2 35e</v>
      </c>
      <c r="BF2" s="706" t="str">
        <f>MODEL!BF2</f>
        <v>FY35e</v>
      </c>
      <c r="BG2" s="706" t="str">
        <f>MODEL!BG2</f>
        <v>H1 36e</v>
      </c>
      <c r="BH2" s="706" t="str">
        <f>MODEL!BH2</f>
        <v>H2 36e</v>
      </c>
      <c r="BI2" s="706" t="str">
        <f>MODEL!BI2</f>
        <v>FY36e</v>
      </c>
      <c r="BJ2" s="349"/>
    </row>
    <row r="3" spans="1:62" ht="15">
      <c r="A3" s="339" t="e">
        <f>_xll.Exchange.Rtd.QVS(#REF!,#REF!,#REF!,#REF!,#REF!)</f>
        <v>#VALUE!</v>
      </c>
      <c r="B3" s="433"/>
      <c r="C3" s="433"/>
      <c r="D3" s="395"/>
      <c r="E3" s="395"/>
      <c r="F3" s="395"/>
      <c r="G3" s="395"/>
      <c r="H3" s="395"/>
      <c r="I3" s="395"/>
      <c r="J3" s="395"/>
      <c r="K3" s="395"/>
      <c r="L3" s="395"/>
      <c r="M3" s="395"/>
      <c r="N3" s="395"/>
      <c r="O3" s="395"/>
      <c r="P3" s="395"/>
      <c r="Q3" s="395"/>
      <c r="R3" s="395"/>
      <c r="S3" s="395"/>
      <c r="T3" s="395"/>
      <c r="U3" s="395"/>
      <c r="V3" s="395"/>
      <c r="W3" s="395"/>
      <c r="X3" s="395"/>
      <c r="Y3" s="395"/>
      <c r="Z3" s="395"/>
      <c r="AA3" s="395"/>
      <c r="AB3" s="824"/>
      <c r="AC3" s="395"/>
      <c r="AD3" s="395"/>
      <c r="AE3" s="395"/>
      <c r="AF3" s="395"/>
      <c r="AG3" s="395"/>
      <c r="AH3" s="395"/>
      <c r="AI3" s="395"/>
      <c r="AJ3" s="395"/>
      <c r="AK3" s="395"/>
      <c r="AL3" s="395"/>
      <c r="AM3" s="395"/>
      <c r="AN3" s="395"/>
      <c r="AO3" s="395"/>
      <c r="AP3" s="395"/>
      <c r="AQ3" s="395"/>
      <c r="AR3" s="395"/>
      <c r="AS3" s="395"/>
      <c r="AT3" s="395"/>
      <c r="AU3" s="395"/>
      <c r="AV3" s="395"/>
      <c r="AW3" s="395"/>
      <c r="AX3" s="395"/>
      <c r="AY3" s="395"/>
      <c r="AZ3" s="395"/>
      <c r="BA3" s="395"/>
      <c r="BB3" s="395"/>
      <c r="BC3" s="395"/>
      <c r="BD3" s="395"/>
      <c r="BE3" s="395"/>
      <c r="BF3" s="395"/>
      <c r="BG3" s="395"/>
      <c r="BH3" s="395"/>
      <c r="BI3" s="395"/>
      <c r="BJ3" s="350"/>
    </row>
    <row r="4" spans="1:62" hidden="1" outlineLevel="1">
      <c r="A4" s="327" t="s">
        <v>1065</v>
      </c>
      <c r="B4" s="434"/>
      <c r="C4" s="434"/>
      <c r="D4" s="396"/>
      <c r="E4" s="396"/>
      <c r="F4" s="396"/>
      <c r="G4" s="396"/>
      <c r="H4" s="396"/>
      <c r="I4" s="396"/>
      <c r="J4" s="396"/>
      <c r="K4" s="396"/>
      <c r="L4" s="396"/>
      <c r="M4" s="467"/>
      <c r="N4" s="396"/>
      <c r="O4" s="396"/>
      <c r="P4" s="396"/>
      <c r="Q4" s="396"/>
      <c r="R4" s="396"/>
      <c r="S4" s="396"/>
      <c r="T4" s="396"/>
      <c r="U4" s="396"/>
      <c r="V4" s="396"/>
      <c r="W4" s="396"/>
      <c r="X4" s="396"/>
      <c r="Y4" s="396"/>
      <c r="Z4" s="396"/>
      <c r="AA4" s="396"/>
      <c r="AB4" s="866"/>
      <c r="AC4" s="396"/>
      <c r="AD4" s="396"/>
      <c r="AE4" s="396"/>
      <c r="AF4" s="396"/>
      <c r="AG4" s="396"/>
      <c r="AH4" s="396"/>
      <c r="AI4" s="396"/>
      <c r="AJ4" s="396"/>
      <c r="AK4" s="396"/>
      <c r="AL4" s="396"/>
      <c r="AM4" s="396"/>
      <c r="AN4" s="396"/>
      <c r="AO4" s="396"/>
      <c r="AP4" s="396"/>
      <c r="AQ4" s="396"/>
      <c r="AR4" s="396"/>
      <c r="AS4" s="396"/>
      <c r="AT4" s="396"/>
      <c r="AU4" s="396"/>
      <c r="AV4" s="396"/>
      <c r="AW4" s="396"/>
      <c r="AX4" s="396"/>
      <c r="AY4" s="396"/>
      <c r="AZ4" s="396"/>
      <c r="BA4" s="396"/>
      <c r="BB4" s="396"/>
      <c r="BC4" s="396"/>
      <c r="BD4" s="396"/>
      <c r="BE4" s="396"/>
      <c r="BF4" s="396"/>
      <c r="BG4" s="396"/>
      <c r="BH4" s="396"/>
      <c r="BI4" s="396"/>
      <c r="BJ4" s="320"/>
    </row>
    <row r="5" spans="1:62" s="312" customFormat="1" hidden="1" outlineLevel="1">
      <c r="A5" s="362" t="s">
        <v>1578</v>
      </c>
      <c r="B5" s="393">
        <v>63.331000000000003</v>
      </c>
      <c r="C5" s="340">
        <f>D5-B5</f>
        <v>50.75</v>
      </c>
      <c r="D5" s="500">
        <v>114.081</v>
      </c>
      <c r="E5" s="497">
        <v>68.709000000000003</v>
      </c>
      <c r="F5" s="409">
        <f>+G5-E5</f>
        <v>55.188000000000002</v>
      </c>
      <c r="G5" s="497">
        <v>123.89700000000001</v>
      </c>
      <c r="H5" s="497">
        <v>74.13</v>
      </c>
      <c r="I5" s="409">
        <f>+J5-H5</f>
        <v>58.730000000000018</v>
      </c>
      <c r="J5" s="497">
        <v>132.86000000000001</v>
      </c>
      <c r="K5" s="497">
        <v>82.259</v>
      </c>
      <c r="L5" s="409">
        <f>+M5-K5</f>
        <v>75.130999999999986</v>
      </c>
      <c r="M5" s="497">
        <v>157.38999999999999</v>
      </c>
      <c r="N5" s="512">
        <f>132.754-N28</f>
        <v>106.89067785005692</v>
      </c>
      <c r="O5" s="409">
        <f>+P5-N5</f>
        <v>107.15972214994305</v>
      </c>
      <c r="P5" s="409">
        <f>+M5*(1+P6)</f>
        <v>214.05039999999997</v>
      </c>
      <c r="Q5" s="409"/>
      <c r="R5" s="409"/>
      <c r="S5" s="409"/>
      <c r="T5" s="409"/>
      <c r="U5" s="409"/>
      <c r="V5" s="409"/>
      <c r="W5" s="409"/>
      <c r="X5" s="409"/>
      <c r="Y5" s="409"/>
      <c r="Z5" s="409"/>
      <c r="AA5" s="409"/>
      <c r="AB5" s="831"/>
      <c r="AC5" s="409"/>
      <c r="AD5" s="409"/>
      <c r="AE5" s="409"/>
      <c r="AF5" s="409"/>
      <c r="AG5" s="409"/>
      <c r="AH5" s="409"/>
      <c r="AI5" s="409"/>
      <c r="AJ5" s="409"/>
      <c r="AK5" s="409"/>
      <c r="AL5" s="409"/>
      <c r="AM5" s="409"/>
      <c r="AN5" s="409"/>
      <c r="AO5" s="409"/>
      <c r="AP5" s="409"/>
      <c r="AQ5" s="409"/>
      <c r="AR5" s="409"/>
      <c r="AS5" s="409"/>
      <c r="AT5" s="409"/>
      <c r="AU5" s="409"/>
      <c r="AV5" s="409"/>
      <c r="AW5" s="409"/>
      <c r="AX5" s="409"/>
      <c r="AY5" s="409"/>
      <c r="AZ5" s="409"/>
      <c r="BA5" s="409"/>
      <c r="BB5" s="409"/>
      <c r="BC5" s="409"/>
      <c r="BD5" s="409"/>
      <c r="BE5" s="409"/>
      <c r="BF5" s="409"/>
      <c r="BG5" s="409"/>
      <c r="BH5" s="409"/>
      <c r="BI5" s="409"/>
      <c r="BJ5" s="323"/>
    </row>
    <row r="6" spans="1:62" s="312" customFormat="1" hidden="1" outlineLevel="1">
      <c r="A6" s="363" t="s">
        <v>1359</v>
      </c>
      <c r="B6" s="371">
        <f>B5/52.7-1</f>
        <v>0.20172675521821626</v>
      </c>
      <c r="C6" s="371">
        <f>C5/(93.201-52.7)-1</f>
        <v>0.2530554801116025</v>
      </c>
      <c r="D6" s="397">
        <f>D5/93.201-1</f>
        <v>0.22403193098786511</v>
      </c>
      <c r="E6" s="397">
        <f t="shared" ref="E6:N6" si="0">+E5/B5-1</f>
        <v>8.4918918065402416E-2</v>
      </c>
      <c r="F6" s="397">
        <f t="shared" si="0"/>
        <v>8.7448275862068936E-2</v>
      </c>
      <c r="G6" s="397">
        <f>+G5/D5-1</f>
        <v>8.604412654166782E-2</v>
      </c>
      <c r="H6" s="397">
        <f t="shared" si="0"/>
        <v>7.8897960965812253E-2</v>
      </c>
      <c r="I6" s="397">
        <f t="shared" si="0"/>
        <v>6.4180618975139714E-2</v>
      </c>
      <c r="J6" s="397">
        <f t="shared" si="0"/>
        <v>7.2342348886575092E-2</v>
      </c>
      <c r="K6" s="397">
        <f t="shared" si="0"/>
        <v>0.10965870767570496</v>
      </c>
      <c r="L6" s="397">
        <f t="shared" si="0"/>
        <v>0.27926102502979666</v>
      </c>
      <c r="M6" s="397">
        <f t="shared" si="0"/>
        <v>0.18463043805509538</v>
      </c>
      <c r="N6" s="397">
        <f t="shared" si="0"/>
        <v>0.29944052140260546</v>
      </c>
      <c r="O6" s="397">
        <f>+O5/L5-1</f>
        <v>0.42630501590479386</v>
      </c>
      <c r="P6" s="520">
        <v>0.36</v>
      </c>
      <c r="Q6" s="397"/>
      <c r="R6" s="397"/>
      <c r="S6" s="397"/>
      <c r="T6" s="397"/>
      <c r="U6" s="397"/>
      <c r="V6" s="397"/>
      <c r="W6" s="397"/>
      <c r="X6" s="397"/>
      <c r="Y6" s="397"/>
      <c r="Z6" s="397"/>
      <c r="AA6" s="397"/>
      <c r="AB6" s="828"/>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c r="BH6" s="397"/>
      <c r="BI6" s="397"/>
      <c r="BJ6" s="336"/>
    </row>
    <row r="7" spans="1:62" s="312" customFormat="1" hidden="1" outlineLevel="1">
      <c r="A7" s="363" t="s">
        <v>1589</v>
      </c>
      <c r="B7" s="435">
        <f>+B5/D5</f>
        <v>0.55514064568157717</v>
      </c>
      <c r="C7" s="435">
        <f>+C5/D5</f>
        <v>0.44485935431842288</v>
      </c>
      <c r="D7" s="397"/>
      <c r="E7" s="398">
        <f>+E5/G5</f>
        <v>0.55456548584711496</v>
      </c>
      <c r="F7" s="398">
        <f>+F5/G5</f>
        <v>0.44543451415288504</v>
      </c>
      <c r="G7" s="408"/>
      <c r="H7" s="398">
        <f>+H5/J5</f>
        <v>0.55795574288724969</v>
      </c>
      <c r="I7" s="398">
        <f>+I5/J5</f>
        <v>0.44204425711275036</v>
      </c>
      <c r="J7" s="408"/>
      <c r="K7" s="398">
        <f>+K5/M5</f>
        <v>0.52264438655568979</v>
      </c>
      <c r="L7" s="398">
        <f>+L5/M5</f>
        <v>0.47735561344431027</v>
      </c>
      <c r="M7" s="408"/>
      <c r="N7" s="408"/>
      <c r="O7" s="398">
        <f>+O5/P5</f>
        <v>0.50062846016612472</v>
      </c>
      <c r="P7" s="408"/>
      <c r="Q7" s="408"/>
      <c r="R7" s="408"/>
      <c r="S7" s="408"/>
      <c r="T7" s="408"/>
      <c r="U7" s="408"/>
      <c r="V7" s="408"/>
      <c r="W7" s="408"/>
      <c r="X7" s="408"/>
      <c r="Y7" s="408"/>
      <c r="Z7" s="408"/>
      <c r="AA7" s="408"/>
      <c r="AB7" s="834"/>
      <c r="AC7" s="408"/>
      <c r="AD7" s="408"/>
      <c r="AE7" s="408"/>
      <c r="AF7" s="408"/>
      <c r="AG7" s="408"/>
      <c r="AH7" s="408"/>
      <c r="AI7" s="408"/>
      <c r="AJ7" s="408"/>
      <c r="AK7" s="408"/>
      <c r="AL7" s="408"/>
      <c r="AM7" s="408"/>
      <c r="AN7" s="408"/>
      <c r="AO7" s="408"/>
      <c r="AP7" s="408"/>
      <c r="AQ7" s="408"/>
      <c r="AR7" s="408"/>
      <c r="AS7" s="408"/>
      <c r="AT7" s="408"/>
      <c r="AU7" s="408"/>
      <c r="AV7" s="408"/>
      <c r="AW7" s="408"/>
      <c r="AX7" s="408"/>
      <c r="AY7" s="408"/>
      <c r="AZ7" s="408"/>
      <c r="BA7" s="408"/>
      <c r="BB7" s="408"/>
      <c r="BC7" s="408"/>
      <c r="BD7" s="408"/>
      <c r="BE7" s="408"/>
      <c r="BF7" s="408"/>
      <c r="BG7" s="408"/>
      <c r="BH7" s="408"/>
      <c r="BI7" s="408"/>
      <c r="BJ7" s="326"/>
    </row>
    <row r="8" spans="1:62" s="312" customFormat="1" hidden="1" outlineLevel="1">
      <c r="A8" s="364" t="s">
        <v>1567</v>
      </c>
      <c r="B8" s="359">
        <v>0.754</v>
      </c>
      <c r="C8" s="359">
        <f>+C10/C13</f>
        <v>0.74647870579667641</v>
      </c>
      <c r="D8" s="521">
        <v>0.751</v>
      </c>
      <c r="E8" s="399">
        <f>+E10/E13</f>
        <v>0.77108194057251644</v>
      </c>
      <c r="F8" s="521">
        <f>+F10/F13</f>
        <v>0.74786152144800733</v>
      </c>
      <c r="G8" s="522">
        <f>+G10/G13</f>
        <v>0.76248213654252117</v>
      </c>
      <c r="H8" s="399">
        <f>+H10/H13</f>
        <v>0.73479381853098036</v>
      </c>
      <c r="I8" s="399">
        <f>+I10/I13</f>
        <v>0.72445202236681561</v>
      </c>
      <c r="J8" s="521">
        <v>0.73066926964155665</v>
      </c>
      <c r="K8" s="399">
        <f>+K10/K13</f>
        <v>0.70114782577583257</v>
      </c>
      <c r="L8" s="399">
        <f>+M8*2-K8</f>
        <v>0.6816958280752925</v>
      </c>
      <c r="M8" s="521">
        <v>0.69142182692556253</v>
      </c>
      <c r="N8" s="399">
        <f>+N10/N13</f>
        <v>0.74188338302749035</v>
      </c>
      <c r="O8" s="399">
        <f>+P8*2-N8</f>
        <v>0.75273835500500874</v>
      </c>
      <c r="P8" s="399">
        <v>0.74731086901624955</v>
      </c>
      <c r="Q8" s="399"/>
      <c r="R8" s="399"/>
      <c r="S8" s="399"/>
      <c r="T8" s="399"/>
      <c r="U8" s="399"/>
      <c r="V8" s="399"/>
      <c r="W8" s="399"/>
      <c r="X8" s="399"/>
      <c r="Y8" s="399"/>
      <c r="Z8" s="399"/>
      <c r="AA8" s="399"/>
      <c r="AB8" s="841"/>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A8" s="399"/>
      <c r="BB8" s="399"/>
      <c r="BC8" s="399"/>
      <c r="BD8" s="399"/>
      <c r="BE8" s="399"/>
      <c r="BF8" s="399"/>
      <c r="BG8" s="399"/>
      <c r="BH8" s="399"/>
      <c r="BI8" s="399"/>
      <c r="BJ8" s="359"/>
    </row>
    <row r="9" spans="1:62" s="312" customFormat="1" hidden="1" outlineLevel="1">
      <c r="A9" s="363" t="s">
        <v>1580</v>
      </c>
      <c r="B9" s="371"/>
      <c r="C9" s="371"/>
      <c r="D9" s="397"/>
      <c r="E9" s="397">
        <f t="shared" ref="E9:I9" si="1">E8/B8-1</f>
        <v>2.2655093597501841E-2</v>
      </c>
      <c r="F9" s="397">
        <f t="shared" si="1"/>
        <v>1.8524515710800493E-3</v>
      </c>
      <c r="G9" s="397">
        <f t="shared" si="1"/>
        <v>1.5289129883516939E-2</v>
      </c>
      <c r="H9" s="397">
        <f t="shared" si="1"/>
        <v>-4.7061304554212091E-2</v>
      </c>
      <c r="I9" s="397">
        <f t="shared" si="1"/>
        <v>-3.1301916745049674E-2</v>
      </c>
      <c r="J9" s="397">
        <f>J8/G8-1</f>
        <v>-4.1722770116582764E-2</v>
      </c>
      <c r="K9" s="397">
        <f>+K8/H8-1</f>
        <v>-4.5789705774082035E-2</v>
      </c>
      <c r="L9" s="397">
        <f>+L8/I8-1</f>
        <v>-5.9018669244426669E-2</v>
      </c>
      <c r="M9" s="397">
        <f>M8/J8-1</f>
        <v>-5.3714374405328003E-2</v>
      </c>
      <c r="N9" s="397">
        <f>+N8/K8-1</f>
        <v>5.8098386323288009E-2</v>
      </c>
      <c r="O9" s="397"/>
      <c r="P9" s="397">
        <f>P8/M8-1</f>
        <v>8.0832047693952802E-2</v>
      </c>
      <c r="Q9" s="397"/>
      <c r="R9" s="397"/>
      <c r="S9" s="397"/>
      <c r="T9" s="397"/>
      <c r="U9" s="397"/>
      <c r="V9" s="397"/>
      <c r="W9" s="397"/>
      <c r="X9" s="397"/>
      <c r="Y9" s="397"/>
      <c r="Z9" s="397"/>
      <c r="AA9" s="397"/>
      <c r="AB9" s="828"/>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36"/>
    </row>
    <row r="10" spans="1:62" s="312" customFormat="1" hidden="1" outlineLevel="1">
      <c r="A10" s="365" t="s">
        <v>1568</v>
      </c>
      <c r="B10" s="340">
        <f>+B13*B8</f>
        <v>120.1499</v>
      </c>
      <c r="C10" s="340">
        <f>+D10-B10</f>
        <v>78.927433000000008</v>
      </c>
      <c r="D10" s="400">
        <f>+D13*D8</f>
        <v>199.07733300000001</v>
      </c>
      <c r="E10" s="400">
        <f>+B10*(1+E11)</f>
        <v>147.4239273</v>
      </c>
      <c r="F10" s="400">
        <f>+G10-E10</f>
        <v>84.103010979000004</v>
      </c>
      <c r="G10" s="409">
        <f>+D10*(1+G11)</f>
        <v>231.52693827900001</v>
      </c>
      <c r="H10" s="400">
        <f>+E10*(1+H11)</f>
        <v>157.89102613829999</v>
      </c>
      <c r="I10" s="409">
        <f>+J10-H10</f>
        <v>103.27136024041192</v>
      </c>
      <c r="J10" s="409">
        <f>+J13*J8</f>
        <v>261.16238637871191</v>
      </c>
      <c r="K10" s="497">
        <f>+H10*1.146</f>
        <v>180.94311595449179</v>
      </c>
      <c r="L10" s="409">
        <f>+M10-K10</f>
        <v>109.73062008501458</v>
      </c>
      <c r="M10" s="409">
        <f>J10*(1+M11)</f>
        <v>290.67373603950637</v>
      </c>
      <c r="N10" s="409">
        <f>K10*(1+N11)</f>
        <v>233.59756269724889</v>
      </c>
      <c r="O10" s="409">
        <f>+P10-N10</f>
        <v>137.30212448916123</v>
      </c>
      <c r="P10" s="409">
        <f>+M10*(1+P11)</f>
        <v>370.89968718641012</v>
      </c>
      <c r="Q10" s="409"/>
      <c r="R10" s="409"/>
      <c r="S10" s="409"/>
      <c r="T10" s="409"/>
      <c r="U10" s="409"/>
      <c r="V10" s="409"/>
      <c r="W10" s="409"/>
      <c r="X10" s="409"/>
      <c r="Y10" s="409"/>
      <c r="Z10" s="409"/>
      <c r="AA10" s="409"/>
      <c r="AB10" s="831"/>
      <c r="AC10" s="409"/>
      <c r="AD10" s="409"/>
      <c r="AE10" s="409"/>
      <c r="AF10" s="409"/>
      <c r="AG10" s="409"/>
      <c r="AH10" s="409"/>
      <c r="AI10" s="409"/>
      <c r="AJ10" s="409"/>
      <c r="AK10" s="409"/>
      <c r="AL10" s="409"/>
      <c r="AM10" s="409"/>
      <c r="AN10" s="409"/>
      <c r="AO10" s="409"/>
      <c r="AP10" s="409"/>
      <c r="AQ10" s="409"/>
      <c r="AR10" s="409"/>
      <c r="AS10" s="409"/>
      <c r="AT10" s="409"/>
      <c r="AU10" s="409"/>
      <c r="AV10" s="409"/>
      <c r="AW10" s="409"/>
      <c r="AX10" s="409"/>
      <c r="AY10" s="409"/>
      <c r="AZ10" s="409"/>
      <c r="BA10" s="409"/>
      <c r="BB10" s="409"/>
      <c r="BC10" s="409"/>
      <c r="BD10" s="409"/>
      <c r="BE10" s="409"/>
      <c r="BF10" s="409"/>
      <c r="BG10" s="409"/>
      <c r="BH10" s="409"/>
      <c r="BI10" s="409"/>
      <c r="BJ10" s="323"/>
    </row>
    <row r="11" spans="1:62" s="312" customFormat="1" hidden="1" outlineLevel="1">
      <c r="A11" s="363" t="s">
        <v>1569</v>
      </c>
      <c r="B11" s="371"/>
      <c r="C11" s="371"/>
      <c r="D11" s="397"/>
      <c r="E11" s="523">
        <v>0.22700000000000001</v>
      </c>
      <c r="F11" s="397">
        <f>+F10/C10-1</f>
        <v>6.557387947736748E-2</v>
      </c>
      <c r="G11" s="523">
        <v>0.16300000000000001</v>
      </c>
      <c r="H11" s="523">
        <v>7.0999999999999994E-2</v>
      </c>
      <c r="I11" s="397">
        <f>I10/F10-1</f>
        <v>0.22791513690512377</v>
      </c>
      <c r="J11" s="397">
        <f>+J10/G10-1</f>
        <v>0.12799999999999967</v>
      </c>
      <c r="K11" s="397">
        <f>K10/H10-1</f>
        <v>0.14599999999999991</v>
      </c>
      <c r="L11" s="397">
        <f>+L10/I10-1</f>
        <v>6.2546477838248071E-2</v>
      </c>
      <c r="M11" s="523">
        <v>0.113</v>
      </c>
      <c r="N11" s="523">
        <v>0.29099999999999998</v>
      </c>
      <c r="O11" s="397">
        <f>O10/L10-1</f>
        <v>0.25126536588224346</v>
      </c>
      <c r="P11" s="523">
        <v>0.27600000000000002</v>
      </c>
      <c r="Q11" s="397"/>
      <c r="R11" s="397"/>
      <c r="S11" s="397"/>
      <c r="T11" s="397"/>
      <c r="U11" s="397"/>
      <c r="V11" s="397"/>
      <c r="W11" s="397"/>
      <c r="X11" s="397"/>
      <c r="Y11" s="397"/>
      <c r="Z11" s="397"/>
      <c r="AA11" s="397"/>
      <c r="AB11" s="828"/>
      <c r="AC11" s="397"/>
      <c r="AD11" s="397"/>
      <c r="AE11" s="397"/>
      <c r="AF11" s="397"/>
      <c r="AG11" s="397"/>
      <c r="AH11" s="397"/>
      <c r="AI11" s="397"/>
      <c r="AJ11" s="397"/>
      <c r="AK11" s="397"/>
      <c r="AL11" s="397"/>
      <c r="AM11" s="397"/>
      <c r="AN11" s="397"/>
      <c r="AO11" s="397"/>
      <c r="AP11" s="397"/>
      <c r="AQ11" s="397"/>
      <c r="AR11" s="397"/>
      <c r="AS11" s="397"/>
      <c r="AT11" s="397"/>
      <c r="AU11" s="397"/>
      <c r="AV11" s="397"/>
      <c r="AW11" s="397"/>
      <c r="AX11" s="397"/>
      <c r="AY11" s="397"/>
      <c r="AZ11" s="397"/>
      <c r="BA11" s="397"/>
      <c r="BB11" s="397"/>
      <c r="BC11" s="397"/>
      <c r="BD11" s="397"/>
      <c r="BE11" s="397"/>
      <c r="BF11" s="397"/>
      <c r="BG11" s="397"/>
      <c r="BH11" s="397"/>
      <c r="BI11" s="397"/>
      <c r="BJ11" s="336"/>
    </row>
    <row r="12" spans="1:62" s="312" customFormat="1" hidden="1" outlineLevel="1">
      <c r="A12" s="363" t="s">
        <v>1589</v>
      </c>
      <c r="B12" s="435">
        <f>+B10/D10</f>
        <v>0.60353380361992293</v>
      </c>
      <c r="C12" s="435">
        <f>+C10/D10</f>
        <v>0.39646619638007707</v>
      </c>
      <c r="D12" s="408"/>
      <c r="E12" s="398">
        <f>+E10/G10</f>
        <v>0.63674632591714997</v>
      </c>
      <c r="F12" s="398">
        <f>+F10/G10</f>
        <v>0.36325367408285003</v>
      </c>
      <c r="G12" s="408"/>
      <c r="H12" s="398">
        <f>+H10/J10</f>
        <v>0.60457031476708134</v>
      </c>
      <c r="I12" s="398">
        <f>+I10/J10</f>
        <v>0.3954296852329186</v>
      </c>
      <c r="J12" s="408"/>
      <c r="K12" s="398">
        <f>+K10/M10</f>
        <v>0.62249558016448814</v>
      </c>
      <c r="L12" s="398">
        <f>+L10/M10</f>
        <v>0.37750441983551192</v>
      </c>
      <c r="M12" s="408"/>
      <c r="N12" s="398">
        <f>+N10/P10</f>
        <v>0.62981331817582609</v>
      </c>
      <c r="O12" s="398">
        <f>+O10/P10</f>
        <v>0.37018668182417391</v>
      </c>
      <c r="P12" s="397"/>
      <c r="Q12" s="397"/>
      <c r="R12" s="397"/>
      <c r="S12" s="397"/>
      <c r="T12" s="397"/>
      <c r="U12" s="397"/>
      <c r="V12" s="397"/>
      <c r="W12" s="397"/>
      <c r="X12" s="397"/>
      <c r="Y12" s="397"/>
      <c r="Z12" s="397"/>
      <c r="AA12" s="397"/>
      <c r="AB12" s="828"/>
      <c r="AC12" s="397"/>
      <c r="AD12" s="397"/>
      <c r="AE12" s="397"/>
      <c r="AF12" s="397"/>
      <c r="AG12" s="397"/>
      <c r="AH12" s="397"/>
      <c r="AI12" s="397"/>
      <c r="AJ12" s="397"/>
      <c r="AK12" s="397"/>
      <c r="AL12" s="397"/>
      <c r="AM12" s="397"/>
      <c r="AN12" s="397"/>
      <c r="AO12" s="397"/>
      <c r="AP12" s="397"/>
      <c r="AQ12" s="397"/>
      <c r="AR12" s="397"/>
      <c r="AS12" s="397"/>
      <c r="AT12" s="397"/>
      <c r="AU12" s="397"/>
      <c r="AV12" s="397"/>
      <c r="AW12" s="397"/>
      <c r="AX12" s="397"/>
      <c r="AY12" s="397"/>
      <c r="AZ12" s="397"/>
      <c r="BA12" s="397"/>
      <c r="BB12" s="397"/>
      <c r="BC12" s="397"/>
      <c r="BD12" s="397"/>
      <c r="BE12" s="397"/>
      <c r="BF12" s="397"/>
      <c r="BG12" s="397"/>
      <c r="BH12" s="397"/>
      <c r="BI12" s="397"/>
      <c r="BJ12" s="336"/>
    </row>
    <row r="13" spans="1:62" s="312" customFormat="1" hidden="1" outlineLevel="1">
      <c r="A13" s="366" t="s">
        <v>1570</v>
      </c>
      <c r="B13" s="394">
        <v>159.35</v>
      </c>
      <c r="C13" s="367">
        <f>D13-B13</f>
        <v>105.73300000000003</v>
      </c>
      <c r="D13" s="524">
        <v>265.08300000000003</v>
      </c>
      <c r="E13" s="506">
        <v>191.191</v>
      </c>
      <c r="F13" s="421">
        <f>+G13-E13</f>
        <v>112.458</v>
      </c>
      <c r="G13" s="506">
        <f>303.649</f>
        <v>303.649</v>
      </c>
      <c r="H13" s="506">
        <v>214.87799999999999</v>
      </c>
      <c r="I13" s="421">
        <f>+J13-H13</f>
        <v>142.55099999999999</v>
      </c>
      <c r="J13" s="506">
        <v>357.42899999999997</v>
      </c>
      <c r="K13" s="506">
        <v>258.06700000000001</v>
      </c>
      <c r="L13" s="421">
        <f>+L10/L8</f>
        <v>160.96712868968146</v>
      </c>
      <c r="M13" s="506">
        <v>420.39699999999999</v>
      </c>
      <c r="N13" s="506">
        <v>314.87099999999998</v>
      </c>
      <c r="O13" s="421">
        <f>+P13-N13</f>
        <v>181.44144849236267</v>
      </c>
      <c r="P13" s="421">
        <f t="shared" ref="P13" si="2">+P10/P8</f>
        <v>496.31244849236265</v>
      </c>
      <c r="Q13" s="421"/>
      <c r="R13" s="421"/>
      <c r="S13" s="421"/>
      <c r="T13" s="421"/>
      <c r="U13" s="421"/>
      <c r="V13" s="421"/>
      <c r="W13" s="421"/>
      <c r="X13" s="421"/>
      <c r="Y13" s="421"/>
      <c r="Z13" s="421"/>
      <c r="AA13" s="421"/>
      <c r="AB13" s="849"/>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323"/>
    </row>
    <row r="14" spans="1:62" s="312" customFormat="1" hidden="1" outlineLevel="1">
      <c r="A14" s="363" t="s">
        <v>1571</v>
      </c>
      <c r="B14" s="371">
        <f>B13/151.766-1</f>
        <v>4.9971666908266599E-2</v>
      </c>
      <c r="C14" s="371">
        <f>C13/(251.751-151.766)-1</f>
        <v>5.7488623293494134E-2</v>
      </c>
      <c r="D14" s="397">
        <f>D13/251.751-1</f>
        <v>5.2957088551783382E-2</v>
      </c>
      <c r="E14" s="397">
        <f>+E13/B13-1</f>
        <v>0.19981801066834026</v>
      </c>
      <c r="F14" s="397">
        <f>+F13/C13-1</f>
        <v>6.3603605307708699E-2</v>
      </c>
      <c r="G14" s="397">
        <f>G13/D13-1</f>
        <v>0.14548650799938123</v>
      </c>
      <c r="H14" s="397">
        <f>+H13/E13-1</f>
        <v>0.12389181499129132</v>
      </c>
      <c r="I14" s="397">
        <f>+I13/F13-1</f>
        <v>0.26759323480766151</v>
      </c>
      <c r="J14" s="397">
        <f>J13/G13-1</f>
        <v>0.17711238963408404</v>
      </c>
      <c r="K14" s="397">
        <f>+K13/H13-1</f>
        <v>0.20099312167834782</v>
      </c>
      <c r="L14" s="397">
        <f>+L13/I13-1</f>
        <v>0.12918975447160297</v>
      </c>
      <c r="M14" s="397">
        <f>M13/J13-1</f>
        <v>0.17616925319434085</v>
      </c>
      <c r="N14" s="397">
        <f>+N13/K13-1</f>
        <v>0.22011338140870373</v>
      </c>
      <c r="O14" s="397">
        <f>+O13/L13-1</f>
        <v>0.12719565770569452</v>
      </c>
      <c r="P14" s="397">
        <f>P13/M13-1</f>
        <v>0.18058037638794433</v>
      </c>
      <c r="Q14" s="397"/>
      <c r="R14" s="397"/>
      <c r="S14" s="397"/>
      <c r="T14" s="397"/>
      <c r="U14" s="397"/>
      <c r="V14" s="397"/>
      <c r="W14" s="397"/>
      <c r="X14" s="397"/>
      <c r="Y14" s="397"/>
      <c r="Z14" s="397"/>
      <c r="AA14" s="397"/>
      <c r="AB14" s="828"/>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397"/>
      <c r="BA14" s="397"/>
      <c r="BB14" s="397"/>
      <c r="BC14" s="397"/>
      <c r="BD14" s="397"/>
      <c r="BE14" s="397"/>
      <c r="BF14" s="397"/>
      <c r="BG14" s="397"/>
      <c r="BH14" s="397"/>
      <c r="BI14" s="397"/>
      <c r="BJ14" s="336"/>
    </row>
    <row r="15" spans="1:62" s="312" customFormat="1" hidden="1" outlineLevel="1">
      <c r="A15" s="363"/>
      <c r="B15" s="371"/>
      <c r="C15" s="371"/>
      <c r="D15" s="397"/>
      <c r="E15" s="397"/>
      <c r="F15" s="400"/>
      <c r="G15" s="397"/>
      <c r="H15" s="397"/>
      <c r="I15" s="397"/>
      <c r="J15" s="397"/>
      <c r="K15" s="397"/>
      <c r="L15" s="397"/>
      <c r="M15" s="397"/>
      <c r="N15" s="397"/>
      <c r="O15" s="397"/>
      <c r="P15" s="397"/>
      <c r="Q15" s="397"/>
      <c r="R15" s="397"/>
      <c r="S15" s="397"/>
      <c r="T15" s="397"/>
      <c r="U15" s="397"/>
      <c r="V15" s="397"/>
      <c r="W15" s="397"/>
      <c r="X15" s="397"/>
      <c r="Y15" s="397"/>
      <c r="Z15" s="397"/>
      <c r="AA15" s="397"/>
      <c r="AB15" s="828"/>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397"/>
      <c r="BA15" s="397"/>
      <c r="BB15" s="397"/>
      <c r="BC15" s="397"/>
      <c r="BD15" s="397"/>
      <c r="BE15" s="397"/>
      <c r="BF15" s="397"/>
      <c r="BG15" s="397"/>
      <c r="BH15" s="397"/>
      <c r="BI15" s="397"/>
      <c r="BJ15" s="336"/>
    </row>
    <row r="16" spans="1:62" s="312" customFormat="1" hidden="1" outlineLevel="1">
      <c r="A16" s="364" t="s">
        <v>1572</v>
      </c>
      <c r="B16" s="438">
        <v>0.59</v>
      </c>
      <c r="C16" s="438"/>
      <c r="D16" s="401">
        <v>0.59399999999999997</v>
      </c>
      <c r="E16" s="503">
        <v>0.59130000000000005</v>
      </c>
      <c r="F16" s="397"/>
      <c r="G16" s="401">
        <v>0.57597928130495646</v>
      </c>
      <c r="H16" s="401">
        <f>+J16</f>
        <v>0.55270374522827259</v>
      </c>
      <c r="I16" s="401"/>
      <c r="J16" s="401">
        <v>0.55270374522827259</v>
      </c>
      <c r="K16" s="401">
        <v>0.54</v>
      </c>
      <c r="L16" s="399">
        <f>+M16*2-K16</f>
        <v>0.52519999999999989</v>
      </c>
      <c r="M16" s="401">
        <v>0.53259999999999996</v>
      </c>
      <c r="N16" s="399">
        <v>0.55322859884884112</v>
      </c>
      <c r="O16" s="401"/>
      <c r="P16" s="401">
        <v>0.55446349880235046</v>
      </c>
      <c r="Q16" s="399"/>
      <c r="R16" s="399"/>
      <c r="S16" s="401"/>
      <c r="T16" s="399"/>
      <c r="U16" s="399"/>
      <c r="V16" s="401"/>
      <c r="W16" s="399"/>
      <c r="X16" s="399"/>
      <c r="Y16" s="401"/>
      <c r="Z16" s="399"/>
      <c r="AA16" s="399"/>
      <c r="AB16" s="867"/>
      <c r="AC16" s="399"/>
      <c r="AD16" s="399"/>
      <c r="AE16" s="401"/>
      <c r="AF16" s="399"/>
      <c r="AG16" s="399"/>
      <c r="AH16" s="401"/>
      <c r="AI16" s="399"/>
      <c r="AJ16" s="399"/>
      <c r="AK16" s="401"/>
      <c r="AL16" s="401"/>
      <c r="AM16" s="401"/>
      <c r="AN16" s="401"/>
      <c r="AO16" s="401"/>
      <c r="AP16" s="401"/>
      <c r="AQ16" s="401"/>
      <c r="AR16" s="401"/>
      <c r="AS16" s="401"/>
      <c r="AT16" s="401"/>
      <c r="AU16" s="401"/>
      <c r="AV16" s="401"/>
      <c r="AW16" s="401"/>
      <c r="AX16" s="401"/>
      <c r="AY16" s="401"/>
      <c r="AZ16" s="401"/>
      <c r="BA16" s="401"/>
      <c r="BB16" s="401"/>
      <c r="BC16" s="401"/>
      <c r="BD16" s="401"/>
      <c r="BE16" s="401"/>
      <c r="BF16" s="401"/>
      <c r="BG16" s="401"/>
      <c r="BH16" s="401"/>
      <c r="BI16" s="401"/>
      <c r="BJ16" s="338"/>
    </row>
    <row r="17" spans="1:62" s="312" customFormat="1" hidden="1" outlineLevel="1">
      <c r="A17" s="364" t="s">
        <v>1573</v>
      </c>
      <c r="B17" s="438">
        <v>0.6875</v>
      </c>
      <c r="C17" s="438"/>
      <c r="D17" s="401">
        <v>0.69199999999999995</v>
      </c>
      <c r="E17" s="503">
        <v>0.66239999999999999</v>
      </c>
      <c r="F17" s="397"/>
      <c r="G17" s="401">
        <v>0.64991314298964864</v>
      </c>
      <c r="H17" s="401">
        <f>+J17</f>
        <v>0.62690557756781051</v>
      </c>
      <c r="I17" s="401"/>
      <c r="J17" s="401">
        <v>0.62690557756781051</v>
      </c>
      <c r="K17" s="401">
        <v>0.61499999999999999</v>
      </c>
      <c r="L17" s="399">
        <f>+M17*2-K17</f>
        <v>0.59899999999999998</v>
      </c>
      <c r="M17" s="401">
        <v>0.60699999999999998</v>
      </c>
      <c r="N17" s="399">
        <v>0.6121555642139952</v>
      </c>
      <c r="O17" s="401"/>
      <c r="P17" s="401">
        <v>0.62611714001414165</v>
      </c>
      <c r="Q17" s="399"/>
      <c r="R17" s="399"/>
      <c r="S17" s="401"/>
      <c r="T17" s="399"/>
      <c r="U17" s="399"/>
      <c r="V17" s="401"/>
      <c r="W17" s="399"/>
      <c r="X17" s="399"/>
      <c r="Y17" s="401"/>
      <c r="Z17" s="399"/>
      <c r="AA17" s="399"/>
      <c r="AB17" s="867"/>
      <c r="AC17" s="399"/>
      <c r="AD17" s="399"/>
      <c r="AE17" s="401"/>
      <c r="AF17" s="399"/>
      <c r="AG17" s="399"/>
      <c r="AH17" s="401"/>
      <c r="AI17" s="399"/>
      <c r="AJ17" s="399"/>
      <c r="AK17" s="401"/>
      <c r="AL17" s="401"/>
      <c r="AM17" s="401"/>
      <c r="AN17" s="401"/>
      <c r="AO17" s="401"/>
      <c r="AP17" s="401"/>
      <c r="AQ17" s="401"/>
      <c r="AR17" s="401"/>
      <c r="AS17" s="401"/>
      <c r="AT17" s="401"/>
      <c r="AU17" s="401"/>
      <c r="AV17" s="401"/>
      <c r="AW17" s="401"/>
      <c r="AX17" s="401"/>
      <c r="AY17" s="401"/>
      <c r="AZ17" s="401"/>
      <c r="BA17" s="401"/>
      <c r="BB17" s="401"/>
      <c r="BC17" s="401"/>
      <c r="BD17" s="401"/>
      <c r="BE17" s="401"/>
      <c r="BF17" s="401"/>
      <c r="BG17" s="401"/>
      <c r="BH17" s="401"/>
      <c r="BI17" s="401"/>
      <c r="BJ17" s="338"/>
    </row>
    <row r="18" spans="1:62" s="312" customFormat="1" hidden="1" outlineLevel="1">
      <c r="A18" s="364" t="s">
        <v>1576</v>
      </c>
      <c r="B18" s="437">
        <v>0.36</v>
      </c>
      <c r="C18" s="438"/>
      <c r="D18" s="402">
        <v>0.23</v>
      </c>
      <c r="E18" s="408">
        <f>+H18</f>
        <v>0.4</v>
      </c>
      <c r="F18" s="397"/>
      <c r="G18" s="408">
        <v>0.25</v>
      </c>
      <c r="H18" s="408">
        <v>0.4</v>
      </c>
      <c r="I18" s="401"/>
      <c r="J18" s="402">
        <v>0.35</v>
      </c>
      <c r="K18" s="408">
        <v>0.375</v>
      </c>
      <c r="L18" s="401"/>
      <c r="M18" s="402">
        <v>0.34499999999999997</v>
      </c>
      <c r="N18" s="402">
        <f>M18</f>
        <v>0.34499999999999997</v>
      </c>
      <c r="O18" s="401"/>
      <c r="P18" s="408">
        <v>0.35</v>
      </c>
      <c r="Q18" s="408"/>
      <c r="R18" s="408"/>
      <c r="S18" s="408"/>
      <c r="T18" s="408"/>
      <c r="U18" s="408"/>
      <c r="V18" s="408"/>
      <c r="W18" s="408"/>
      <c r="X18" s="408"/>
      <c r="Y18" s="408"/>
      <c r="Z18" s="408"/>
      <c r="AA18" s="408"/>
      <c r="AB18" s="834"/>
      <c r="AC18" s="408"/>
      <c r="AD18" s="408"/>
      <c r="AE18" s="408"/>
      <c r="AF18" s="408"/>
      <c r="AG18" s="408"/>
      <c r="AH18" s="408"/>
      <c r="AI18" s="408"/>
      <c r="AJ18" s="408"/>
      <c r="AK18" s="408"/>
      <c r="AL18" s="408"/>
      <c r="AM18" s="408"/>
      <c r="AN18" s="408"/>
      <c r="AO18" s="408"/>
      <c r="AP18" s="408"/>
      <c r="AQ18" s="408"/>
      <c r="AR18" s="408"/>
      <c r="AS18" s="408"/>
      <c r="AT18" s="408"/>
      <c r="AU18" s="408"/>
      <c r="AV18" s="408"/>
      <c r="AW18" s="408"/>
      <c r="AX18" s="408"/>
      <c r="AY18" s="408"/>
      <c r="AZ18" s="408"/>
      <c r="BA18" s="408"/>
      <c r="BB18" s="408"/>
      <c r="BC18" s="408"/>
      <c r="BD18" s="408"/>
      <c r="BE18" s="408"/>
      <c r="BF18" s="408"/>
      <c r="BG18" s="408"/>
      <c r="BH18" s="408"/>
      <c r="BI18" s="408"/>
      <c r="BJ18" s="326"/>
    </row>
    <row r="19" spans="1:62" s="312" customFormat="1" hidden="1" outlineLevel="1">
      <c r="A19" s="364" t="s">
        <v>1577</v>
      </c>
      <c r="B19" s="437">
        <f>1-B18</f>
        <v>0.64</v>
      </c>
      <c r="C19" s="438"/>
      <c r="D19" s="402">
        <f>1-D18</f>
        <v>0.77</v>
      </c>
      <c r="E19" s="408">
        <f>1-E18</f>
        <v>0.6</v>
      </c>
      <c r="F19" s="397"/>
      <c r="G19" s="408">
        <f>1-G18</f>
        <v>0.75</v>
      </c>
      <c r="H19" s="408">
        <f>1-H18</f>
        <v>0.6</v>
      </c>
      <c r="I19" s="401"/>
      <c r="J19" s="402">
        <f t="shared" ref="J19:P19" si="3">1-J18</f>
        <v>0.65</v>
      </c>
      <c r="K19" s="408">
        <f>1-K18</f>
        <v>0.625</v>
      </c>
      <c r="L19" s="401"/>
      <c r="M19" s="408">
        <f t="shared" si="3"/>
        <v>0.65500000000000003</v>
      </c>
      <c r="N19" s="408">
        <f>1-N18</f>
        <v>0.65500000000000003</v>
      </c>
      <c r="O19" s="401"/>
      <c r="P19" s="408">
        <f t="shared" si="3"/>
        <v>0.65</v>
      </c>
      <c r="Q19" s="408"/>
      <c r="R19" s="408"/>
      <c r="S19" s="408"/>
      <c r="T19" s="408"/>
      <c r="U19" s="408"/>
      <c r="V19" s="408"/>
      <c r="W19" s="408"/>
      <c r="X19" s="408"/>
      <c r="Y19" s="408"/>
      <c r="Z19" s="408"/>
      <c r="AA19" s="408"/>
      <c r="AB19" s="834"/>
      <c r="AC19" s="408"/>
      <c r="AD19" s="408"/>
      <c r="AE19" s="408"/>
      <c r="AF19" s="408"/>
      <c r="AG19" s="408"/>
      <c r="AH19" s="408"/>
      <c r="AI19" s="408"/>
      <c r="AJ19" s="408"/>
      <c r="AK19" s="408"/>
      <c r="AL19" s="408"/>
      <c r="AM19" s="408"/>
      <c r="AN19" s="408"/>
      <c r="AO19" s="408"/>
      <c r="AP19" s="408"/>
      <c r="AQ19" s="408"/>
      <c r="AR19" s="408"/>
      <c r="AS19" s="408"/>
      <c r="AT19" s="408"/>
      <c r="AU19" s="408"/>
      <c r="AV19" s="408"/>
      <c r="AW19" s="408"/>
      <c r="AX19" s="408"/>
      <c r="AY19" s="408"/>
      <c r="AZ19" s="408"/>
      <c r="BA19" s="408"/>
      <c r="BB19" s="408"/>
      <c r="BC19" s="408"/>
      <c r="BD19" s="408"/>
      <c r="BE19" s="408"/>
      <c r="BF19" s="408"/>
      <c r="BG19" s="408"/>
      <c r="BH19" s="408"/>
      <c r="BI19" s="408"/>
      <c r="BJ19" s="326"/>
    </row>
    <row r="20" spans="1:62" s="312" customFormat="1" hidden="1" outlineLevel="1">
      <c r="A20" s="335" t="s">
        <v>1574</v>
      </c>
      <c r="B20" s="439">
        <f>(B18*B16)+(B19*B17)</f>
        <v>0.65239999999999998</v>
      </c>
      <c r="C20" s="439">
        <f>+C22/C30</f>
        <v>0.68435864481236652</v>
      </c>
      <c r="D20" s="401">
        <f>(D18*D16)+(D19*D17)</f>
        <v>0.66945999999999994</v>
      </c>
      <c r="E20" s="401">
        <f>(E18*E16)+(E19*E17)</f>
        <v>0.63395999999999997</v>
      </c>
      <c r="F20" s="397"/>
      <c r="G20" s="401">
        <f>(G18*G16)+(G19*G17)</f>
        <v>0.63142967756847557</v>
      </c>
      <c r="H20" s="401">
        <f>(H18*H16)+(H19*H17)</f>
        <v>0.59722484463199543</v>
      </c>
      <c r="I20" s="397"/>
      <c r="J20" s="401">
        <f t="shared" ref="J20:P20" si="4">(J18*J16)+(J19*J17)</f>
        <v>0.60093493624897221</v>
      </c>
      <c r="K20" s="401">
        <f>(K18*K16)+(K19*K17)</f>
        <v>0.58687500000000004</v>
      </c>
      <c r="L20" s="397"/>
      <c r="M20" s="401">
        <f t="shared" si="4"/>
        <v>0.58133199999999996</v>
      </c>
      <c r="N20" s="401">
        <f>N22/N24</f>
        <v>0.52751434935164043</v>
      </c>
      <c r="O20" s="525"/>
      <c r="P20" s="401">
        <f t="shared" si="4"/>
        <v>0.60103836559001478</v>
      </c>
      <c r="Q20" s="401"/>
      <c r="R20" s="401"/>
      <c r="S20" s="401"/>
      <c r="T20" s="401"/>
      <c r="U20" s="401"/>
      <c r="V20" s="401"/>
      <c r="W20" s="401"/>
      <c r="X20" s="401"/>
      <c r="Y20" s="401"/>
      <c r="Z20" s="401"/>
      <c r="AA20" s="401"/>
      <c r="AB20" s="867"/>
      <c r="AC20" s="401"/>
      <c r="AD20" s="401"/>
      <c r="AE20" s="401"/>
      <c r="AF20" s="401"/>
      <c r="AG20" s="401"/>
      <c r="AH20" s="401"/>
      <c r="AI20" s="401"/>
      <c r="AJ20" s="401"/>
      <c r="AK20" s="401"/>
      <c r="AL20" s="401"/>
      <c r="AM20" s="401"/>
      <c r="AN20" s="401"/>
      <c r="AO20" s="401"/>
      <c r="AP20" s="401"/>
      <c r="AQ20" s="401"/>
      <c r="AR20" s="401"/>
      <c r="AS20" s="401"/>
      <c r="AT20" s="401"/>
      <c r="AU20" s="401"/>
      <c r="AV20" s="401"/>
      <c r="AW20" s="401"/>
      <c r="AX20" s="401"/>
      <c r="AY20" s="401"/>
      <c r="AZ20" s="401"/>
      <c r="BA20" s="401"/>
      <c r="BB20" s="401"/>
      <c r="BC20" s="401"/>
      <c r="BD20" s="401"/>
      <c r="BE20" s="401"/>
      <c r="BF20" s="401"/>
      <c r="BG20" s="401"/>
      <c r="BH20" s="401"/>
      <c r="BI20" s="401"/>
      <c r="BJ20" s="338"/>
    </row>
    <row r="21" spans="1:62" s="312" customFormat="1" hidden="1" outlineLevel="1">
      <c r="A21" s="363" t="s">
        <v>1580</v>
      </c>
      <c r="B21" s="371"/>
      <c r="C21" s="371"/>
      <c r="D21" s="397"/>
      <c r="E21" s="503"/>
      <c r="F21" s="522"/>
      <c r="G21" s="397">
        <f>G20/D20-1</f>
        <v>-5.6807460388259789E-2</v>
      </c>
      <c r="H21" s="397">
        <f>+H20/E20-1</f>
        <v>-5.7945541308607074E-2</v>
      </c>
      <c r="I21" s="397"/>
      <c r="J21" s="397">
        <f>J20/G20-1</f>
        <v>-4.8294754590777589E-2</v>
      </c>
      <c r="K21" s="397">
        <f>+K20/H20-1</f>
        <v>-1.7329896311284343E-2</v>
      </c>
      <c r="L21" s="397"/>
      <c r="M21" s="397">
        <f>M20/J20-1</f>
        <v>-3.2620729910185498E-2</v>
      </c>
      <c r="N21" s="397">
        <f>+N20/K20-1</f>
        <v>-0.1011470085595052</v>
      </c>
      <c r="O21" s="397"/>
      <c r="P21" s="397">
        <f>P20/M20-1</f>
        <v>3.389864241090268E-2</v>
      </c>
      <c r="Q21" s="397"/>
      <c r="R21" s="397"/>
      <c r="S21" s="397"/>
      <c r="T21" s="397"/>
      <c r="U21" s="397"/>
      <c r="V21" s="397"/>
      <c r="W21" s="397"/>
      <c r="X21" s="397"/>
      <c r="Y21" s="397"/>
      <c r="Z21" s="397"/>
      <c r="AA21" s="397"/>
      <c r="AB21" s="828"/>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397"/>
      <c r="BA21" s="397"/>
      <c r="BB21" s="397"/>
      <c r="BC21" s="397"/>
      <c r="BD21" s="397"/>
      <c r="BE21" s="397"/>
      <c r="BF21" s="397"/>
      <c r="BG21" s="397"/>
      <c r="BH21" s="397"/>
      <c r="BI21" s="397"/>
      <c r="BJ21" s="336"/>
    </row>
    <row r="22" spans="1:62" s="312" customFormat="1" hidden="1" outlineLevel="1">
      <c r="A22" s="368" t="s">
        <v>1593</v>
      </c>
      <c r="B22" s="374">
        <f>+B20*B30</f>
        <v>27.495398000000002</v>
      </c>
      <c r="C22" s="374">
        <f>+D22-B22</f>
        <v>33.026463839999991</v>
      </c>
      <c r="D22" s="403">
        <f>+D20*D30</f>
        <v>60.521861839999993</v>
      </c>
      <c r="E22" s="406">
        <f>+E24*E20</f>
        <v>23.352550559999997</v>
      </c>
      <c r="F22" s="403">
        <f>+G22-E22</f>
        <v>16.458459181014817</v>
      </c>
      <c r="G22" s="406">
        <f>+G24*G20</f>
        <v>39.811009741014814</v>
      </c>
      <c r="H22" s="406">
        <f>+H24*H20</f>
        <v>30.678245819056343</v>
      </c>
      <c r="I22" s="406">
        <f>+J22-H22</f>
        <v>23.153505770126586</v>
      </c>
      <c r="J22" s="406">
        <f>+J24*J20</f>
        <v>53.831751589182929</v>
      </c>
      <c r="K22" s="409">
        <f>H22*1.6</f>
        <v>49.085193310490155</v>
      </c>
      <c r="L22" s="409">
        <f>+M22-K22</f>
        <v>34.237703581509834</v>
      </c>
      <c r="M22" s="409">
        <f>+M24*M20</f>
        <v>83.322896891999989</v>
      </c>
      <c r="N22" s="409">
        <f>K22*(1+N23)</f>
        <v>76.621986757675131</v>
      </c>
      <c r="O22" s="409">
        <f>+P22-N22</f>
        <v>55.361481919252867</v>
      </c>
      <c r="P22" s="409">
        <f>+M22*(1+P23)</f>
        <v>131.983468676928</v>
      </c>
      <c r="Q22" s="409"/>
      <c r="R22" s="409"/>
      <c r="S22" s="409"/>
      <c r="T22" s="409"/>
      <c r="U22" s="409"/>
      <c r="V22" s="409"/>
      <c r="W22" s="409"/>
      <c r="X22" s="409"/>
      <c r="Y22" s="409"/>
      <c r="Z22" s="409"/>
      <c r="AA22" s="409"/>
      <c r="AB22" s="831"/>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409"/>
      <c r="BA22" s="409"/>
      <c r="BB22" s="409"/>
      <c r="BC22" s="409"/>
      <c r="BD22" s="409"/>
      <c r="BE22" s="409"/>
      <c r="BF22" s="409"/>
      <c r="BG22" s="409"/>
      <c r="BH22" s="409"/>
      <c r="BI22" s="409"/>
      <c r="BJ22" s="323"/>
    </row>
    <row r="23" spans="1:62" s="312" customFormat="1" hidden="1" outlineLevel="1">
      <c r="A23" s="363" t="s">
        <v>1575</v>
      </c>
      <c r="B23" s="371"/>
      <c r="C23" s="371"/>
      <c r="D23" s="397"/>
      <c r="E23" s="397">
        <f t="shared" ref="E23:H23" si="5">+E22/B22-1</f>
        <v>-0.15067421246275481</v>
      </c>
      <c r="F23" s="397">
        <f t="shared" si="5"/>
        <v>-0.50165845000090026</v>
      </c>
      <c r="G23" s="397">
        <f>+G22/D22-1</f>
        <v>-0.34220447734634962</v>
      </c>
      <c r="H23" s="397">
        <f t="shared" si="5"/>
        <v>0.31370000635409601</v>
      </c>
      <c r="I23" s="397"/>
      <c r="J23" s="397">
        <f>+J22/G22-1</f>
        <v>0.35218252285933382</v>
      </c>
      <c r="K23" s="397">
        <f>+K22/H22-1</f>
        <v>0.60000000000000009</v>
      </c>
      <c r="L23" s="397">
        <f>+L22/I22-1</f>
        <v>0.47872654454274666</v>
      </c>
      <c r="M23" s="397">
        <f>+M22/J22-1</f>
        <v>0.54783922930613094</v>
      </c>
      <c r="N23" s="523">
        <v>0.56100000000000005</v>
      </c>
      <c r="O23" s="397">
        <f>+O22/L22-1</f>
        <v>0.61697415796166277</v>
      </c>
      <c r="P23" s="520">
        <v>0.58399999999999996</v>
      </c>
      <c r="Q23" s="397"/>
      <c r="R23" s="397"/>
      <c r="S23" s="397"/>
      <c r="T23" s="397"/>
      <c r="U23" s="397"/>
      <c r="V23" s="397"/>
      <c r="W23" s="397"/>
      <c r="X23" s="397"/>
      <c r="Y23" s="397"/>
      <c r="Z23" s="397"/>
      <c r="AA23" s="397"/>
      <c r="AB23" s="828"/>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397"/>
      <c r="BA23" s="397"/>
      <c r="BB23" s="397"/>
      <c r="BC23" s="397"/>
      <c r="BD23" s="397"/>
      <c r="BE23" s="397"/>
      <c r="BF23" s="397"/>
      <c r="BG23" s="397"/>
      <c r="BH23" s="397"/>
      <c r="BI23" s="397"/>
      <c r="BJ23" s="336"/>
    </row>
    <row r="24" spans="1:62" s="312" customFormat="1" hidden="1" outlineLevel="1">
      <c r="A24" s="368" t="s">
        <v>1587</v>
      </c>
      <c r="B24" s="371"/>
      <c r="C24" s="371"/>
      <c r="D24" s="397"/>
      <c r="E24" s="500">
        <v>36.835999999999999</v>
      </c>
      <c r="F24" s="400">
        <f>+G24-E24</f>
        <v>26.213000000000001</v>
      </c>
      <c r="G24" s="400">
        <v>63.048999999999999</v>
      </c>
      <c r="H24" s="500">
        <v>51.368000000000002</v>
      </c>
      <c r="I24" s="400">
        <f>+J24-H24</f>
        <v>38.211999999999996</v>
      </c>
      <c r="J24" s="500">
        <v>89.58</v>
      </c>
      <c r="K24" s="500">
        <v>83.712000000000003</v>
      </c>
      <c r="L24" s="400">
        <f>+M24-K24</f>
        <v>59.618999999999986</v>
      </c>
      <c r="M24" s="500">
        <v>143.33099999999999</v>
      </c>
      <c r="N24" s="500">
        <v>145.251</v>
      </c>
      <c r="O24" s="400">
        <f>+P24-N24</f>
        <v>74.341419108496041</v>
      </c>
      <c r="P24" s="400">
        <f t="shared" ref="P24" si="6">+P22/P20</f>
        <v>219.59241910849605</v>
      </c>
      <c r="Q24" s="400"/>
      <c r="R24" s="400"/>
      <c r="S24" s="400"/>
      <c r="T24" s="400"/>
      <c r="U24" s="400"/>
      <c r="V24" s="400"/>
      <c r="W24" s="400"/>
      <c r="X24" s="400"/>
      <c r="Y24" s="400"/>
      <c r="Z24" s="400"/>
      <c r="AA24" s="400"/>
      <c r="AB24" s="835"/>
      <c r="AC24" s="400"/>
      <c r="AD24" s="400"/>
      <c r="AE24" s="400"/>
      <c r="AF24" s="400"/>
      <c r="AG24" s="400"/>
      <c r="AH24" s="400"/>
      <c r="AI24" s="400"/>
      <c r="AJ24" s="400"/>
      <c r="AK24" s="400"/>
      <c r="AL24" s="400"/>
      <c r="AM24" s="400"/>
      <c r="AN24" s="400"/>
      <c r="AO24" s="400"/>
      <c r="AP24" s="400"/>
      <c r="AQ24" s="400"/>
      <c r="AR24" s="400"/>
      <c r="AS24" s="400"/>
      <c r="AT24" s="400"/>
      <c r="AU24" s="400"/>
      <c r="AV24" s="400"/>
      <c r="AW24" s="400"/>
      <c r="AX24" s="400"/>
      <c r="AY24" s="400"/>
      <c r="AZ24" s="400"/>
      <c r="BA24" s="400"/>
      <c r="BB24" s="400"/>
      <c r="BC24" s="400"/>
      <c r="BD24" s="400"/>
      <c r="BE24" s="400"/>
      <c r="BF24" s="400"/>
      <c r="BG24" s="400"/>
      <c r="BH24" s="400"/>
      <c r="BI24" s="400"/>
      <c r="BJ24" s="337"/>
    </row>
    <row r="25" spans="1:62" s="312" customFormat="1" hidden="1" outlineLevel="1">
      <c r="A25" s="363"/>
      <c r="B25" s="371"/>
      <c r="C25" s="371"/>
      <c r="D25" s="397"/>
      <c r="E25" s="397"/>
      <c r="F25" s="397"/>
      <c r="G25" s="397"/>
      <c r="H25" s="397">
        <f>+H24/E24-1</f>
        <v>0.39450537517645801</v>
      </c>
      <c r="I25" s="397">
        <f>I24/F24-1</f>
        <v>0.45774997138824225</v>
      </c>
      <c r="J25" s="397">
        <f>J24/G24-1</f>
        <v>0.420799695474948</v>
      </c>
      <c r="K25" s="397">
        <f>+K24/H24-1</f>
        <v>0.62965270207132851</v>
      </c>
      <c r="L25" s="397">
        <f>+L24/I24-1</f>
        <v>0.56021668585784545</v>
      </c>
      <c r="M25" s="397">
        <f>M24/J24-1</f>
        <v>0.60003348961821823</v>
      </c>
      <c r="N25" s="397">
        <f>+N24/K24-1</f>
        <v>0.73512758027522929</v>
      </c>
      <c r="O25" s="397">
        <f>+O24/L24-1</f>
        <v>0.24694173180523094</v>
      </c>
      <c r="P25" s="397">
        <f>P24/M24-1</f>
        <v>0.53206507390931534</v>
      </c>
      <c r="Q25" s="397"/>
      <c r="R25" s="397"/>
      <c r="S25" s="397"/>
      <c r="T25" s="397"/>
      <c r="U25" s="397"/>
      <c r="V25" s="397"/>
      <c r="W25" s="397"/>
      <c r="X25" s="397"/>
      <c r="Y25" s="397"/>
      <c r="Z25" s="397"/>
      <c r="AA25" s="397"/>
      <c r="AB25" s="828"/>
      <c r="AC25" s="397"/>
      <c r="AD25" s="397"/>
      <c r="AE25" s="397"/>
      <c r="AF25" s="397"/>
      <c r="AG25" s="397"/>
      <c r="AH25" s="397"/>
      <c r="AI25" s="397"/>
      <c r="AJ25" s="397"/>
      <c r="AK25" s="397"/>
      <c r="AL25" s="397"/>
      <c r="AM25" s="397"/>
      <c r="AN25" s="397"/>
      <c r="AO25" s="397"/>
      <c r="AP25" s="397"/>
      <c r="AQ25" s="397"/>
      <c r="AR25" s="397"/>
      <c r="AS25" s="397"/>
      <c r="AT25" s="397"/>
      <c r="AU25" s="397"/>
      <c r="AV25" s="397"/>
      <c r="AW25" s="397"/>
      <c r="AX25" s="397"/>
      <c r="AY25" s="397"/>
      <c r="AZ25" s="397"/>
      <c r="BA25" s="397"/>
      <c r="BB25" s="397"/>
      <c r="BC25" s="397"/>
      <c r="BD25" s="397"/>
      <c r="BE25" s="397"/>
      <c r="BF25" s="397"/>
      <c r="BG25" s="397"/>
      <c r="BH25" s="397"/>
      <c r="BI25" s="397"/>
      <c r="BJ25" s="336"/>
    </row>
    <row r="26" spans="1:62" s="312" customFormat="1" hidden="1" outlineLevel="1">
      <c r="A26" s="368" t="s">
        <v>1585</v>
      </c>
      <c r="B26" s="371"/>
      <c r="C26" s="371"/>
      <c r="D26" s="397"/>
      <c r="E26" s="400">
        <f t="shared" ref="E26:I26" si="7">+E28*E8</f>
        <v>12.675816021071597</v>
      </c>
      <c r="F26" s="400">
        <f t="shared" si="7"/>
        <v>14.842807616178602</v>
      </c>
      <c r="G26" s="400">
        <f t="shared" si="7"/>
        <v>27.667426806581926</v>
      </c>
      <c r="H26" s="400">
        <f t="shared" si="7"/>
        <v>11.55757197167379</v>
      </c>
      <c r="I26" s="400">
        <f t="shared" si="7"/>
        <v>11.853483989965838</v>
      </c>
      <c r="J26" s="400">
        <f>+J28*J8</f>
        <v>23.447907532067195</v>
      </c>
      <c r="K26" s="500">
        <f>+H26*1.109</f>
        <v>12.817347316586233</v>
      </c>
      <c r="L26" s="400">
        <f>+M26-K26</f>
        <v>17.114994992848292</v>
      </c>
      <c r="M26" s="400">
        <f>+M28*M8</f>
        <v>29.932342309434524</v>
      </c>
      <c r="N26" s="400">
        <f>+K26*(1+N27)</f>
        <v>19.18756893292959</v>
      </c>
      <c r="O26" s="400">
        <f>+P26-N26</f>
        <v>21.370754896354189</v>
      </c>
      <c r="P26" s="409">
        <f>+M26*(1+P27)</f>
        <v>40.558323829283779</v>
      </c>
      <c r="Q26" s="409"/>
      <c r="R26" s="409"/>
      <c r="S26" s="409"/>
      <c r="T26" s="409"/>
      <c r="U26" s="409"/>
      <c r="V26" s="409"/>
      <c r="W26" s="409"/>
      <c r="X26" s="409"/>
      <c r="Y26" s="409"/>
      <c r="Z26" s="409"/>
      <c r="AA26" s="409"/>
      <c r="AB26" s="831"/>
      <c r="AC26" s="409"/>
      <c r="AD26" s="409"/>
      <c r="AE26" s="409"/>
      <c r="AF26" s="409"/>
      <c r="AG26" s="409"/>
      <c r="AH26" s="409"/>
      <c r="AI26" s="409"/>
      <c r="AJ26" s="409"/>
      <c r="AK26" s="409"/>
      <c r="AL26" s="409"/>
      <c r="AM26" s="409"/>
      <c r="AN26" s="409"/>
      <c r="AO26" s="409"/>
      <c r="AP26" s="409"/>
      <c r="AQ26" s="409"/>
      <c r="AR26" s="409"/>
      <c r="AS26" s="409"/>
      <c r="AT26" s="409"/>
      <c r="AU26" s="409"/>
      <c r="AV26" s="409"/>
      <c r="AW26" s="409"/>
      <c r="AX26" s="409"/>
      <c r="AY26" s="409"/>
      <c r="AZ26" s="409"/>
      <c r="BA26" s="409"/>
      <c r="BB26" s="409"/>
      <c r="BC26" s="409"/>
      <c r="BD26" s="409"/>
      <c r="BE26" s="409"/>
      <c r="BF26" s="409"/>
      <c r="BG26" s="409"/>
      <c r="BH26" s="409"/>
      <c r="BI26" s="409"/>
      <c r="BJ26" s="323"/>
    </row>
    <row r="27" spans="1:62" s="312" customFormat="1" hidden="1" outlineLevel="1">
      <c r="A27" s="363"/>
      <c r="B27" s="371"/>
      <c r="C27" s="371"/>
      <c r="D27" s="397"/>
      <c r="E27" s="397"/>
      <c r="F27" s="397"/>
      <c r="G27" s="397"/>
      <c r="H27" s="397">
        <f t="shared" ref="H27" si="8">H26/E26-1</f>
        <v>-8.821870304356727E-2</v>
      </c>
      <c r="I27" s="397">
        <f>I26/F26-1</f>
        <v>-0.20139879890071555</v>
      </c>
      <c r="J27" s="397">
        <f>+J26/G26-1</f>
        <v>-0.1525085546990923</v>
      </c>
      <c r="K27" s="397">
        <f>+K26/H26-1</f>
        <v>0.10899999999999999</v>
      </c>
      <c r="L27" s="397">
        <f>+L26/I26-1</f>
        <v>0.44387886357600914</v>
      </c>
      <c r="M27" s="397">
        <f>+M26/J26-1</f>
        <v>0.2765464154317081</v>
      </c>
      <c r="N27" s="523">
        <v>0.497</v>
      </c>
      <c r="O27" s="397">
        <f>+O26/L26-1</f>
        <v>0.24865680096805276</v>
      </c>
      <c r="P27" s="520">
        <v>0.35499999999999998</v>
      </c>
      <c r="Q27" s="397"/>
      <c r="R27" s="397"/>
      <c r="S27" s="397"/>
      <c r="T27" s="397"/>
      <c r="U27" s="397"/>
      <c r="V27" s="397"/>
      <c r="W27" s="397"/>
      <c r="X27" s="397"/>
      <c r="Y27" s="397"/>
      <c r="Z27" s="397"/>
      <c r="AA27" s="397"/>
      <c r="AB27" s="828"/>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397"/>
      <c r="BA27" s="397"/>
      <c r="BB27" s="397"/>
      <c r="BC27" s="397"/>
      <c r="BD27" s="397"/>
      <c r="BE27" s="397"/>
      <c r="BF27" s="397"/>
      <c r="BG27" s="397"/>
      <c r="BH27" s="397"/>
      <c r="BI27" s="397"/>
      <c r="BJ27" s="336"/>
    </row>
    <row r="28" spans="1:62" s="312" customFormat="1" hidden="1" outlineLevel="1">
      <c r="A28" s="368" t="s">
        <v>1588</v>
      </c>
      <c r="B28" s="371"/>
      <c r="C28" s="371"/>
      <c r="D28" s="397"/>
      <c r="E28" s="500">
        <v>16.439</v>
      </c>
      <c r="F28" s="400">
        <f>+G28-E28</f>
        <v>19.847000000000001</v>
      </c>
      <c r="G28" s="400">
        <v>36.286000000000001</v>
      </c>
      <c r="H28" s="500">
        <v>15.728999999999999</v>
      </c>
      <c r="I28" s="400">
        <f>+J28-H28</f>
        <v>16.362000000000002</v>
      </c>
      <c r="J28" s="500">
        <v>32.091000000000001</v>
      </c>
      <c r="K28" s="500">
        <v>18.571999999999999</v>
      </c>
      <c r="L28" s="400">
        <f>+L26/L8</f>
        <v>25.106498071391982</v>
      </c>
      <c r="M28" s="500">
        <v>43.290999999999997</v>
      </c>
      <c r="N28" s="400">
        <f t="shared" ref="N28:P28" si="9">+N26/N8</f>
        <v>25.86332214994307</v>
      </c>
      <c r="O28" s="400">
        <f>+O26/O8</f>
        <v>28.39068150873219</v>
      </c>
      <c r="P28" s="400">
        <f t="shared" si="9"/>
        <v>54.272359082203955</v>
      </c>
      <c r="Q28" s="400"/>
      <c r="R28" s="400"/>
      <c r="S28" s="400"/>
      <c r="T28" s="400"/>
      <c r="U28" s="400"/>
      <c r="V28" s="400"/>
      <c r="W28" s="400"/>
      <c r="X28" s="400"/>
      <c r="Y28" s="400"/>
      <c r="Z28" s="400"/>
      <c r="AA28" s="400"/>
      <c r="AB28" s="835"/>
      <c r="AC28" s="400"/>
      <c r="AD28" s="400"/>
      <c r="AE28" s="400"/>
      <c r="AF28" s="400"/>
      <c r="AG28" s="400"/>
      <c r="AH28" s="400"/>
      <c r="AI28" s="400"/>
      <c r="AJ28" s="400"/>
      <c r="AK28" s="400"/>
      <c r="AL28" s="400"/>
      <c r="AM28" s="400"/>
      <c r="AN28" s="400"/>
      <c r="AO28" s="400"/>
      <c r="AP28" s="400"/>
      <c r="AQ28" s="400"/>
      <c r="AR28" s="400"/>
      <c r="AS28" s="400"/>
      <c r="AT28" s="400"/>
      <c r="AU28" s="400"/>
      <c r="AV28" s="400"/>
      <c r="AW28" s="400"/>
      <c r="AX28" s="400"/>
      <c r="AY28" s="400"/>
      <c r="AZ28" s="400"/>
      <c r="BA28" s="400"/>
      <c r="BB28" s="400"/>
      <c r="BC28" s="400"/>
      <c r="BD28" s="400"/>
      <c r="BE28" s="400"/>
      <c r="BF28" s="400"/>
      <c r="BG28" s="400"/>
      <c r="BH28" s="400"/>
      <c r="BI28" s="400"/>
      <c r="BJ28" s="337"/>
    </row>
    <row r="29" spans="1:62" s="312" customFormat="1" hidden="1" outlineLevel="1">
      <c r="A29" s="363"/>
      <c r="B29" s="371"/>
      <c r="C29" s="371"/>
      <c r="D29" s="397"/>
      <c r="E29" s="397"/>
      <c r="F29" s="397"/>
      <c r="G29" s="397"/>
      <c r="H29" s="397">
        <f>+H28/E28-1</f>
        <v>-4.3189975059310215E-2</v>
      </c>
      <c r="I29" s="397">
        <f>I28/F28-1</f>
        <v>-0.17559328865823542</v>
      </c>
      <c r="J29" s="397">
        <f>J28/G28-1</f>
        <v>-0.11560932591081963</v>
      </c>
      <c r="K29" s="397">
        <f>+K28/H28-1</f>
        <v>0.18074893508805401</v>
      </c>
      <c r="L29" s="397">
        <f>+L28/I28-1</f>
        <v>0.53443943719545173</v>
      </c>
      <c r="M29" s="397">
        <f>M28/J28-1</f>
        <v>0.34900750989373952</v>
      </c>
      <c r="N29" s="397">
        <f>+N28/K28-1</f>
        <v>0.39259757430234066</v>
      </c>
      <c r="O29" s="397">
        <f>+O28/L28-1</f>
        <v>0.13081009657346132</v>
      </c>
      <c r="P29" s="397">
        <f>P28/M28-1</f>
        <v>0.25366378882917839</v>
      </c>
      <c r="Q29" s="397"/>
      <c r="R29" s="397"/>
      <c r="S29" s="397"/>
      <c r="T29" s="397"/>
      <c r="U29" s="397"/>
      <c r="V29" s="397"/>
      <c r="W29" s="397"/>
      <c r="X29" s="397"/>
      <c r="Y29" s="397"/>
      <c r="Z29" s="397"/>
      <c r="AA29" s="397"/>
      <c r="AB29" s="828"/>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36"/>
    </row>
    <row r="30" spans="1:62" s="312" customFormat="1" hidden="1" outlineLevel="1">
      <c r="A30" s="366" t="s">
        <v>1586</v>
      </c>
      <c r="B30" s="393">
        <v>42.145000000000003</v>
      </c>
      <c r="C30" s="340">
        <f>D30-B30</f>
        <v>48.258999999999993</v>
      </c>
      <c r="D30" s="500">
        <v>90.403999999999996</v>
      </c>
      <c r="E30" s="514">
        <v>53.274999999999999</v>
      </c>
      <c r="F30" s="411">
        <f>G30-E30</f>
        <v>46.060000000000009</v>
      </c>
      <c r="G30" s="411">
        <f>+G28+G24</f>
        <v>99.335000000000008</v>
      </c>
      <c r="H30" s="411">
        <f>+H28+H24</f>
        <v>67.097000000000008</v>
      </c>
      <c r="I30" s="526">
        <f>+J30-H30</f>
        <v>54.573999999999984</v>
      </c>
      <c r="J30" s="409">
        <f>+J24+J28</f>
        <v>121.67099999999999</v>
      </c>
      <c r="K30" s="411">
        <f>+K28+K24</f>
        <v>102.28400000000001</v>
      </c>
      <c r="L30" s="411">
        <f>+L28+L24</f>
        <v>84.725498071391968</v>
      </c>
      <c r="M30" s="409">
        <f>+M24+M28</f>
        <v>186.62199999999999</v>
      </c>
      <c r="N30" s="411">
        <f>+N28+N24</f>
        <v>171.11432214994306</v>
      </c>
      <c r="O30" s="411">
        <f>+O28+O24</f>
        <v>102.73210061722823</v>
      </c>
      <c r="P30" s="409">
        <f t="shared" ref="P30" si="10">+P24+P28</f>
        <v>273.86477819070001</v>
      </c>
      <c r="Q30" s="409"/>
      <c r="R30" s="409"/>
      <c r="S30" s="409"/>
      <c r="T30" s="409"/>
      <c r="U30" s="409"/>
      <c r="V30" s="409"/>
      <c r="W30" s="409"/>
      <c r="X30" s="409"/>
      <c r="Y30" s="409"/>
      <c r="Z30" s="409"/>
      <c r="AA30" s="409"/>
      <c r="AB30" s="831"/>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409"/>
      <c r="BA30" s="409"/>
      <c r="BB30" s="409"/>
      <c r="BC30" s="409"/>
      <c r="BD30" s="409"/>
      <c r="BE30" s="409"/>
      <c r="BF30" s="409"/>
      <c r="BG30" s="409"/>
      <c r="BH30" s="409"/>
      <c r="BI30" s="409"/>
      <c r="BJ30" s="323"/>
    </row>
    <row r="31" spans="1:62" s="312" customFormat="1" hidden="1" outlineLevel="1">
      <c r="A31" s="363" t="s">
        <v>1359</v>
      </c>
      <c r="B31" s="440">
        <f>B30/40.638-1</f>
        <v>3.7083517889660023E-2</v>
      </c>
      <c r="C31" s="371">
        <f>C30/(82.252-40.638)-1</f>
        <v>0.15968183784303358</v>
      </c>
      <c r="D31" s="523">
        <f>D30/82.252-1</f>
        <v>9.911005203520884E-2</v>
      </c>
      <c r="E31" s="397">
        <f t="shared" ref="E31:F31" si="11">E30/B30-1</f>
        <v>0.26408826669830332</v>
      </c>
      <c r="F31" s="397">
        <f t="shared" si="11"/>
        <v>-4.5566630058641588E-2</v>
      </c>
      <c r="G31" s="397">
        <f>G30/D30-1</f>
        <v>9.8789876554134848E-2</v>
      </c>
      <c r="H31" s="397">
        <f>+J31</f>
        <v>0.22485528766295859</v>
      </c>
      <c r="I31" s="397">
        <f>+I30/F30-1</f>
        <v>0.18484585323491043</v>
      </c>
      <c r="J31" s="397">
        <f>J30/G30-1</f>
        <v>0.22485528766295859</v>
      </c>
      <c r="K31" s="397">
        <f>+K30/H30-1</f>
        <v>0.52441986974082289</v>
      </c>
      <c r="L31" s="397">
        <f>+L30/I30-1</f>
        <v>0.55248832908329959</v>
      </c>
      <c r="M31" s="397">
        <f>M30/J30-1</f>
        <v>0.53382482267754838</v>
      </c>
      <c r="N31" s="397">
        <f>+N30/K30-1</f>
        <v>0.67293342213780316</v>
      </c>
      <c r="O31" s="397">
        <f>+O30/L30-1</f>
        <v>0.21252873049696808</v>
      </c>
      <c r="P31" s="397">
        <f>P30/M30-1</f>
        <v>0.46748388823772125</v>
      </c>
      <c r="Q31" s="397"/>
      <c r="R31" s="397"/>
      <c r="S31" s="397"/>
      <c r="T31" s="397"/>
      <c r="U31" s="397"/>
      <c r="V31" s="397"/>
      <c r="W31" s="397"/>
      <c r="X31" s="397"/>
      <c r="Y31" s="397"/>
      <c r="Z31" s="397"/>
      <c r="AA31" s="397"/>
      <c r="AB31" s="828"/>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97"/>
      <c r="BD31" s="397"/>
      <c r="BE31" s="397"/>
      <c r="BF31" s="397"/>
      <c r="BG31" s="397"/>
      <c r="BH31" s="397"/>
      <c r="BI31" s="397"/>
      <c r="BJ31" s="336"/>
    </row>
    <row r="32" spans="1:62" s="312" customFormat="1" hidden="1" outlineLevel="1">
      <c r="A32" s="344" t="s">
        <v>1579</v>
      </c>
      <c r="B32" s="319">
        <f>+B5+B13+B30</f>
        <v>264.82599999999996</v>
      </c>
      <c r="C32" s="441">
        <f>D32-B32</f>
        <v>204.74200000000008</v>
      </c>
      <c r="D32" s="527">
        <f>+D5+D13+D30</f>
        <v>469.56800000000004</v>
      </c>
      <c r="E32" s="527">
        <f>+E30+E13+E5</f>
        <v>313.17500000000001</v>
      </c>
      <c r="F32" s="527">
        <f>+F5+F13+F30</f>
        <v>213.70600000000002</v>
      </c>
      <c r="G32" s="527">
        <f>+G30+G13+G5</f>
        <v>526.88100000000009</v>
      </c>
      <c r="H32" s="527">
        <f t="shared" ref="H32:P32" si="12">+H5+H13+H30</f>
        <v>356.10500000000002</v>
      </c>
      <c r="I32" s="527">
        <f t="shared" si="12"/>
        <v>255.85499999999999</v>
      </c>
      <c r="J32" s="527">
        <f>+J30+J13+J5</f>
        <v>611.96</v>
      </c>
      <c r="K32" s="527">
        <f t="shared" si="12"/>
        <v>442.61</v>
      </c>
      <c r="L32" s="527">
        <f t="shared" si="12"/>
        <v>320.82362676107346</v>
      </c>
      <c r="M32" s="527">
        <f t="shared" si="12"/>
        <v>764.40899999999999</v>
      </c>
      <c r="N32" s="404">
        <f t="shared" si="12"/>
        <v>592.87599999999998</v>
      </c>
      <c r="O32" s="404">
        <f>+O5+O13+O30</f>
        <v>391.33327125953394</v>
      </c>
      <c r="P32" s="404">
        <f t="shared" si="12"/>
        <v>984.22762668306268</v>
      </c>
      <c r="Q32" s="404"/>
      <c r="R32" s="404"/>
      <c r="S32" s="404"/>
      <c r="T32" s="404"/>
      <c r="U32" s="404"/>
      <c r="V32" s="404"/>
      <c r="W32" s="404"/>
      <c r="X32" s="404"/>
      <c r="Y32" s="404"/>
      <c r="Z32" s="404"/>
      <c r="AA32" s="404"/>
      <c r="AB32" s="868"/>
      <c r="AC32" s="404"/>
      <c r="AD32" s="404"/>
      <c r="AE32" s="404"/>
      <c r="AF32" s="404"/>
      <c r="AG32" s="404"/>
      <c r="AH32" s="404"/>
      <c r="AI32" s="404"/>
      <c r="AJ32" s="404"/>
      <c r="AK32" s="404"/>
      <c r="AL32" s="404"/>
      <c r="AM32" s="404"/>
      <c r="AN32" s="404"/>
      <c r="AO32" s="404"/>
      <c r="AP32" s="404"/>
      <c r="AQ32" s="404"/>
      <c r="AR32" s="404"/>
      <c r="AS32" s="404"/>
      <c r="AT32" s="404"/>
      <c r="AU32" s="404"/>
      <c r="AV32" s="404"/>
      <c r="AW32" s="404"/>
      <c r="AX32" s="404"/>
      <c r="AY32" s="404"/>
      <c r="AZ32" s="404"/>
      <c r="BA32" s="404"/>
      <c r="BB32" s="404"/>
      <c r="BC32" s="404"/>
      <c r="BD32" s="404"/>
      <c r="BE32" s="404"/>
      <c r="BF32" s="404"/>
      <c r="BG32" s="404"/>
      <c r="BH32" s="404"/>
      <c r="BI32" s="404"/>
      <c r="BJ32" s="347"/>
    </row>
    <row r="33" spans="1:62" s="312" customFormat="1" hidden="1" outlineLevel="1">
      <c r="A33" s="312" t="s">
        <v>1359</v>
      </c>
      <c r="B33" s="371">
        <f>B32/245.1-1</f>
        <v>8.0481436148510666E-2</v>
      </c>
      <c r="C33" s="371">
        <f>C32/(427.205-245.1)-1</f>
        <v>0.12430740506850491</v>
      </c>
      <c r="D33" s="397">
        <f>D32/427.205-1</f>
        <v>9.9163165225126138E-2</v>
      </c>
      <c r="E33" s="397">
        <f t="shared" ref="E33:P33" si="13">E32/B32-1</f>
        <v>0.18256893205349956</v>
      </c>
      <c r="F33" s="397">
        <f t="shared" si="13"/>
        <v>4.3781930429515947E-2</v>
      </c>
      <c r="G33" s="397">
        <f>G32/D32-1</f>
        <v>0.12205473967561686</v>
      </c>
      <c r="H33" s="397">
        <f t="shared" si="13"/>
        <v>0.13707990740001597</v>
      </c>
      <c r="I33" s="397">
        <f t="shared" si="13"/>
        <v>0.19722890325961817</v>
      </c>
      <c r="J33" s="397">
        <f t="shared" si="13"/>
        <v>0.16147669018241295</v>
      </c>
      <c r="K33" s="397">
        <f t="shared" si="13"/>
        <v>0.24291992530293038</v>
      </c>
      <c r="L33" s="397">
        <f t="shared" si="13"/>
        <v>0.25392752442232314</v>
      </c>
      <c r="M33" s="397">
        <f t="shared" si="13"/>
        <v>0.24911595529119546</v>
      </c>
      <c r="N33" s="397">
        <f t="shared" si="13"/>
        <v>0.3394997853640902</v>
      </c>
      <c r="O33" s="397">
        <f t="shared" si="13"/>
        <v>0.21977696970233129</v>
      </c>
      <c r="P33" s="397">
        <f t="shared" si="13"/>
        <v>0.28756676946904425</v>
      </c>
      <c r="Q33" s="397"/>
      <c r="R33" s="397"/>
      <c r="S33" s="397"/>
      <c r="T33" s="397"/>
      <c r="U33" s="397"/>
      <c r="V33" s="397"/>
      <c r="W33" s="397"/>
      <c r="X33" s="397"/>
      <c r="Y33" s="397"/>
      <c r="Z33" s="397"/>
      <c r="AA33" s="397"/>
      <c r="AB33" s="828"/>
      <c r="AC33" s="397"/>
      <c r="AD33" s="397"/>
      <c r="AE33" s="397"/>
      <c r="AF33" s="397"/>
      <c r="AG33" s="397"/>
      <c r="AH33" s="397"/>
      <c r="AI33" s="397"/>
      <c r="AJ33" s="397"/>
      <c r="AK33" s="397"/>
      <c r="AL33" s="397"/>
      <c r="AM33" s="397"/>
      <c r="AN33" s="397"/>
      <c r="AO33" s="397"/>
      <c r="AP33" s="397"/>
      <c r="AQ33" s="397"/>
      <c r="AR33" s="397"/>
      <c r="AS33" s="397"/>
      <c r="AT33" s="397"/>
      <c r="AU33" s="397"/>
      <c r="AV33" s="397"/>
      <c r="AW33" s="397"/>
      <c r="AX33" s="397"/>
      <c r="AY33" s="397"/>
      <c r="AZ33" s="397"/>
      <c r="BA33" s="397"/>
      <c r="BB33" s="397"/>
      <c r="BC33" s="397"/>
      <c r="BD33" s="397"/>
      <c r="BE33" s="397"/>
      <c r="BF33" s="397"/>
      <c r="BG33" s="397"/>
      <c r="BH33" s="397"/>
      <c r="BI33" s="397"/>
      <c r="BJ33" s="336"/>
    </row>
    <row r="34" spans="1:62" s="312" customFormat="1" hidden="1" outlineLevel="1">
      <c r="A34" s="363" t="s">
        <v>1589</v>
      </c>
      <c r="B34" s="435">
        <f>+B32/D32</f>
        <v>0.56397795420471575</v>
      </c>
      <c r="C34" s="435">
        <f>+C32/D32</f>
        <v>0.43602204579528431</v>
      </c>
      <c r="D34" s="397"/>
      <c r="E34" s="398">
        <f>+E32/G32</f>
        <v>0.59439418009000122</v>
      </c>
      <c r="F34" s="398">
        <f>+F32/G32</f>
        <v>0.40560581990999861</v>
      </c>
      <c r="G34" s="408"/>
      <c r="H34" s="398">
        <f>+H32/J32</f>
        <v>0.58190894829727435</v>
      </c>
      <c r="I34" s="398">
        <f>+I32/J32</f>
        <v>0.41809105170272565</v>
      </c>
      <c r="J34" s="408"/>
      <c r="K34" s="398">
        <f>+K32/M32</f>
        <v>0.57902248665308753</v>
      </c>
      <c r="L34" s="398">
        <f>+L32/M32</f>
        <v>0.41970152988919995</v>
      </c>
      <c r="M34" s="408"/>
      <c r="N34" s="398">
        <f>+N32/P32</f>
        <v>0.60237691355814349</v>
      </c>
      <c r="O34" s="398">
        <f>+O32/P32</f>
        <v>0.39760443687032332</v>
      </c>
      <c r="P34" s="397"/>
      <c r="Q34" s="397"/>
      <c r="R34" s="397"/>
      <c r="S34" s="397"/>
      <c r="T34" s="397"/>
      <c r="U34" s="397"/>
      <c r="V34" s="397"/>
      <c r="W34" s="397"/>
      <c r="X34" s="397"/>
      <c r="Y34" s="397"/>
      <c r="Z34" s="397"/>
      <c r="AA34" s="397"/>
      <c r="AB34" s="828"/>
      <c r="AC34" s="397"/>
      <c r="AD34" s="397"/>
      <c r="AE34" s="397"/>
      <c r="AF34" s="397"/>
      <c r="AG34" s="397"/>
      <c r="AH34" s="397"/>
      <c r="AI34" s="397"/>
      <c r="AJ34" s="397"/>
      <c r="AK34" s="397"/>
      <c r="AL34" s="397"/>
      <c r="AM34" s="397"/>
      <c r="AN34" s="397"/>
      <c r="AO34" s="397"/>
      <c r="AP34" s="397"/>
      <c r="AQ34" s="397"/>
      <c r="AR34" s="397"/>
      <c r="AS34" s="397"/>
      <c r="AT34" s="397"/>
      <c r="AU34" s="397"/>
      <c r="AV34" s="397"/>
      <c r="AW34" s="397"/>
      <c r="AX34" s="397"/>
      <c r="AY34" s="397"/>
      <c r="AZ34" s="397"/>
      <c r="BA34" s="397"/>
      <c r="BB34" s="397"/>
      <c r="BC34" s="397"/>
      <c r="BD34" s="397"/>
      <c r="BE34" s="397"/>
      <c r="BF34" s="397"/>
      <c r="BG34" s="397"/>
      <c r="BH34" s="397"/>
      <c r="BI34" s="397"/>
      <c r="BJ34" s="336"/>
    </row>
    <row r="35" spans="1:62" s="312" customFormat="1" collapsed="1">
      <c r="A35" s="369" t="s">
        <v>1610</v>
      </c>
      <c r="B35" s="371"/>
      <c r="C35" s="371"/>
      <c r="D35" s="397"/>
      <c r="E35" s="397"/>
      <c r="F35" s="397"/>
      <c r="G35" s="397"/>
      <c r="H35" s="397"/>
      <c r="I35" s="397"/>
      <c r="J35" s="397"/>
      <c r="K35" s="400"/>
      <c r="L35" s="400"/>
      <c r="M35" s="397"/>
      <c r="N35" s="397"/>
      <c r="O35" s="397"/>
      <c r="P35" s="397"/>
      <c r="Q35" s="397"/>
      <c r="R35" s="397"/>
      <c r="S35" s="397"/>
      <c r="T35" s="503"/>
      <c r="U35" s="503"/>
      <c r="V35" s="397"/>
      <c r="W35" s="503"/>
      <c r="X35" s="503"/>
      <c r="Y35" s="397"/>
      <c r="Z35" s="503"/>
      <c r="AA35" s="503"/>
      <c r="AB35" s="828"/>
      <c r="AC35" s="503"/>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397"/>
      <c r="BA35" s="397"/>
      <c r="BB35" s="397"/>
      <c r="BC35" s="397"/>
      <c r="BD35" s="397"/>
      <c r="BE35" s="397"/>
      <c r="BF35" s="397"/>
      <c r="BG35" s="397"/>
      <c r="BH35" s="397"/>
      <c r="BI35" s="397"/>
      <c r="BJ35" s="336"/>
    </row>
    <row r="36" spans="1:62" s="1005" customFormat="1">
      <c r="A36" s="1004" t="s">
        <v>1711</v>
      </c>
      <c r="B36" s="999"/>
      <c r="C36" s="999"/>
      <c r="D36" s="1000"/>
      <c r="E36" s="1000"/>
      <c r="F36" s="1000"/>
      <c r="G36" s="1000"/>
      <c r="H36" s="1000"/>
      <c r="I36" s="1000"/>
      <c r="J36" s="1000"/>
      <c r="K36" s="1001"/>
      <c r="L36" s="1001"/>
      <c r="M36" s="1000"/>
      <c r="N36" s="1000"/>
      <c r="O36" s="1000"/>
      <c r="P36" s="1000"/>
      <c r="Q36" s="1000"/>
      <c r="R36" s="1000"/>
      <c r="S36" s="1000"/>
      <c r="T36" s="1002"/>
      <c r="U36" s="1002"/>
      <c r="V36" s="1000"/>
      <c r="W36" s="1002"/>
      <c r="X36" s="1002"/>
      <c r="Y36" s="1000"/>
      <c r="Z36" s="1002"/>
      <c r="AA36" s="1002"/>
      <c r="AB36" s="1147"/>
      <c r="AC36" s="1002"/>
      <c r="AD36" s="1000"/>
      <c r="AE36" s="1000"/>
      <c r="AF36" s="1000"/>
      <c r="AG36" s="1000"/>
      <c r="AH36" s="1000"/>
      <c r="AI36" s="1000"/>
      <c r="AJ36" s="1000"/>
      <c r="AK36" s="1000"/>
      <c r="AL36" s="1000"/>
      <c r="AM36" s="1000"/>
      <c r="AN36" s="1000"/>
      <c r="AO36" s="1000"/>
      <c r="AP36" s="1000"/>
      <c r="AQ36" s="1000"/>
      <c r="AR36" s="1000"/>
      <c r="AS36" s="1000"/>
      <c r="AT36" s="1000"/>
      <c r="AU36" s="1000"/>
      <c r="AV36" s="1000"/>
      <c r="AW36" s="1000"/>
      <c r="AX36" s="1000"/>
      <c r="AY36" s="1000"/>
      <c r="AZ36" s="1000"/>
      <c r="BA36" s="1000"/>
      <c r="BB36" s="1000"/>
      <c r="BC36" s="1000"/>
      <c r="BD36" s="1000"/>
      <c r="BE36" s="1000"/>
      <c r="BF36" s="1000"/>
      <c r="BG36" s="1000"/>
      <c r="BH36" s="1000"/>
      <c r="BI36" s="1000"/>
      <c r="BJ36" s="1003"/>
    </row>
    <row r="37" spans="1:62" s="312" customFormat="1" outlineLevel="1">
      <c r="A37" s="360" t="s">
        <v>1567</v>
      </c>
      <c r="B37" s="359">
        <v>0.754</v>
      </c>
      <c r="C37" s="359">
        <f>+C39/C42</f>
        <v>0.74647870579667641</v>
      </c>
      <c r="D37" s="521">
        <v>0.751</v>
      </c>
      <c r="E37" s="399">
        <f>+E39/E42</f>
        <v>0.77108194057251644</v>
      </c>
      <c r="F37" s="521">
        <f>+F39/F42</f>
        <v>0.74786152144800733</v>
      </c>
      <c r="G37" s="522">
        <f>+G39/G42</f>
        <v>0.76248213654252117</v>
      </c>
      <c r="H37" s="399">
        <f>+H39/H42</f>
        <v>0.73479381853098036</v>
      </c>
      <c r="I37" s="399">
        <f>+I39/I42</f>
        <v>0.72445202236681561</v>
      </c>
      <c r="J37" s="521">
        <v>0.73066926964155665</v>
      </c>
      <c r="K37" s="399">
        <f>+K39/K42</f>
        <v>0.69970269123933404</v>
      </c>
      <c r="L37" s="399">
        <f>+M37*2-K37</f>
        <v>0.68314096261179102</v>
      </c>
      <c r="M37" s="521">
        <v>0.69142182692556253</v>
      </c>
      <c r="N37" s="399">
        <f>+N39/N42</f>
        <v>0.74188338302749035</v>
      </c>
      <c r="O37" s="399">
        <f>+O39/O42</f>
        <v>0.78057049045172555</v>
      </c>
      <c r="P37" s="399">
        <f>+P39/P42</f>
        <v>0.75585921447951665</v>
      </c>
      <c r="Q37" s="399">
        <f>+Q39/Q42</f>
        <v>0.73914690084678791</v>
      </c>
      <c r="R37" s="397"/>
      <c r="S37" s="399">
        <f>+S39/S42</f>
        <v>0.73534918583545339</v>
      </c>
      <c r="T37" s="399">
        <f>+T39/T42</f>
        <v>0.67912604485016648</v>
      </c>
      <c r="U37" s="399">
        <f>+U39/U42</f>
        <v>0.67842784219146834</v>
      </c>
      <c r="V37" s="399">
        <f>+V39/V42</f>
        <v>0.67887663355758798</v>
      </c>
      <c r="W37" s="399">
        <f>+W39/W42</f>
        <v>0.66483429650961456</v>
      </c>
      <c r="X37" s="399">
        <v>0.64835115596963433</v>
      </c>
      <c r="Y37" s="399">
        <f>+Y39/Y42</f>
        <v>0.66598656154812719</v>
      </c>
      <c r="Z37" s="399">
        <f>+Z39/Z42</f>
        <v>0.67422933675143326</v>
      </c>
      <c r="AA37" s="399">
        <f>+AA39/AA42</f>
        <v>0.64934087336700608</v>
      </c>
      <c r="AB37" s="399">
        <f>+AB39/AB42</f>
        <v>0.66424552238394041</v>
      </c>
      <c r="AC37" s="399">
        <f>+AC39/AC42</f>
        <v>0.6712310714060542</v>
      </c>
      <c r="AD37" s="1126">
        <f>AD39/AD42</f>
        <v>0.70056551316996063</v>
      </c>
      <c r="AE37" s="1126">
        <v>0.6825</v>
      </c>
      <c r="AF37" s="1126">
        <f>AH37</f>
        <v>0.7</v>
      </c>
      <c r="AG37" s="1126"/>
      <c r="AH37" s="1126">
        <v>0.7</v>
      </c>
      <c r="AI37" s="1126">
        <f>AK37</f>
        <v>0.7</v>
      </c>
      <c r="AJ37" s="1126"/>
      <c r="AK37" s="1126">
        <f>AH37</f>
        <v>0.7</v>
      </c>
      <c r="AL37" s="1126"/>
      <c r="AM37" s="1126"/>
      <c r="AN37" s="1126">
        <f>AK37</f>
        <v>0.7</v>
      </c>
      <c r="AO37" s="1126"/>
      <c r="AP37" s="1126"/>
      <c r="AQ37" s="1126">
        <f>AN37</f>
        <v>0.7</v>
      </c>
      <c r="AR37" s="1126"/>
      <c r="AS37" s="1126"/>
      <c r="AT37" s="1126">
        <f>AQ37</f>
        <v>0.7</v>
      </c>
      <c r="AU37" s="1126"/>
      <c r="AV37" s="1126"/>
      <c r="AW37" s="1126">
        <f>AT37</f>
        <v>0.7</v>
      </c>
      <c r="AX37" s="1126"/>
      <c r="AY37" s="1126"/>
      <c r="AZ37" s="1126">
        <f>AW37</f>
        <v>0.7</v>
      </c>
      <c r="BA37" s="1126"/>
      <c r="BB37" s="1126"/>
      <c r="BC37" s="1126">
        <f>AZ37</f>
        <v>0.7</v>
      </c>
      <c r="BD37" s="1126"/>
      <c r="BE37" s="1126"/>
      <c r="BF37" s="1126">
        <f>BC37</f>
        <v>0.7</v>
      </c>
      <c r="BG37" s="1126"/>
      <c r="BH37" s="1126"/>
      <c r="BI37" s="1126">
        <f t="shared" ref="BI37" si="14">BF37</f>
        <v>0.7</v>
      </c>
      <c r="BJ37" s="359"/>
    </row>
    <row r="38" spans="1:62" s="312" customFormat="1" outlineLevel="1">
      <c r="A38" s="335" t="s">
        <v>1580</v>
      </c>
      <c r="B38" s="371"/>
      <c r="C38" s="371"/>
      <c r="D38" s="397"/>
      <c r="E38" s="397">
        <f t="shared" ref="E38:I38" si="15">E37/B37-1</f>
        <v>2.2655093597501841E-2</v>
      </c>
      <c r="F38" s="397">
        <f t="shared" si="15"/>
        <v>1.8524515710800493E-3</v>
      </c>
      <c r="G38" s="397">
        <f t="shared" si="15"/>
        <v>1.5289129883516939E-2</v>
      </c>
      <c r="H38" s="397">
        <f t="shared" si="15"/>
        <v>-4.7061304554212091E-2</v>
      </c>
      <c r="I38" s="397">
        <f t="shared" si="15"/>
        <v>-3.1301916745049674E-2</v>
      </c>
      <c r="J38" s="397">
        <f>J37/G37-1</f>
        <v>-4.1722770116582764E-2</v>
      </c>
      <c r="K38" s="397">
        <f>+K37/H37-1</f>
        <v>-4.7756426914153161E-2</v>
      </c>
      <c r="L38" s="397">
        <f>+L37/I37-1</f>
        <v>-5.7023872498912498E-2</v>
      </c>
      <c r="M38" s="397">
        <f>M37/J37-1</f>
        <v>-5.3714374405328003E-2</v>
      </c>
      <c r="N38" s="397">
        <f>+N37/K37-1</f>
        <v>6.0283735243957137E-2</v>
      </c>
      <c r="O38" s="397">
        <f t="shared" ref="O38:Q38" si="16">+O37/L37-1</f>
        <v>0.14261994693956148</v>
      </c>
      <c r="P38" s="397">
        <f>+P37/M37-1</f>
        <v>9.3195477846682584E-2</v>
      </c>
      <c r="Q38" s="397">
        <f t="shared" si="16"/>
        <v>-3.688561091010456E-3</v>
      </c>
      <c r="R38" s="397"/>
      <c r="S38" s="397">
        <f>+S37/P37-1</f>
        <v>-2.7134720661157075E-2</v>
      </c>
      <c r="T38" s="397">
        <f t="shared" ref="T38:V38" si="17">T37/Q37-1</f>
        <v>-8.1202878518275345E-2</v>
      </c>
      <c r="U38" s="397"/>
      <c r="V38" s="397">
        <f t="shared" si="17"/>
        <v>-7.6796919566457622E-2</v>
      </c>
      <c r="W38" s="397">
        <f t="shared" ref="W38" si="18">W37/T37-1</f>
        <v>-2.1044323728896419E-2</v>
      </c>
      <c r="X38" s="397"/>
      <c r="Y38" s="397">
        <f>Y37/V37-1</f>
        <v>-1.8987355540448614E-2</v>
      </c>
      <c r="Z38" s="397">
        <f t="shared" ref="Z38" si="19">Z37/W37-1</f>
        <v>1.4131401299756652E-2</v>
      </c>
      <c r="AA38" s="397"/>
      <c r="AB38" s="828">
        <f>AB37/Y37-1</f>
        <v>-2.6142256686675358E-3</v>
      </c>
      <c r="AC38" s="397">
        <f t="shared" ref="AC38" si="20">AC37/Z37-1</f>
        <v>-4.4469517743402909E-3</v>
      </c>
      <c r="AD38" s="397"/>
      <c r="AE38" s="397">
        <f>AE37/AB37-1</f>
        <v>2.7481521517142227E-2</v>
      </c>
      <c r="AF38" s="397">
        <f t="shared" ref="AF38" si="21">AF37/AC37-1</f>
        <v>4.2859947668516529E-2</v>
      </c>
      <c r="AG38" s="397"/>
      <c r="AH38" s="397">
        <f>AH37/AE37-1</f>
        <v>2.564102564102555E-2</v>
      </c>
      <c r="AI38" s="397">
        <f t="shared" ref="AI38" si="22">AI37/AF37-1</f>
        <v>0</v>
      </c>
      <c r="AJ38" s="397"/>
      <c r="AK38" s="397">
        <f>AK37/AH37-1</f>
        <v>0</v>
      </c>
      <c r="AL38" s="397"/>
      <c r="AM38" s="397"/>
      <c r="AN38" s="397">
        <f>AN37/AK37-1</f>
        <v>0</v>
      </c>
      <c r="AO38" s="397"/>
      <c r="AP38" s="397"/>
      <c r="AQ38" s="397">
        <f t="shared" ref="AQ38" si="23">AQ37/AN37-1</f>
        <v>0</v>
      </c>
      <c r="AR38" s="397"/>
      <c r="AS38" s="397"/>
      <c r="AT38" s="397">
        <f>AT37/AQ37-1</f>
        <v>0</v>
      </c>
      <c r="AU38" s="397"/>
      <c r="AV38" s="397"/>
      <c r="AW38" s="397">
        <f>AW37/AT37-1</f>
        <v>0</v>
      </c>
      <c r="AX38" s="397"/>
      <c r="AY38" s="397"/>
      <c r="AZ38" s="397">
        <f>AZ37/AW37-1</f>
        <v>0</v>
      </c>
      <c r="BA38" s="397"/>
      <c r="BB38" s="397"/>
      <c r="BC38" s="397">
        <f>BC37/AZ37-1</f>
        <v>0</v>
      </c>
      <c r="BD38" s="397"/>
      <c r="BE38" s="397"/>
      <c r="BF38" s="397">
        <f>BF37/BC37-1</f>
        <v>0</v>
      </c>
      <c r="BG38" s="397"/>
      <c r="BH38" s="397"/>
      <c r="BI38" s="397">
        <f t="shared" ref="BI38" si="24">BI37/BF37-1</f>
        <v>0</v>
      </c>
      <c r="BJ38" s="336"/>
    </row>
    <row r="39" spans="1:62" s="312" customFormat="1" outlineLevel="1">
      <c r="A39" s="335" t="s">
        <v>1612</v>
      </c>
      <c r="B39" s="340">
        <f>+B42*B37</f>
        <v>120.1499</v>
      </c>
      <c r="C39" s="340">
        <f>+D39-B39</f>
        <v>78.927433000000008</v>
      </c>
      <c r="D39" s="400">
        <f>+D42*D37</f>
        <v>199.07733300000001</v>
      </c>
      <c r="E39" s="400">
        <f>+B39*(1+E40)</f>
        <v>147.4239273</v>
      </c>
      <c r="F39" s="400">
        <f>+G39-E39</f>
        <v>84.103010979000004</v>
      </c>
      <c r="G39" s="409">
        <f>+D39*(1+G40)</f>
        <v>231.52693827900001</v>
      </c>
      <c r="H39" s="400">
        <f>+E39*(1+H40)</f>
        <v>157.89102613829999</v>
      </c>
      <c r="I39" s="409">
        <f>+J39-H39</f>
        <v>103.27136024041192</v>
      </c>
      <c r="J39" s="409">
        <f>+J42*J37</f>
        <v>261.16238637871191</v>
      </c>
      <c r="K39" s="409">
        <f>+H39*1.146</f>
        <v>180.94311595449179</v>
      </c>
      <c r="L39" s="409">
        <f>+M39-K39</f>
        <v>111.06437278915413</v>
      </c>
      <c r="M39" s="409">
        <f>+M42*M37</f>
        <v>292.00748874364592</v>
      </c>
      <c r="N39" s="409">
        <f>K39*(1+N40)</f>
        <v>233.59756269724889</v>
      </c>
      <c r="O39" s="409">
        <f>+P39-N39</f>
        <v>139.00399293964333</v>
      </c>
      <c r="P39" s="409">
        <f>+M39*(1+P40)</f>
        <v>372.60155563689221</v>
      </c>
      <c r="Q39" s="409">
        <f>N39*(1+Q40)</f>
        <v>273.54274591847843</v>
      </c>
      <c r="R39" s="409">
        <f>S39-Q39</f>
        <v>171.34351151197086</v>
      </c>
      <c r="S39" s="409">
        <f>+P39*(1+S40)</f>
        <v>444.88625743044929</v>
      </c>
      <c r="T39" s="409">
        <f>Q39*(1+T40)</f>
        <v>306.09433268277735</v>
      </c>
      <c r="U39" s="409">
        <f>V39-T39</f>
        <v>169.93396276780339</v>
      </c>
      <c r="V39" s="409">
        <f>+S39*(1+V40)</f>
        <v>476.02829545058074</v>
      </c>
      <c r="W39" s="409">
        <f>T39*(1+W40)</f>
        <v>299.36025736375626</v>
      </c>
      <c r="X39" s="409">
        <f>Y39-W39</f>
        <v>190.4728586548913</v>
      </c>
      <c r="Y39" s="409">
        <f>+V39*(1+Y40)</f>
        <v>489.83311601864756</v>
      </c>
      <c r="Z39" s="409">
        <f>W39*(1+Z40)</f>
        <v>331.99052541640572</v>
      </c>
      <c r="AA39" s="409">
        <f>AB39-Z39</f>
        <v>214.17339894438635</v>
      </c>
      <c r="AB39" s="409">
        <f>+Y39*(1+AB40)</f>
        <v>546.16392436079207</v>
      </c>
      <c r="AC39" s="409">
        <f>Z39*(1+AC40)</f>
        <v>368.84147373762676</v>
      </c>
      <c r="AD39" s="409">
        <f>AE39-AC39</f>
        <v>240.13130192465644</v>
      </c>
      <c r="AE39" s="409">
        <f>+AB39*(1+AE40)</f>
        <v>608.9727756622832</v>
      </c>
      <c r="AF39" s="409">
        <f>AC39*(1+AF40)</f>
        <v>398.34879163663692</v>
      </c>
      <c r="AG39" s="409">
        <f>AH39-AF39</f>
        <v>271.52126159187463</v>
      </c>
      <c r="AH39" s="409">
        <f>+AE39*(1+AH40)</f>
        <v>669.87005322851155</v>
      </c>
      <c r="AI39" s="409">
        <f>AF39*(1+AI40)</f>
        <v>418.26623121846876</v>
      </c>
      <c r="AJ39" s="409">
        <f>AK39-AI39</f>
        <v>318.59082733289404</v>
      </c>
      <c r="AK39" s="409">
        <f>+AH39*(1+AK40)</f>
        <v>736.8570585513628</v>
      </c>
      <c r="AL39" s="409"/>
      <c r="AM39" s="409"/>
      <c r="AN39" s="409">
        <f>+AK39*(1+AN40)</f>
        <v>810.54276440649915</v>
      </c>
      <c r="AO39" s="409"/>
      <c r="AP39" s="409"/>
      <c r="AQ39" s="409">
        <f>+AN39*(1+AQ40)</f>
        <v>891.59704084714917</v>
      </c>
      <c r="AR39" s="409"/>
      <c r="AS39" s="409"/>
      <c r="AT39" s="409">
        <f>+AQ39*(1+AT40)</f>
        <v>980.7567449318642</v>
      </c>
      <c r="AU39" s="409"/>
      <c r="AV39" s="409"/>
      <c r="AW39" s="409">
        <f>+AT39*(1+AW40)</f>
        <v>1078.8324194250506</v>
      </c>
      <c r="AX39" s="409"/>
      <c r="AY39" s="409"/>
      <c r="AZ39" s="409">
        <f>+AW39*(1+AZ40)</f>
        <v>1186.7156613675559</v>
      </c>
      <c r="BA39" s="409"/>
      <c r="BB39" s="409"/>
      <c r="BC39" s="409">
        <f>+AZ39*(1+BC40)</f>
        <v>1305.3872275043116</v>
      </c>
      <c r="BD39" s="409"/>
      <c r="BE39" s="409"/>
      <c r="BF39" s="409">
        <f>+BC39*(1+BF40)</f>
        <v>1435.9259502547429</v>
      </c>
      <c r="BG39" s="409"/>
      <c r="BH39" s="409"/>
      <c r="BI39" s="409">
        <f t="shared" ref="BI39" si="25">+BF39*(1+BI40)</f>
        <v>1579.5185452802173</v>
      </c>
      <c r="BJ39" s="323"/>
    </row>
    <row r="40" spans="1:62" s="312" customFormat="1" outlineLevel="1">
      <c r="A40" s="335" t="s">
        <v>1718</v>
      </c>
      <c r="B40" s="371"/>
      <c r="C40" s="371"/>
      <c r="D40" s="397"/>
      <c r="E40" s="523">
        <v>0.22700000000000001</v>
      </c>
      <c r="F40" s="397">
        <f>+F39/C39-1</f>
        <v>6.557387947736748E-2</v>
      </c>
      <c r="G40" s="523">
        <v>0.16300000000000001</v>
      </c>
      <c r="H40" s="523">
        <v>7.0999999999999994E-2</v>
      </c>
      <c r="I40" s="397">
        <f>I39/F39-1</f>
        <v>0.22791513690512377</v>
      </c>
      <c r="J40" s="397">
        <f>+J39/G39-1</f>
        <v>0.12799999999999967</v>
      </c>
      <c r="K40" s="397">
        <f>K39/H39-1</f>
        <v>0.14599999999999991</v>
      </c>
      <c r="L40" s="397">
        <f>+L39/I39-1</f>
        <v>7.5461507726831245E-2</v>
      </c>
      <c r="M40" s="397">
        <f>M39/J39-1</f>
        <v>0.11810698620361615</v>
      </c>
      <c r="N40" s="523">
        <v>0.29099999999999998</v>
      </c>
      <c r="O40" s="397">
        <f>O39/L39-1</f>
        <v>0.2515623997943075</v>
      </c>
      <c r="P40" s="523">
        <v>0.27600000000000002</v>
      </c>
      <c r="Q40" s="523">
        <v>0.17100000000000001</v>
      </c>
      <c r="R40" s="397">
        <f>R39/O39-1</f>
        <v>0.23265172379882371</v>
      </c>
      <c r="S40" s="523">
        <v>0.19400000000000001</v>
      </c>
      <c r="T40" s="890">
        <v>0.11899999999999999</v>
      </c>
      <c r="U40" s="397">
        <f>U39/R39-1</f>
        <v>-8.2264494974412239E-3</v>
      </c>
      <c r="V40" s="523">
        <v>7.0000000000000007E-2</v>
      </c>
      <c r="W40" s="890">
        <v>-2.1999999999999999E-2</v>
      </c>
      <c r="X40" s="397">
        <f>X39/U39-1</f>
        <v>0.12086398476537674</v>
      </c>
      <c r="Y40" s="523">
        <v>2.9000000000000001E-2</v>
      </c>
      <c r="Z40" s="890">
        <v>0.109</v>
      </c>
      <c r="AA40" s="397">
        <f>AA39/X39-1</f>
        <v>0.1244300130573297</v>
      </c>
      <c r="AB40" s="871">
        <v>0.115</v>
      </c>
      <c r="AC40" s="890">
        <v>0.111</v>
      </c>
      <c r="AD40" s="397">
        <f>AD39/AA39-1</f>
        <v>0.1212004063446297</v>
      </c>
      <c r="AE40" s="449">
        <v>0.115</v>
      </c>
      <c r="AF40" s="449">
        <v>0.08</v>
      </c>
      <c r="AG40" s="397">
        <f>AG39/AD39-1</f>
        <v>0.13071998284116715</v>
      </c>
      <c r="AH40" s="449">
        <v>0.1</v>
      </c>
      <c r="AI40" s="449">
        <v>0.05</v>
      </c>
      <c r="AJ40" s="397">
        <f>AJ39/AG39-1</f>
        <v>0.17335499056339088</v>
      </c>
      <c r="AK40" s="449">
        <v>0.1</v>
      </c>
      <c r="AL40" s="449"/>
      <c r="AM40" s="449"/>
      <c r="AN40" s="449">
        <v>0.1</v>
      </c>
      <c r="AO40" s="449"/>
      <c r="AP40" s="449"/>
      <c r="AQ40" s="449">
        <v>0.1</v>
      </c>
      <c r="AR40" s="449"/>
      <c r="AS40" s="449"/>
      <c r="AT40" s="449">
        <v>0.1</v>
      </c>
      <c r="AU40" s="449"/>
      <c r="AV40" s="449"/>
      <c r="AW40" s="449">
        <v>0.1</v>
      </c>
      <c r="AX40" s="449"/>
      <c r="AY40" s="449"/>
      <c r="AZ40" s="449">
        <v>0.1</v>
      </c>
      <c r="BA40" s="449"/>
      <c r="BB40" s="449"/>
      <c r="BC40" s="449">
        <v>0.1</v>
      </c>
      <c r="BD40" s="449"/>
      <c r="BE40" s="449"/>
      <c r="BF40" s="449">
        <v>0.1</v>
      </c>
      <c r="BG40" s="449"/>
      <c r="BH40" s="449"/>
      <c r="BI40" s="449">
        <v>0.1</v>
      </c>
      <c r="BJ40" s="336"/>
    </row>
    <row r="41" spans="1:62" s="312" customFormat="1" outlineLevel="1">
      <c r="A41" s="335" t="s">
        <v>1589</v>
      </c>
      <c r="B41" s="435">
        <f>+B39/D39</f>
        <v>0.60353380361992293</v>
      </c>
      <c r="C41" s="435">
        <f>+C39/D39</f>
        <v>0.39646619638007707</v>
      </c>
      <c r="D41" s="408"/>
      <c r="E41" s="398">
        <f>+E39/G39</f>
        <v>0.63674632591714997</v>
      </c>
      <c r="F41" s="398">
        <f>+F39/G39</f>
        <v>0.36325367408285003</v>
      </c>
      <c r="G41" s="408"/>
      <c r="H41" s="398">
        <f>+H39/J39</f>
        <v>0.60457031476708134</v>
      </c>
      <c r="I41" s="398">
        <f>+I39/J39</f>
        <v>0.3954296852329186</v>
      </c>
      <c r="J41" s="408"/>
      <c r="K41" s="398">
        <f>+K39/M39</f>
        <v>0.61965231348344696</v>
      </c>
      <c r="L41" s="398">
        <f>+L39/M39</f>
        <v>0.38034768651655304</v>
      </c>
      <c r="M41" s="408"/>
      <c r="N41" s="398">
        <f>+N39/P39</f>
        <v>0.62693662751342472</v>
      </c>
      <c r="O41" s="398">
        <f>+O39/P39</f>
        <v>0.37306337248657528</v>
      </c>
      <c r="P41" s="397"/>
      <c r="Q41" s="397"/>
      <c r="R41" s="397"/>
      <c r="S41" s="397"/>
      <c r="T41" s="397"/>
      <c r="U41" s="397"/>
      <c r="V41" s="397"/>
      <c r="W41" s="397"/>
      <c r="X41" s="397"/>
      <c r="Y41" s="397"/>
      <c r="Z41" s="397"/>
      <c r="AA41" s="397"/>
      <c r="AB41" s="828"/>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36"/>
    </row>
    <row r="42" spans="1:62" s="312" customFormat="1" outlineLevel="1">
      <c r="A42" s="455" t="s">
        <v>1611</v>
      </c>
      <c r="B42" s="456">
        <v>159.35</v>
      </c>
      <c r="C42" s="457">
        <f>D42-B42</f>
        <v>105.73300000000003</v>
      </c>
      <c r="D42" s="528">
        <v>265.08300000000003</v>
      </c>
      <c r="E42" s="529">
        <v>191.191</v>
      </c>
      <c r="F42" s="530">
        <f>+G42-E42</f>
        <v>112.458</v>
      </c>
      <c r="G42" s="529">
        <v>303.649</v>
      </c>
      <c r="H42" s="529">
        <v>214.87799999999999</v>
      </c>
      <c r="I42" s="530">
        <f>+J42-H42</f>
        <v>142.55099999999999</v>
      </c>
      <c r="J42" s="529">
        <v>357.42899999999997</v>
      </c>
      <c r="K42" s="531">
        <v>258.60000000000002</v>
      </c>
      <c r="L42" s="458">
        <f>+L39/L37</f>
        <v>162.57899740711164</v>
      </c>
      <c r="M42" s="531">
        <v>422.32900000000001</v>
      </c>
      <c r="N42" s="531">
        <v>314.87099999999998</v>
      </c>
      <c r="O42" s="458">
        <f>P42-N42</f>
        <v>178.08000000000004</v>
      </c>
      <c r="P42" s="531">
        <v>492.95100000000002</v>
      </c>
      <c r="Q42" s="531">
        <v>370.07900000000001</v>
      </c>
      <c r="R42" s="458">
        <f>S42-Q42</f>
        <v>234.92099999999999</v>
      </c>
      <c r="S42" s="531">
        <v>605</v>
      </c>
      <c r="T42" s="531">
        <v>450.71800000000002</v>
      </c>
      <c r="U42" s="458">
        <f>V42-T42</f>
        <v>250.48200000000003</v>
      </c>
      <c r="V42" s="531">
        <v>701.2</v>
      </c>
      <c r="W42" s="531">
        <v>450.27800000000002</v>
      </c>
      <c r="X42" s="458">
        <f>Y42-W42</f>
        <v>285.22199999999998</v>
      </c>
      <c r="Y42" s="531">
        <v>735.5</v>
      </c>
      <c r="Z42" s="531">
        <v>492.4</v>
      </c>
      <c r="AA42" s="458">
        <f>AB42-Z42</f>
        <v>329.83199999999999</v>
      </c>
      <c r="AB42" s="870">
        <v>822.23199999999997</v>
      </c>
      <c r="AC42" s="531">
        <v>549.5</v>
      </c>
      <c r="AD42" s="458">
        <f>AE42-AC42</f>
        <v>342.76780316818054</v>
      </c>
      <c r="AE42" s="458">
        <f t="shared" ref="AE42:AT42" si="26">+AE39/AE37</f>
        <v>892.26780316818054</v>
      </c>
      <c r="AF42" s="458">
        <f>+AF39/AF37</f>
        <v>569.06970233805282</v>
      </c>
      <c r="AG42" s="458">
        <f>AH42-AF42</f>
        <v>387.88751655982094</v>
      </c>
      <c r="AH42" s="458">
        <f t="shared" si="26"/>
        <v>956.95721889787376</v>
      </c>
      <c r="AI42" s="458">
        <f>+AI39/AI37</f>
        <v>597.5231874549554</v>
      </c>
      <c r="AJ42" s="458">
        <f>AK42-AI42</f>
        <v>455.12975333270583</v>
      </c>
      <c r="AK42" s="458">
        <f t="shared" si="26"/>
        <v>1052.6529407876612</v>
      </c>
      <c r="AL42" s="458"/>
      <c r="AM42" s="458"/>
      <c r="AN42" s="458">
        <f t="shared" si="26"/>
        <v>1157.9182348664274</v>
      </c>
      <c r="AO42" s="458"/>
      <c r="AP42" s="458"/>
      <c r="AQ42" s="458">
        <f t="shared" si="26"/>
        <v>1273.7100583530703</v>
      </c>
      <c r="AR42" s="458"/>
      <c r="AS42" s="458"/>
      <c r="AT42" s="458">
        <f t="shared" si="26"/>
        <v>1401.0810641883775</v>
      </c>
      <c r="AU42" s="458"/>
      <c r="AV42" s="458"/>
      <c r="AW42" s="458">
        <f t="shared" ref="AW42:AZ42" si="27">+AW39/AW37</f>
        <v>1541.1891706072151</v>
      </c>
      <c r="AX42" s="458"/>
      <c r="AY42" s="458"/>
      <c r="AZ42" s="458">
        <f t="shared" si="27"/>
        <v>1695.3080876679371</v>
      </c>
      <c r="BA42" s="458"/>
      <c r="BB42" s="458"/>
      <c r="BC42" s="458">
        <f>+BC39/BC37</f>
        <v>1864.8388964347309</v>
      </c>
      <c r="BD42" s="458"/>
      <c r="BE42" s="458"/>
      <c r="BF42" s="458">
        <f t="shared" ref="BF42" si="28">+BF39/BF37</f>
        <v>2051.3227860782044</v>
      </c>
      <c r="BG42" s="458"/>
      <c r="BH42" s="458"/>
      <c r="BI42" s="458">
        <f t="shared" ref="BI42" si="29">+BI39/BI37</f>
        <v>2256.4550646860248</v>
      </c>
      <c r="BJ42" s="370"/>
    </row>
    <row r="43" spans="1:62" s="312" customFormat="1" outlineLevel="1">
      <c r="A43" s="312" t="s">
        <v>1359</v>
      </c>
      <c r="B43" s="371"/>
      <c r="C43" s="371"/>
      <c r="D43" s="397"/>
      <c r="E43" s="397">
        <f t="shared" ref="E43:M43" si="30">+E42/B42-1</f>
        <v>0.19981801066834026</v>
      </c>
      <c r="F43" s="397">
        <f t="shared" si="30"/>
        <v>6.3603605307708699E-2</v>
      </c>
      <c r="G43" s="397">
        <f t="shared" si="30"/>
        <v>0.14548650799938123</v>
      </c>
      <c r="H43" s="397">
        <f t="shared" si="30"/>
        <v>0.12389181499129132</v>
      </c>
      <c r="I43" s="397">
        <f t="shared" si="30"/>
        <v>0.26759323480766151</v>
      </c>
      <c r="J43" s="397">
        <f t="shared" si="30"/>
        <v>0.17711238963408404</v>
      </c>
      <c r="K43" s="397">
        <f t="shared" si="30"/>
        <v>0.20347359897244033</v>
      </c>
      <c r="L43" s="397">
        <f t="shared" si="30"/>
        <v>0.14049706706450094</v>
      </c>
      <c r="M43" s="397">
        <f t="shared" si="30"/>
        <v>0.1815745224925791</v>
      </c>
      <c r="N43" s="397">
        <f>+N42/K42-1</f>
        <v>0.21759860788863095</v>
      </c>
      <c r="O43" s="397">
        <f t="shared" ref="O43:P43" si="31">O42/L42-1</f>
        <v>9.5344434644731857E-2</v>
      </c>
      <c r="P43" s="397">
        <f t="shared" si="31"/>
        <v>0.16722034243445272</v>
      </c>
      <c r="Q43" s="397">
        <f>+Q42/N42-1</f>
        <v>0.17533529604187126</v>
      </c>
      <c r="R43" s="397">
        <f t="shared" ref="R43:S43" si="32">R42/O42-1</f>
        <v>0.31918800539083514</v>
      </c>
      <c r="S43" s="397">
        <f t="shared" si="32"/>
        <v>0.22730251079721908</v>
      </c>
      <c r="T43" s="397">
        <f>+T42/Q42-1</f>
        <v>0.21789671934911192</v>
      </c>
      <c r="U43" s="397">
        <f t="shared" ref="U43:V43" si="33">U42/R42-1</f>
        <v>6.6239288952456565E-2</v>
      </c>
      <c r="V43" s="397">
        <f t="shared" si="33"/>
        <v>0.15900826446280991</v>
      </c>
      <c r="W43" s="397">
        <f>+W42/T42-1</f>
        <v>-9.7622016427123537E-4</v>
      </c>
      <c r="X43" s="397">
        <f t="shared" ref="X43" si="34">X42/U42-1</f>
        <v>0.13869260066591593</v>
      </c>
      <c r="Y43" s="397">
        <f>Y42/V42-1</f>
        <v>4.8916143753565233E-2</v>
      </c>
      <c r="Z43" s="397">
        <f>+Z42/W42-1</f>
        <v>9.3546653400787827E-2</v>
      </c>
      <c r="AA43" s="397">
        <f t="shared" ref="AA43" si="35">AA42/X42-1</f>
        <v>0.15640448492753012</v>
      </c>
      <c r="AB43" s="828">
        <f>AB42/Y42-1</f>
        <v>0.11792250169952401</v>
      </c>
      <c r="AC43" s="397">
        <f>+AC42/Z42-1</f>
        <v>0.11596263200649881</v>
      </c>
      <c r="AD43" s="397">
        <f t="shared" ref="AD43" si="36">AD42/AA42-1</f>
        <v>3.9219369764548428E-2</v>
      </c>
      <c r="AE43" s="397">
        <f>AE42/AB42-1</f>
        <v>8.517766660526549E-2</v>
      </c>
      <c r="AF43" s="397">
        <f>+AF42/AC42-1</f>
        <v>3.5613653026483671E-2</v>
      </c>
      <c r="AG43" s="397">
        <f t="shared" ref="AG43" si="37">AG42/AD42-1</f>
        <v>0.13163346432950185</v>
      </c>
      <c r="AH43" s="397">
        <f>AH42/AE42-1</f>
        <v>7.2500000000000231E-2</v>
      </c>
      <c r="AI43" s="397">
        <f>+AI42/AF42-1</f>
        <v>4.9999999999999822E-2</v>
      </c>
      <c r="AJ43" s="397">
        <f t="shared" ref="AJ43" si="38">AJ42/AG42-1</f>
        <v>0.17335499056339088</v>
      </c>
      <c r="AK43" s="397">
        <f>AK42/AH42-1</f>
        <v>0.10000000000000009</v>
      </c>
      <c r="AL43" s="397"/>
      <c r="AM43" s="397"/>
      <c r="AN43" s="397">
        <f>AN42/AK42-1</f>
        <v>0.10000000000000009</v>
      </c>
      <c r="AO43" s="397"/>
      <c r="AP43" s="397"/>
      <c r="AQ43" s="397">
        <f>AQ42/AN42-1</f>
        <v>0.10000000000000009</v>
      </c>
      <c r="AR43" s="397"/>
      <c r="AS43" s="397"/>
      <c r="AT43" s="397">
        <f>AT42/AQ42-1</f>
        <v>0.10000000000000009</v>
      </c>
      <c r="AU43" s="397"/>
      <c r="AV43" s="397"/>
      <c r="AW43" s="397">
        <f>AW42/AT42-1</f>
        <v>9.9999999999999867E-2</v>
      </c>
      <c r="AX43" s="397"/>
      <c r="AY43" s="397"/>
      <c r="AZ43" s="397">
        <f>AZ42/AW42-1</f>
        <v>0.10000000000000031</v>
      </c>
      <c r="BA43" s="397"/>
      <c r="BB43" s="397"/>
      <c r="BC43" s="397">
        <f>BC42/AZ42-1</f>
        <v>0.10000000000000009</v>
      </c>
      <c r="BD43" s="397"/>
      <c r="BE43" s="397"/>
      <c r="BF43" s="397">
        <f>BF42/BC42-1</f>
        <v>0.10000000000000031</v>
      </c>
      <c r="BG43" s="397"/>
      <c r="BH43" s="397"/>
      <c r="BI43" s="397">
        <f t="shared" ref="BI43" si="39">BI42/BF42-1</f>
        <v>9.9999999999999867E-2</v>
      </c>
      <c r="BJ43" s="371"/>
    </row>
    <row r="44" spans="1:62" s="312" customFormat="1" outlineLevel="1">
      <c r="B44" s="371"/>
      <c r="C44" s="371"/>
      <c r="D44" s="397"/>
      <c r="E44" s="397"/>
      <c r="F44" s="397"/>
      <c r="G44" s="397"/>
      <c r="H44" s="397"/>
      <c r="I44" s="397"/>
      <c r="J44" s="397"/>
      <c r="K44" s="397"/>
      <c r="L44" s="397"/>
      <c r="M44" s="397"/>
      <c r="N44" s="397"/>
      <c r="O44" s="397"/>
      <c r="P44" s="397"/>
      <c r="Q44" s="397"/>
      <c r="R44" s="397"/>
      <c r="S44" s="397"/>
      <c r="T44" s="397"/>
      <c r="U44" s="397"/>
      <c r="V44" s="397"/>
      <c r="W44" s="397"/>
      <c r="X44" s="397"/>
      <c r="Y44" s="397"/>
      <c r="Z44" s="397"/>
      <c r="AA44" s="397"/>
      <c r="AB44" s="828"/>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397"/>
      <c r="BA44" s="397"/>
      <c r="BB44" s="397"/>
      <c r="BC44" s="397"/>
      <c r="BD44" s="397"/>
      <c r="BE44" s="397"/>
      <c r="BF44" s="397"/>
      <c r="BG44" s="397"/>
      <c r="BH44" s="397"/>
      <c r="BI44" s="397"/>
      <c r="BJ44" s="336"/>
    </row>
    <row r="45" spans="1:62" s="312" customFormat="1" outlineLevel="1">
      <c r="A45" s="360" t="s">
        <v>1719</v>
      </c>
      <c r="B45" s="371"/>
      <c r="C45" s="371"/>
      <c r="D45" s="397"/>
      <c r="E45" s="397"/>
      <c r="F45" s="397"/>
      <c r="G45" s="397"/>
      <c r="H45" s="397"/>
      <c r="I45" s="397"/>
      <c r="J45" s="397"/>
      <c r="K45" s="401">
        <f>+K37</f>
        <v>0.69970269123933404</v>
      </c>
      <c r="L45" s="401">
        <f t="shared" ref="L45" si="40">+L37</f>
        <v>0.68314096261179102</v>
      </c>
      <c r="M45" s="401"/>
      <c r="N45" s="401">
        <f>N50/N48</f>
        <v>0.97905492100879077</v>
      </c>
      <c r="O45" s="399"/>
      <c r="P45" s="399">
        <f t="shared" ref="P45:W45" si="41">P50/P48</f>
        <v>0.96521787640568013</v>
      </c>
      <c r="Q45" s="399">
        <f t="shared" si="41"/>
        <v>1.0273273738028099</v>
      </c>
      <c r="R45" s="401"/>
      <c r="S45" s="399">
        <f t="shared" si="41"/>
        <v>1.0375504527413963</v>
      </c>
      <c r="T45" s="399">
        <f t="shared" si="41"/>
        <v>0.67124196660067748</v>
      </c>
      <c r="U45" s="401"/>
      <c r="V45" s="399">
        <f t="shared" si="41"/>
        <v>0.99137931034482651</v>
      </c>
      <c r="W45" s="401">
        <f t="shared" si="41"/>
        <v>0.84238906958256088</v>
      </c>
      <c r="X45" s="401">
        <v>1</v>
      </c>
      <c r="Y45" s="399">
        <v>1</v>
      </c>
      <c r="Z45" s="401">
        <v>1</v>
      </c>
      <c r="AA45" s="401">
        <v>1</v>
      </c>
      <c r="AB45" s="841">
        <v>1</v>
      </c>
      <c r="AC45" s="401">
        <v>1</v>
      </c>
      <c r="AD45" s="401"/>
      <c r="AE45" s="401">
        <v>1</v>
      </c>
      <c r="AF45" s="401">
        <v>1</v>
      </c>
      <c r="AG45" s="401"/>
      <c r="AH45" s="401">
        <v>1</v>
      </c>
      <c r="AI45" s="401">
        <v>1</v>
      </c>
      <c r="AJ45" s="401"/>
      <c r="AK45" s="401">
        <v>1</v>
      </c>
      <c r="AL45" s="401"/>
      <c r="AM45" s="401"/>
      <c r="AN45" s="401">
        <v>1</v>
      </c>
      <c r="AO45" s="401"/>
      <c r="AP45" s="401"/>
      <c r="AQ45" s="401">
        <v>1</v>
      </c>
      <c r="AR45" s="401"/>
      <c r="AS45" s="401"/>
      <c r="AT45" s="401">
        <v>1</v>
      </c>
      <c r="AU45" s="401"/>
      <c r="AV45" s="401"/>
      <c r="AW45" s="401">
        <v>1</v>
      </c>
      <c r="AX45" s="401"/>
      <c r="AY45" s="401"/>
      <c r="AZ45" s="401">
        <v>1</v>
      </c>
      <c r="BA45" s="401"/>
      <c r="BB45" s="401"/>
      <c r="BC45" s="401">
        <v>1</v>
      </c>
      <c r="BD45" s="401"/>
      <c r="BE45" s="401"/>
      <c r="BF45" s="401">
        <v>1</v>
      </c>
      <c r="BG45" s="401"/>
      <c r="BH45" s="401"/>
      <c r="BI45" s="401">
        <v>1</v>
      </c>
      <c r="BJ45" s="338"/>
    </row>
    <row r="46" spans="1:62" s="312" customFormat="1" outlineLevel="1">
      <c r="A46" s="335" t="s">
        <v>1580</v>
      </c>
      <c r="B46" s="371"/>
      <c r="C46" s="371"/>
      <c r="D46" s="397"/>
      <c r="E46" s="397"/>
      <c r="F46" s="397"/>
      <c r="G46" s="397"/>
      <c r="H46" s="397"/>
      <c r="I46" s="397"/>
      <c r="J46" s="397"/>
      <c r="K46" s="400"/>
      <c r="L46" s="400"/>
      <c r="M46" s="397"/>
      <c r="N46" s="400"/>
      <c r="O46" s="397"/>
      <c r="P46" s="397"/>
      <c r="Q46" s="397"/>
      <c r="R46" s="503"/>
      <c r="S46" s="397"/>
      <c r="T46" s="397"/>
      <c r="U46" s="397"/>
      <c r="V46" s="397"/>
      <c r="W46" s="397"/>
      <c r="X46" s="397"/>
      <c r="Y46" s="397"/>
      <c r="Z46" s="397"/>
      <c r="AA46" s="397"/>
      <c r="AB46" s="828"/>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397"/>
      <c r="BA46" s="397"/>
      <c r="BB46" s="397"/>
      <c r="BC46" s="397"/>
      <c r="BD46" s="397"/>
      <c r="BE46" s="397"/>
      <c r="BF46" s="397"/>
      <c r="BG46" s="397"/>
      <c r="BH46" s="397"/>
      <c r="BI46" s="397"/>
      <c r="BJ46" s="336"/>
    </row>
    <row r="47" spans="1:62" s="312" customFormat="1" outlineLevel="1">
      <c r="A47" s="335" t="s">
        <v>1720</v>
      </c>
      <c r="B47" s="371"/>
      <c r="C47" s="371"/>
      <c r="D47" s="397"/>
      <c r="E47" s="397"/>
      <c r="F47" s="397"/>
      <c r="G47" s="397"/>
      <c r="H47" s="397"/>
      <c r="I47" s="397"/>
      <c r="J47" s="397"/>
      <c r="K47" s="400">
        <f>+K49*K45</f>
        <v>62.484150030363772</v>
      </c>
      <c r="L47" s="400">
        <f t="shared" ref="L47" si="42">+L49*L45</f>
        <v>56.539478629602272</v>
      </c>
      <c r="M47" s="400"/>
      <c r="N47" s="400"/>
      <c r="O47" s="409"/>
      <c r="P47" s="409"/>
      <c r="Q47" s="409"/>
      <c r="R47" s="409"/>
      <c r="S47" s="409"/>
      <c r="T47" s="409"/>
      <c r="U47" s="409"/>
      <c r="V47" s="409"/>
      <c r="W47" s="409"/>
      <c r="X47" s="409"/>
      <c r="Y47" s="409"/>
      <c r="Z47" s="409"/>
      <c r="AA47" s="409"/>
      <c r="AB47" s="831"/>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c r="BC47" s="409"/>
      <c r="BD47" s="409"/>
      <c r="BE47" s="409"/>
      <c r="BF47" s="409"/>
      <c r="BG47" s="409"/>
      <c r="BH47" s="409"/>
      <c r="BI47" s="409"/>
      <c r="BJ47" s="329"/>
    </row>
    <row r="48" spans="1:62" s="312" customFormat="1" outlineLevel="1">
      <c r="A48" s="335" t="s">
        <v>1718</v>
      </c>
      <c r="B48" s="371"/>
      <c r="C48" s="371"/>
      <c r="D48" s="397"/>
      <c r="E48" s="397"/>
      <c r="F48" s="397"/>
      <c r="G48" s="397"/>
      <c r="H48" s="397"/>
      <c r="I48" s="397"/>
      <c r="J48" s="397"/>
      <c r="K48" s="400"/>
      <c r="L48" s="400"/>
      <c r="M48" s="397"/>
      <c r="N48" s="511">
        <v>0.497</v>
      </c>
      <c r="O48" s="397">
        <f>O49/L49-1</f>
        <v>0.22547242762553776</v>
      </c>
      <c r="P48" s="523">
        <v>0.374</v>
      </c>
      <c r="Q48" s="523">
        <v>0.22</v>
      </c>
      <c r="R48" s="397">
        <f>R49/O49-1</f>
        <v>0.14017254128666456</v>
      </c>
      <c r="S48" s="523">
        <v>0.182</v>
      </c>
      <c r="T48" s="523">
        <v>4.0000000000000001E-3</v>
      </c>
      <c r="U48" s="397">
        <f>U49/R49-1</f>
        <v>0.11555490219816367</v>
      </c>
      <c r="V48" s="523">
        <v>0.05</v>
      </c>
      <c r="W48" s="523">
        <v>-5.7000000000000002E-2</v>
      </c>
      <c r="X48" s="397">
        <f>X49/U49-1</f>
        <v>-6.9485678849657173E-2</v>
      </c>
      <c r="Y48" s="523">
        <f t="shared" ref="Y48:AT48" si="43">Y50/Y45</f>
        <v>-5.7494866529774202E-2</v>
      </c>
      <c r="Z48" s="523">
        <f>Z50/Z45</f>
        <v>0.15667582824297255</v>
      </c>
      <c r="AA48" s="397">
        <f>AA50/AA45</f>
        <v>3.5246290850626139E-2</v>
      </c>
      <c r="AB48" s="871">
        <f t="shared" si="43"/>
        <v>0.10374727668845307</v>
      </c>
      <c r="AC48" s="523">
        <v>6.0999999999999999E-2</v>
      </c>
      <c r="AD48" s="397"/>
      <c r="AE48" s="520">
        <f t="shared" si="43"/>
        <v>9.5000000000000001E-2</v>
      </c>
      <c r="AF48" s="520">
        <f>AF50/AF45</f>
        <v>0.14000000000000001</v>
      </c>
      <c r="AG48" s="397"/>
      <c r="AH48" s="520">
        <f t="shared" si="43"/>
        <v>0.12</v>
      </c>
      <c r="AI48" s="520">
        <f>AI50/AI45</f>
        <v>0.12</v>
      </c>
      <c r="AJ48" s="397"/>
      <c r="AK48" s="520">
        <f t="shared" si="43"/>
        <v>0.13</v>
      </c>
      <c r="AL48" s="520"/>
      <c r="AM48" s="520"/>
      <c r="AN48" s="520">
        <f t="shared" si="43"/>
        <v>0.14000000000000001</v>
      </c>
      <c r="AO48" s="520"/>
      <c r="AP48" s="520"/>
      <c r="AQ48" s="520">
        <f t="shared" si="43"/>
        <v>0.15</v>
      </c>
      <c r="AR48" s="520"/>
      <c r="AS48" s="520"/>
      <c r="AT48" s="520">
        <f t="shared" si="43"/>
        <v>0.15</v>
      </c>
      <c r="AU48" s="520"/>
      <c r="AV48" s="520"/>
      <c r="AW48" s="520">
        <f t="shared" ref="AW48:AZ48" si="44">AW50/AW45</f>
        <v>0.15</v>
      </c>
      <c r="AX48" s="520"/>
      <c r="AY48" s="520"/>
      <c r="AZ48" s="520">
        <f t="shared" si="44"/>
        <v>0.15</v>
      </c>
      <c r="BA48" s="520"/>
      <c r="BB48" s="520"/>
      <c r="BC48" s="520">
        <f t="shared" ref="BC48:BF48" si="45">BC50/BC45</f>
        <v>0.15</v>
      </c>
      <c r="BD48" s="520"/>
      <c r="BE48" s="520"/>
      <c r="BF48" s="520">
        <f t="shared" si="45"/>
        <v>0.15</v>
      </c>
      <c r="BG48" s="520"/>
      <c r="BH48" s="520"/>
      <c r="BI48" s="520">
        <f t="shared" ref="BI48" si="46">BI50/BI45</f>
        <v>0.15</v>
      </c>
      <c r="BJ48" s="336"/>
    </row>
    <row r="49" spans="1:62" s="312" customFormat="1" outlineLevel="1">
      <c r="A49" s="459" t="s">
        <v>2010</v>
      </c>
      <c r="B49" s="460"/>
      <c r="C49" s="460"/>
      <c r="D49" s="633">
        <f>+G49/1.1086</f>
        <v>128.17968609056467</v>
      </c>
      <c r="E49" s="633"/>
      <c r="F49" s="633"/>
      <c r="G49" s="633">
        <f>123.9+36.4/2</f>
        <v>142.1</v>
      </c>
      <c r="H49" s="633"/>
      <c r="I49" s="633"/>
      <c r="J49" s="633">
        <f>132.9+32.1/2</f>
        <v>148.95000000000002</v>
      </c>
      <c r="K49" s="531">
        <v>89.301000000000002</v>
      </c>
      <c r="L49" s="458">
        <f>+M49-K49</f>
        <v>82.763999999999996</v>
      </c>
      <c r="M49" s="531">
        <v>172.065</v>
      </c>
      <c r="N49" s="531">
        <v>132.75399999999999</v>
      </c>
      <c r="O49" s="458">
        <f>P49-N49</f>
        <v>101.42500000000001</v>
      </c>
      <c r="P49" s="531">
        <v>234.179</v>
      </c>
      <c r="Q49" s="531">
        <v>162.75800000000001</v>
      </c>
      <c r="R49" s="458">
        <f>S49-Q49</f>
        <v>115.64199999999997</v>
      </c>
      <c r="S49" s="531">
        <v>278.39999999999998</v>
      </c>
      <c r="T49" s="531">
        <v>163.19499999999999</v>
      </c>
      <c r="U49" s="458">
        <f>V49-T49</f>
        <v>129.005</v>
      </c>
      <c r="V49" s="531">
        <v>292.2</v>
      </c>
      <c r="W49" s="531">
        <v>155.35900000000001</v>
      </c>
      <c r="X49" s="458">
        <f>Y49-W49</f>
        <v>120.04099999999997</v>
      </c>
      <c r="Y49" s="531">
        <v>275.39999999999998</v>
      </c>
      <c r="Z49" s="531">
        <v>179.7</v>
      </c>
      <c r="AA49" s="458">
        <f>AB49-Z49</f>
        <v>124.27199999999999</v>
      </c>
      <c r="AB49" s="870">
        <v>303.97199999999998</v>
      </c>
      <c r="AC49" s="531">
        <v>190.3</v>
      </c>
      <c r="AD49" s="458">
        <f>AE49-AC49</f>
        <v>142.54933999999997</v>
      </c>
      <c r="AE49" s="458">
        <f>AB49*(1+AE50)</f>
        <v>332.84933999999998</v>
      </c>
      <c r="AF49" s="458">
        <f t="shared" ref="AF49" si="47">AC49*(1+AF50)</f>
        <v>216.94200000000004</v>
      </c>
      <c r="AG49" s="458">
        <f>AH49-AF49</f>
        <v>155.8492608</v>
      </c>
      <c r="AH49" s="458">
        <f>AE49*(1+AH50)</f>
        <v>372.79126080000003</v>
      </c>
      <c r="AI49" s="458">
        <f t="shared" ref="AI49" si="48">AF49*(1+AI50)</f>
        <v>242.97504000000006</v>
      </c>
      <c r="AJ49" s="458">
        <f>AK49-AI49</f>
        <v>178.27908470399993</v>
      </c>
      <c r="AK49" s="458">
        <f>AH49*(1+AK50)</f>
        <v>421.25412470399999</v>
      </c>
      <c r="AL49" s="458"/>
      <c r="AM49" s="458"/>
      <c r="AN49" s="458">
        <f>AK49*(1+AN50)</f>
        <v>480.22970216256005</v>
      </c>
      <c r="AO49" s="458"/>
      <c r="AP49" s="458"/>
      <c r="AQ49" s="458">
        <f>AN49*(1+AQ50)</f>
        <v>552.26415748694399</v>
      </c>
      <c r="AR49" s="458"/>
      <c r="AS49" s="458"/>
      <c r="AT49" s="458">
        <f>AQ49*(1+AT50)</f>
        <v>635.10378110998556</v>
      </c>
      <c r="AU49" s="458"/>
      <c r="AV49" s="458"/>
      <c r="AW49" s="458">
        <f>AT49*(1+AW50)</f>
        <v>730.36934827648338</v>
      </c>
      <c r="AX49" s="458"/>
      <c r="AY49" s="458"/>
      <c r="AZ49" s="458">
        <f>AW49*(1+AZ50)</f>
        <v>839.92475051795577</v>
      </c>
      <c r="BA49" s="458"/>
      <c r="BB49" s="458"/>
      <c r="BC49" s="458">
        <f>AZ49*(1+BC50)</f>
        <v>965.91346309564904</v>
      </c>
      <c r="BD49" s="458"/>
      <c r="BE49" s="458"/>
      <c r="BF49" s="458">
        <f>BC49*(1+BF50)</f>
        <v>1110.8004825599962</v>
      </c>
      <c r="BG49" s="458"/>
      <c r="BH49" s="458"/>
      <c r="BI49" s="458">
        <f t="shared" ref="BI49" si="49">BF49*(1+BI50)</f>
        <v>1277.4205549439955</v>
      </c>
      <c r="BJ49" s="370"/>
    </row>
    <row r="50" spans="1:62" s="312" customFormat="1" outlineLevel="1">
      <c r="A50" s="312" t="s">
        <v>1359</v>
      </c>
      <c r="B50" s="371"/>
      <c r="C50" s="371"/>
      <c r="D50" s="397"/>
      <c r="E50" s="397"/>
      <c r="F50" s="397"/>
      <c r="G50" s="397"/>
      <c r="H50" s="397"/>
      <c r="I50" s="397"/>
      <c r="J50" s="397"/>
      <c r="K50" s="400"/>
      <c r="L50" s="400"/>
      <c r="M50" s="397"/>
      <c r="N50" s="397">
        <f>N49/K49-1</f>
        <v>0.48659029574136903</v>
      </c>
      <c r="O50" s="397">
        <f t="shared" ref="O50:AC50" si="50">O49/L49-1</f>
        <v>0.22547242762553776</v>
      </c>
      <c r="P50" s="397">
        <f t="shared" si="50"/>
        <v>0.36099148577572437</v>
      </c>
      <c r="Q50" s="397">
        <f t="shared" si="50"/>
        <v>0.2260120222366182</v>
      </c>
      <c r="R50" s="397">
        <f t="shared" si="50"/>
        <v>0.14017254128666456</v>
      </c>
      <c r="S50" s="397">
        <f t="shared" si="50"/>
        <v>0.18883418239893413</v>
      </c>
      <c r="T50" s="397">
        <f t="shared" si="50"/>
        <v>2.6849678664027099E-3</v>
      </c>
      <c r="U50" s="397">
        <f>U49/R49-1</f>
        <v>0.11555490219816367</v>
      </c>
      <c r="V50" s="397">
        <f t="shared" si="50"/>
        <v>4.9568965517241326E-2</v>
      </c>
      <c r="W50" s="397">
        <f t="shared" si="50"/>
        <v>-4.801617696620597E-2</v>
      </c>
      <c r="X50" s="397">
        <f>X49/U49-1</f>
        <v>-6.9485678849657173E-2</v>
      </c>
      <c r="Y50" s="397">
        <f t="shared" si="50"/>
        <v>-5.7494866529774202E-2</v>
      </c>
      <c r="Z50" s="397">
        <f t="shared" si="50"/>
        <v>0.15667582824297255</v>
      </c>
      <c r="AA50" s="397">
        <f>AA49/X49-1</f>
        <v>3.5246290850626139E-2</v>
      </c>
      <c r="AB50" s="828">
        <f t="shared" si="50"/>
        <v>0.10374727668845307</v>
      </c>
      <c r="AC50" s="397">
        <f t="shared" si="50"/>
        <v>5.8987200890372904E-2</v>
      </c>
      <c r="AD50" s="397">
        <f>AD49/AA49-1</f>
        <v>0.14707528646839174</v>
      </c>
      <c r="AE50" s="449">
        <v>9.5000000000000001E-2</v>
      </c>
      <c r="AF50" s="449">
        <v>0.14000000000000001</v>
      </c>
      <c r="AG50" s="397">
        <f>AG49/AD49-1</f>
        <v>9.3300472664412437E-2</v>
      </c>
      <c r="AH50" s="449">
        <v>0.12</v>
      </c>
      <c r="AI50" s="449">
        <v>0.12</v>
      </c>
      <c r="AJ50" s="397">
        <f>AJ49/AG49-1</f>
        <v>0.14391998902570302</v>
      </c>
      <c r="AK50" s="449">
        <v>0.13</v>
      </c>
      <c r="AL50" s="449">
        <v>0.15</v>
      </c>
      <c r="AM50" s="449">
        <v>0.15</v>
      </c>
      <c r="AN50" s="449">
        <v>0.14000000000000001</v>
      </c>
      <c r="AO50" s="449">
        <v>0.15</v>
      </c>
      <c r="AP50" s="449">
        <v>0.15</v>
      </c>
      <c r="AQ50" s="449">
        <v>0.15</v>
      </c>
      <c r="AR50" s="449">
        <v>0.15</v>
      </c>
      <c r="AS50" s="449">
        <v>0.15</v>
      </c>
      <c r="AT50" s="449">
        <v>0.15</v>
      </c>
      <c r="AU50" s="449">
        <v>0.15</v>
      </c>
      <c r="AV50" s="449">
        <v>0.15</v>
      </c>
      <c r="AW50" s="449">
        <v>0.15</v>
      </c>
      <c r="AX50" s="449">
        <v>0.15</v>
      </c>
      <c r="AY50" s="449">
        <v>0.15</v>
      </c>
      <c r="AZ50" s="449">
        <v>0.15</v>
      </c>
      <c r="BA50" s="449">
        <v>0.15</v>
      </c>
      <c r="BB50" s="449">
        <v>0.15</v>
      </c>
      <c r="BC50" s="449">
        <v>0.15</v>
      </c>
      <c r="BD50" s="449">
        <v>0.15</v>
      </c>
      <c r="BE50" s="449">
        <v>0.15</v>
      </c>
      <c r="BF50" s="449">
        <v>0.15</v>
      </c>
      <c r="BG50" s="449">
        <v>0.15</v>
      </c>
      <c r="BH50" s="449">
        <v>0.15</v>
      </c>
      <c r="BI50" s="449">
        <v>0.15</v>
      </c>
      <c r="BJ50" s="371"/>
    </row>
    <row r="51" spans="1:62" s="312" customFormat="1" outlineLevel="1">
      <c r="B51" s="371"/>
      <c r="C51" s="371"/>
      <c r="D51" s="397"/>
      <c r="E51" s="397"/>
      <c r="F51" s="397"/>
      <c r="G51" s="397"/>
      <c r="H51" s="397"/>
      <c r="I51" s="397"/>
      <c r="J51" s="397"/>
      <c r="K51" s="400"/>
      <c r="L51" s="400"/>
      <c r="M51" s="397"/>
      <c r="N51" s="400"/>
      <c r="O51" s="397"/>
      <c r="P51" s="503"/>
      <c r="Q51" s="397"/>
      <c r="R51" s="397"/>
      <c r="S51" s="503"/>
      <c r="T51" s="503"/>
      <c r="U51" s="503"/>
      <c r="V51" s="503"/>
      <c r="W51" s="503"/>
      <c r="X51" s="503"/>
      <c r="Y51" s="503"/>
      <c r="Z51" s="503"/>
      <c r="AA51" s="503"/>
      <c r="AB51" s="869"/>
      <c r="AC51" s="503"/>
      <c r="AD51" s="503"/>
      <c r="AE51" s="503"/>
      <c r="AF51" s="503"/>
      <c r="AG51" s="503"/>
      <c r="AH51" s="503"/>
      <c r="AI51" s="503"/>
      <c r="AJ51" s="503"/>
      <c r="AK51" s="503"/>
      <c r="AL51" s="503"/>
      <c r="AM51" s="503"/>
      <c r="AN51" s="503"/>
      <c r="AO51" s="503"/>
      <c r="AP51" s="503"/>
      <c r="AQ51" s="503"/>
      <c r="AR51" s="503"/>
      <c r="AS51" s="503"/>
      <c r="AT51" s="503"/>
      <c r="AU51" s="503"/>
      <c r="AV51" s="503"/>
      <c r="AW51" s="503"/>
      <c r="AX51" s="503"/>
      <c r="AY51" s="503"/>
      <c r="AZ51" s="503"/>
      <c r="BA51" s="503"/>
      <c r="BB51" s="503"/>
      <c r="BC51" s="503"/>
      <c r="BD51" s="503"/>
      <c r="BE51" s="503"/>
      <c r="BF51" s="503"/>
      <c r="BG51" s="503"/>
      <c r="BH51" s="503"/>
      <c r="BI51" s="503"/>
      <c r="BJ51" s="336"/>
    </row>
    <row r="52" spans="1:62" s="312" customFormat="1" outlineLevel="1">
      <c r="A52" s="360" t="s">
        <v>1573</v>
      </c>
      <c r="B52" s="371"/>
      <c r="C52" s="371"/>
      <c r="D52" s="397"/>
      <c r="E52" s="397"/>
      <c r="F52" s="397"/>
      <c r="G52" s="397"/>
      <c r="H52" s="397"/>
      <c r="I52" s="397"/>
      <c r="J52" s="1167">
        <f>M52</f>
        <v>0.60699999999999998</v>
      </c>
      <c r="K52" s="401">
        <v>0.61499999999999999</v>
      </c>
      <c r="L52" s="399">
        <f>+M52*2-K52</f>
        <v>0.59899999999999998</v>
      </c>
      <c r="M52" s="401">
        <v>0.60699999999999998</v>
      </c>
      <c r="N52" s="401">
        <f>N54/N56</f>
        <v>0.62579328366069775</v>
      </c>
      <c r="O52" s="399">
        <f>+O54/O56</f>
        <v>0.64923582525183832</v>
      </c>
      <c r="P52" s="399">
        <f>+P54/P56</f>
        <v>0.63598808819238295</v>
      </c>
      <c r="Q52" s="399">
        <f>+Q54/Q56</f>
        <v>0.63004971230722195</v>
      </c>
      <c r="R52" s="401">
        <v>0.65826654011606511</v>
      </c>
      <c r="S52" s="399">
        <f t="shared" ref="S52:Y52" si="51">+S54/S56</f>
        <v>0.63758372433181965</v>
      </c>
      <c r="T52" s="399">
        <f t="shared" si="51"/>
        <v>0.65078981496342903</v>
      </c>
      <c r="U52" s="399">
        <f t="shared" si="51"/>
        <v>0.62233955823246279</v>
      </c>
      <c r="V52" s="399">
        <f t="shared" si="51"/>
        <v>0.63792259405794283</v>
      </c>
      <c r="W52" s="399">
        <f t="shared" si="51"/>
        <v>0.60653398845108442</v>
      </c>
      <c r="X52" s="399">
        <v>0.60363655742278632</v>
      </c>
      <c r="Y52" s="399">
        <f t="shared" si="51"/>
        <v>0.60828822558182549</v>
      </c>
      <c r="Z52" s="399">
        <f t="shared" ref="Z52:AC52" si="52">+Z54/Z56</f>
        <v>0.60325927722664763</v>
      </c>
      <c r="AA52" s="399">
        <f t="shared" si="52"/>
        <v>0.57762349795075707</v>
      </c>
      <c r="AB52" s="841">
        <f t="shared" si="52"/>
        <v>0.59169994972242135</v>
      </c>
      <c r="AC52" s="399">
        <f t="shared" si="52"/>
        <v>0.57081435226702937</v>
      </c>
      <c r="AD52" s="1126">
        <f>AD54/AD56</f>
        <v>0.60277549680419795</v>
      </c>
      <c r="AE52" s="1126">
        <v>0.58499999999999996</v>
      </c>
      <c r="AF52" s="1126">
        <f>AH52</f>
        <v>0.6</v>
      </c>
      <c r="AG52" s="1126">
        <f t="shared" ref="AG52" si="53">AF52</f>
        <v>0.6</v>
      </c>
      <c r="AH52" s="1126">
        <v>0.6</v>
      </c>
      <c r="AI52" s="1126">
        <f>AK52</f>
        <v>0.6</v>
      </c>
      <c r="AJ52" s="1126">
        <f t="shared" ref="AJ52" si="54">AI52</f>
        <v>0.6</v>
      </c>
      <c r="AK52" s="1126">
        <f>AH52</f>
        <v>0.6</v>
      </c>
      <c r="AL52" s="1126"/>
      <c r="AM52" s="1126"/>
      <c r="AN52" s="1126">
        <f>AK52</f>
        <v>0.6</v>
      </c>
      <c r="AO52" s="1126"/>
      <c r="AP52" s="1126"/>
      <c r="AQ52" s="1126">
        <f>AN52</f>
        <v>0.6</v>
      </c>
      <c r="AR52" s="1126"/>
      <c r="AS52" s="1126"/>
      <c r="AT52" s="1126">
        <f>AQ52</f>
        <v>0.6</v>
      </c>
      <c r="AU52" s="1126"/>
      <c r="AV52" s="1126"/>
      <c r="AW52" s="1126">
        <f>AT52</f>
        <v>0.6</v>
      </c>
      <c r="AX52" s="1126"/>
      <c r="AY52" s="1126"/>
      <c r="AZ52" s="1126">
        <f>AW52</f>
        <v>0.6</v>
      </c>
      <c r="BA52" s="1126"/>
      <c r="BB52" s="1126"/>
      <c r="BC52" s="1126">
        <f>AZ52</f>
        <v>0.6</v>
      </c>
      <c r="BD52" s="1126"/>
      <c r="BE52" s="1126"/>
      <c r="BF52" s="1126">
        <f>BC52</f>
        <v>0.6</v>
      </c>
      <c r="BG52" s="1126"/>
      <c r="BH52" s="1126"/>
      <c r="BI52" s="1126">
        <f>BF52</f>
        <v>0.6</v>
      </c>
      <c r="BJ52" s="338"/>
    </row>
    <row r="53" spans="1:62" s="312" customFormat="1" outlineLevel="1">
      <c r="A53" s="335" t="s">
        <v>1580</v>
      </c>
      <c r="B53" s="371"/>
      <c r="C53" s="371"/>
      <c r="D53" s="397"/>
      <c r="E53" s="397"/>
      <c r="F53" s="397"/>
      <c r="G53" s="397"/>
      <c r="H53" s="397"/>
      <c r="I53" s="397"/>
      <c r="J53" s="397"/>
      <c r="K53" s="400"/>
      <c r="L53" s="400"/>
      <c r="M53" s="397"/>
      <c r="N53" s="408"/>
      <c r="O53" s="397"/>
      <c r="P53" s="397"/>
      <c r="Q53" s="397"/>
      <c r="R53" s="397"/>
      <c r="S53" s="397"/>
      <c r="T53" s="891"/>
      <c r="U53" s="408"/>
      <c r="V53" s="397"/>
      <c r="W53" s="891"/>
      <c r="X53" s="408"/>
      <c r="Y53" s="397"/>
      <c r="Z53" s="891"/>
      <c r="AA53" s="408"/>
      <c r="AB53" s="828"/>
      <c r="AC53" s="891"/>
      <c r="AD53" s="397"/>
      <c r="AE53" s="397"/>
      <c r="AF53" s="397"/>
      <c r="AG53" s="397"/>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36"/>
    </row>
    <row r="54" spans="1:62" s="312" customFormat="1" outlineLevel="1">
      <c r="A54" s="335" t="s">
        <v>1613</v>
      </c>
      <c r="B54" s="371"/>
      <c r="C54" s="371"/>
      <c r="D54" s="397"/>
      <c r="E54" s="397"/>
      <c r="F54" s="397"/>
      <c r="G54" s="397"/>
      <c r="H54" s="397"/>
      <c r="I54" s="397"/>
      <c r="J54" s="397"/>
      <c r="K54" s="400">
        <f t="shared" ref="K54:L54" si="55">+K56*K52</f>
        <v>58.230045000000004</v>
      </c>
      <c r="L54" s="400">
        <f t="shared" si="55"/>
        <v>45.123867999999987</v>
      </c>
      <c r="M54" s="400">
        <f>+M56*M52</f>
        <v>103.19910499999999</v>
      </c>
      <c r="N54" s="400">
        <f>K54*(1+N55)</f>
        <v>90.897100245000004</v>
      </c>
      <c r="O54" s="409">
        <f>+P54-N54</f>
        <v>72.57028207499998</v>
      </c>
      <c r="P54" s="409">
        <f>+M54*(1+P55)</f>
        <v>163.46738231999998</v>
      </c>
      <c r="Q54" s="409">
        <f>N54*(1+Q55)</f>
        <v>126.71055774153002</v>
      </c>
      <c r="R54" s="409">
        <f>S54-Q54</f>
        <v>61.440399308789964</v>
      </c>
      <c r="S54" s="409">
        <f>+P54*(1+S55)</f>
        <v>188.15095705031999</v>
      </c>
      <c r="T54" s="409">
        <f>Q54*(1+T55)</f>
        <v>101.87528842419015</v>
      </c>
      <c r="U54" s="409">
        <f>V54-T54</f>
        <v>80.442988957569909</v>
      </c>
      <c r="V54" s="409">
        <f>+S54*(1+V55)</f>
        <v>182.31827738176005</v>
      </c>
      <c r="W54" s="409">
        <f>T54*(1+W55)</f>
        <v>107.4784292875206</v>
      </c>
      <c r="X54" s="409">
        <f>Y54-W54</f>
        <v>90.336901671689063</v>
      </c>
      <c r="Y54" s="409">
        <f>+V54*(1+Y55)</f>
        <v>197.81533095920966</v>
      </c>
      <c r="Z54" s="409">
        <f>W54*(1+Z55)</f>
        <v>124.03010739779876</v>
      </c>
      <c r="AA54" s="409">
        <f>AB54-Z54</f>
        <v>97.523063276516069</v>
      </c>
      <c r="AB54" s="831">
        <f>+Y54*(1+AB55)</f>
        <v>221.55317067431483</v>
      </c>
      <c r="AC54" s="409">
        <f>Z54*(1+AC55)</f>
        <v>133.45639556003147</v>
      </c>
      <c r="AD54" s="409">
        <f>AE54-AC54</f>
        <v>112.46762388845801</v>
      </c>
      <c r="AE54" s="409">
        <f>+AB54*(1+AE55)</f>
        <v>245.92401944848947</v>
      </c>
      <c r="AF54" s="409">
        <f>AC54*(1+AF55)</f>
        <v>148.13659907163495</v>
      </c>
      <c r="AG54" s="409">
        <f>AH54-AF54</f>
        <v>124.83906251618842</v>
      </c>
      <c r="AH54" s="409">
        <f>+AE54*(1+AH55)</f>
        <v>272.97566158782337</v>
      </c>
      <c r="AI54" s="409">
        <f>AF54*(1+AI55)</f>
        <v>161.4688929880821</v>
      </c>
      <c r="AJ54" s="409">
        <f>AK54-AI54</f>
        <v>138.80433475852365</v>
      </c>
      <c r="AK54" s="409">
        <f>+AH54*(1+AK55)</f>
        <v>300.27322774660576</v>
      </c>
      <c r="AL54" s="409"/>
      <c r="AM54" s="409"/>
      <c r="AN54" s="409">
        <f>+AK54*(1+AN55)</f>
        <v>330.30055052126636</v>
      </c>
      <c r="AO54" s="409"/>
      <c r="AP54" s="409"/>
      <c r="AQ54" s="409">
        <f>+AN54*(1+AQ55)</f>
        <v>363.33060557339303</v>
      </c>
      <c r="AR54" s="409"/>
      <c r="AS54" s="409"/>
      <c r="AT54" s="409">
        <f>+AQ54*(1+AT55)</f>
        <v>399.66366613073234</v>
      </c>
      <c r="AU54" s="409"/>
      <c r="AV54" s="409"/>
      <c r="AW54" s="409">
        <f>+AT54*(1+AW55)</f>
        <v>439.6300327438056</v>
      </c>
      <c r="AX54" s="409"/>
      <c r="AY54" s="409"/>
      <c r="AZ54" s="409">
        <f>+AW54*(1+AZ55)</f>
        <v>483.59303601818618</v>
      </c>
      <c r="BA54" s="409"/>
      <c r="BB54" s="409"/>
      <c r="BC54" s="409">
        <f>+AZ54*(1+BC55)</f>
        <v>531.95233962000486</v>
      </c>
      <c r="BD54" s="409"/>
      <c r="BE54" s="409"/>
      <c r="BF54" s="409">
        <f>+BC54*(1+BF55)</f>
        <v>585.14757358200541</v>
      </c>
      <c r="BG54" s="409"/>
      <c r="BH54" s="409"/>
      <c r="BI54" s="409">
        <f t="shared" ref="BI54" si="56">+BF54*(1+BI55)</f>
        <v>643.66233094020595</v>
      </c>
      <c r="BJ54" s="329"/>
    </row>
    <row r="55" spans="1:62" s="312" customFormat="1" outlineLevel="1">
      <c r="A55" s="335" t="s">
        <v>1718</v>
      </c>
      <c r="B55" s="371"/>
      <c r="C55" s="371"/>
      <c r="D55" s="397"/>
      <c r="E55" s="397"/>
      <c r="F55" s="397"/>
      <c r="G55" s="397"/>
      <c r="H55" s="397"/>
      <c r="I55" s="397"/>
      <c r="J55" s="397"/>
      <c r="K55" s="400"/>
      <c r="L55" s="400"/>
      <c r="M55" s="397"/>
      <c r="N55" s="511">
        <v>0.56100000000000005</v>
      </c>
      <c r="O55" s="397">
        <f>O54/L54-1</f>
        <v>0.60824604120816939</v>
      </c>
      <c r="P55" s="523">
        <v>0.58399999999999996</v>
      </c>
      <c r="Q55" s="523">
        <v>0.39400000000000002</v>
      </c>
      <c r="R55" s="397">
        <f>R54/O54-1</f>
        <v>-0.15336694922458061</v>
      </c>
      <c r="S55" s="523">
        <v>0.151</v>
      </c>
      <c r="T55" s="523">
        <v>-0.19600000000000001</v>
      </c>
      <c r="U55" s="397">
        <f>U54/R54-1</f>
        <v>0.30928493080384878</v>
      </c>
      <c r="V55" s="523">
        <v>-3.1E-2</v>
      </c>
      <c r="W55" s="523">
        <v>5.5E-2</v>
      </c>
      <c r="X55" s="397">
        <f>X54/U54-1</f>
        <v>0.12299285297986318</v>
      </c>
      <c r="Y55" s="523">
        <v>8.5000000000000006E-2</v>
      </c>
      <c r="Z55" s="523">
        <v>0.154</v>
      </c>
      <c r="AA55" s="397">
        <f>AA54/X54-1</f>
        <v>7.9548462166033174E-2</v>
      </c>
      <c r="AB55" s="871">
        <v>0.12</v>
      </c>
      <c r="AC55" s="523">
        <v>7.5999999999999998E-2</v>
      </c>
      <c r="AD55" s="397">
        <f>AD54/AA54-1</f>
        <v>0.15324129605699799</v>
      </c>
      <c r="AE55" s="449">
        <v>0.11</v>
      </c>
      <c r="AF55" s="449">
        <v>0.11</v>
      </c>
      <c r="AG55" s="397">
        <f>AG54/AD54-1</f>
        <v>0.11000000000000032</v>
      </c>
      <c r="AH55" s="449">
        <v>0.11</v>
      </c>
      <c r="AI55" s="449">
        <v>0.09</v>
      </c>
      <c r="AJ55" s="397">
        <f>AJ54/AG54-1</f>
        <v>0.11186620566398675</v>
      </c>
      <c r="AK55" s="449">
        <v>0.1</v>
      </c>
      <c r="AL55" s="449"/>
      <c r="AM55" s="449"/>
      <c r="AN55" s="449">
        <v>0.1</v>
      </c>
      <c r="AO55" s="449"/>
      <c r="AP55" s="449"/>
      <c r="AQ55" s="449">
        <v>0.1</v>
      </c>
      <c r="AR55" s="449"/>
      <c r="AS55" s="449"/>
      <c r="AT55" s="449">
        <v>0.1</v>
      </c>
      <c r="AU55" s="449"/>
      <c r="AV55" s="449"/>
      <c r="AW55" s="449">
        <v>0.1</v>
      </c>
      <c r="AX55" s="449"/>
      <c r="AY55" s="449"/>
      <c r="AZ55" s="449">
        <v>0.1</v>
      </c>
      <c r="BA55" s="449"/>
      <c r="BB55" s="449"/>
      <c r="BC55" s="449">
        <v>0.1</v>
      </c>
      <c r="BD55" s="449"/>
      <c r="BE55" s="449"/>
      <c r="BF55" s="449">
        <v>0.1</v>
      </c>
      <c r="BG55" s="449"/>
      <c r="BH55" s="449"/>
      <c r="BI55" s="449">
        <v>0.1</v>
      </c>
      <c r="BJ55" s="336"/>
    </row>
    <row r="56" spans="1:62" s="312" customFormat="1" outlineLevel="1">
      <c r="A56" s="459" t="s">
        <v>2011</v>
      </c>
      <c r="B56" s="460"/>
      <c r="C56" s="460"/>
      <c r="D56" s="633">
        <f>D58-D42-D49</f>
        <v>76.305313909435341</v>
      </c>
      <c r="E56" s="633"/>
      <c r="F56" s="633"/>
      <c r="G56" s="633">
        <f>63+36.4/2</f>
        <v>81.2</v>
      </c>
      <c r="H56" s="633"/>
      <c r="I56" s="633"/>
      <c r="J56" s="633">
        <f>89.6+32.1/2</f>
        <v>105.64999999999999</v>
      </c>
      <c r="K56" s="531">
        <v>94.683000000000007</v>
      </c>
      <c r="L56" s="458">
        <f>+M56-K56</f>
        <v>75.331999999999979</v>
      </c>
      <c r="M56" s="531">
        <v>170.01499999999999</v>
      </c>
      <c r="N56" s="531">
        <v>145.251</v>
      </c>
      <c r="O56" s="458">
        <f>+P56-N56</f>
        <v>111.77799999999999</v>
      </c>
      <c r="P56" s="531">
        <v>257.029</v>
      </c>
      <c r="Q56" s="531">
        <v>201.11199999999999</v>
      </c>
      <c r="R56" s="458">
        <f>S56-Q56</f>
        <v>93.988000000000028</v>
      </c>
      <c r="S56" s="531">
        <v>295.10000000000002</v>
      </c>
      <c r="T56" s="531">
        <v>156.541</v>
      </c>
      <c r="U56" s="458">
        <f>V56-T56</f>
        <v>129.25900000000001</v>
      </c>
      <c r="V56" s="531">
        <v>285.8</v>
      </c>
      <c r="W56" s="531">
        <v>177.20099999999999</v>
      </c>
      <c r="X56" s="458">
        <f>Y56-W56</f>
        <v>147.999</v>
      </c>
      <c r="Y56" s="531">
        <v>325.2</v>
      </c>
      <c r="Z56" s="531">
        <v>205.6</v>
      </c>
      <c r="AA56" s="458">
        <f>AB56-Z56</f>
        <v>168.83500000000001</v>
      </c>
      <c r="AB56" s="870">
        <v>374.435</v>
      </c>
      <c r="AC56" s="531">
        <v>233.8</v>
      </c>
      <c r="AD56" s="458">
        <f>AE56-AC56</f>
        <v>186.58293922818717</v>
      </c>
      <c r="AE56" s="458">
        <f t="shared" ref="AE56:AT56" si="57">+AE54/AE52</f>
        <v>420.38293922818718</v>
      </c>
      <c r="AF56" s="458">
        <f>+AF54/AF52</f>
        <v>246.89433178605825</v>
      </c>
      <c r="AG56" s="458">
        <f>AH56-AF56</f>
        <v>208.06510419364739</v>
      </c>
      <c r="AH56" s="458">
        <f t="shared" si="57"/>
        <v>454.95943597970563</v>
      </c>
      <c r="AI56" s="458">
        <f>+AI54/AI52</f>
        <v>269.11482164680353</v>
      </c>
      <c r="AJ56" s="458">
        <f>AK56-AI56</f>
        <v>231.34055793087276</v>
      </c>
      <c r="AK56" s="458">
        <f t="shared" si="57"/>
        <v>500.4553795776763</v>
      </c>
      <c r="AL56" s="458"/>
      <c r="AM56" s="458"/>
      <c r="AN56" s="458">
        <f t="shared" si="57"/>
        <v>550.50091753544393</v>
      </c>
      <c r="AO56" s="458"/>
      <c r="AP56" s="458"/>
      <c r="AQ56" s="458">
        <f t="shared" si="57"/>
        <v>605.55100928898844</v>
      </c>
      <c r="AR56" s="458"/>
      <c r="AS56" s="458"/>
      <c r="AT56" s="458">
        <f t="shared" si="57"/>
        <v>666.10611021788725</v>
      </c>
      <c r="AU56" s="458"/>
      <c r="AV56" s="458"/>
      <c r="AW56" s="458">
        <f t="shared" ref="AW56:AZ56" si="58">+AW54/AW52</f>
        <v>732.71672123967608</v>
      </c>
      <c r="AX56" s="458"/>
      <c r="AY56" s="458"/>
      <c r="AZ56" s="458">
        <f t="shared" si="58"/>
        <v>805.9883933636437</v>
      </c>
      <c r="BA56" s="458"/>
      <c r="BB56" s="458"/>
      <c r="BC56" s="458">
        <f t="shared" ref="BC56:BF56" si="59">+BC54/BC52</f>
        <v>886.58723270000814</v>
      </c>
      <c r="BD56" s="458"/>
      <c r="BE56" s="458"/>
      <c r="BF56" s="458">
        <f t="shared" si="59"/>
        <v>975.24595597000905</v>
      </c>
      <c r="BG56" s="458"/>
      <c r="BH56" s="458"/>
      <c r="BI56" s="458">
        <f t="shared" ref="BI56" si="60">+BI54/BI52</f>
        <v>1072.77055156701</v>
      </c>
      <c r="BJ56" s="370"/>
    </row>
    <row r="57" spans="1:62" s="312" customFormat="1" outlineLevel="1">
      <c r="A57" s="312" t="s">
        <v>1359</v>
      </c>
      <c r="B57" s="371"/>
      <c r="C57" s="371"/>
      <c r="D57" s="397"/>
      <c r="E57" s="397"/>
      <c r="F57" s="397"/>
      <c r="G57" s="397"/>
      <c r="H57" s="397"/>
      <c r="I57" s="397"/>
      <c r="J57" s="397"/>
      <c r="K57" s="400"/>
      <c r="L57" s="400"/>
      <c r="M57" s="397"/>
      <c r="N57" s="397">
        <f t="shared" ref="N57:Q57" si="61">N56/K56-1</f>
        <v>0.5340768670194227</v>
      </c>
      <c r="O57" s="397">
        <f t="shared" si="61"/>
        <v>0.48380502309775419</v>
      </c>
      <c r="P57" s="397">
        <f t="shared" si="61"/>
        <v>0.5118018998323679</v>
      </c>
      <c r="Q57" s="397">
        <f t="shared" si="61"/>
        <v>0.38458255020619481</v>
      </c>
      <c r="R57" s="397"/>
      <c r="S57" s="397">
        <f>S56/P56-1</f>
        <v>0.14811947289994531</v>
      </c>
      <c r="T57" s="397">
        <f>T56/Q56-1</f>
        <v>-0.22162277735789015</v>
      </c>
      <c r="U57" s="397"/>
      <c r="V57" s="397">
        <f>V56/S56-1</f>
        <v>-3.1514740765842153E-2</v>
      </c>
      <c r="W57" s="397">
        <f>W56/T56-1</f>
        <v>0.13197820379325531</v>
      </c>
      <c r="X57" s="397">
        <f t="shared" ref="X57:AC57" si="62">X56/U56-1</f>
        <v>0.14498023348470879</v>
      </c>
      <c r="Y57" s="397">
        <f t="shared" si="62"/>
        <v>0.13785864240727763</v>
      </c>
      <c r="Z57" s="397">
        <f t="shared" si="62"/>
        <v>0.16026433259405981</v>
      </c>
      <c r="AA57" s="397">
        <f t="shared" si="62"/>
        <v>0.14078473503199351</v>
      </c>
      <c r="AB57" s="828">
        <f>AB56/Y56-1</f>
        <v>0.15139913899139001</v>
      </c>
      <c r="AC57" s="397">
        <f t="shared" si="62"/>
        <v>0.13715953307393014</v>
      </c>
      <c r="AD57" s="397">
        <f t="shared" ref="AD57" si="63">AD56/AA56-1</f>
        <v>0.1051200238587211</v>
      </c>
      <c r="AE57" s="397">
        <f>AE56/AB56-1</f>
        <v>0.12271272511433806</v>
      </c>
      <c r="AF57" s="397">
        <f t="shared" ref="AF57" si="64">AF56/AC56-1</f>
        <v>5.6006551694004481E-2</v>
      </c>
      <c r="AG57" s="397">
        <f t="shared" ref="AG57" si="65">AG56/AD56-1</f>
        <v>0.11513466908776659</v>
      </c>
      <c r="AH57" s="397">
        <f>AH56/AE56-1</f>
        <v>8.2250000000000156E-2</v>
      </c>
      <c r="AI57" s="397">
        <f t="shared" ref="AI57" si="66">AI56/AF56-1</f>
        <v>9.000000000000008E-2</v>
      </c>
      <c r="AJ57" s="397">
        <f t="shared" ref="AJ57" si="67">AJ56/AG56-1</f>
        <v>0.11186620566398675</v>
      </c>
      <c r="AK57" s="397">
        <f>AK56/AH56-1</f>
        <v>0.10000000000000031</v>
      </c>
      <c r="AL57" s="397"/>
      <c r="AM57" s="397"/>
      <c r="AN57" s="397">
        <f>AN56/AK56-1</f>
        <v>0.10000000000000009</v>
      </c>
      <c r="AO57" s="397"/>
      <c r="AP57" s="397"/>
      <c r="AQ57" s="397">
        <f>AQ56/AN56-1</f>
        <v>0.10000000000000031</v>
      </c>
      <c r="AR57" s="397"/>
      <c r="AS57" s="397"/>
      <c r="AT57" s="397">
        <f>AT56/AQ56-1</f>
        <v>9.9999999999999867E-2</v>
      </c>
      <c r="AU57" s="397"/>
      <c r="AV57" s="397"/>
      <c r="AW57" s="397">
        <f>AW56/AT56-1</f>
        <v>0.10000000000000009</v>
      </c>
      <c r="AX57" s="397"/>
      <c r="AY57" s="397"/>
      <c r="AZ57" s="397">
        <f>AZ56/AW56-1</f>
        <v>0.10000000000000009</v>
      </c>
      <c r="BA57" s="397"/>
      <c r="BB57" s="397"/>
      <c r="BC57" s="397">
        <f>BC56/AZ56-1</f>
        <v>0.10000000000000009</v>
      </c>
      <c r="BD57" s="397"/>
      <c r="BE57" s="397"/>
      <c r="BF57" s="397">
        <f>BF56/BC56-1</f>
        <v>0.10000000000000009</v>
      </c>
      <c r="BG57" s="397"/>
      <c r="BH57" s="397"/>
      <c r="BI57" s="397">
        <f t="shared" ref="BI57" si="68">BI56/BF56-1</f>
        <v>0.10000000000000009</v>
      </c>
      <c r="BJ57" s="371"/>
    </row>
    <row r="58" spans="1:62" s="312" customFormat="1">
      <c r="A58" s="344" t="s">
        <v>1899</v>
      </c>
      <c r="B58" s="442">
        <f>B32</f>
        <v>264.82599999999996</v>
      </c>
      <c r="C58" s="442">
        <f>D58-B58</f>
        <v>204.74200000000008</v>
      </c>
      <c r="D58" s="405">
        <f>D32</f>
        <v>469.56800000000004</v>
      </c>
      <c r="E58" s="405">
        <f>E32</f>
        <v>313.17500000000001</v>
      </c>
      <c r="F58" s="405">
        <f>G58-E58</f>
        <v>213.70600000000007</v>
      </c>
      <c r="G58" s="405">
        <f>G32</f>
        <v>526.88100000000009</v>
      </c>
      <c r="H58" s="405">
        <f>H32</f>
        <v>356.10500000000002</v>
      </c>
      <c r="I58" s="405">
        <f>J58-H58</f>
        <v>255.85500000000002</v>
      </c>
      <c r="J58" s="405">
        <f>J32</f>
        <v>611.96</v>
      </c>
      <c r="K58" s="405">
        <f t="shared" ref="K58:L58" si="69">K32</f>
        <v>442.61</v>
      </c>
      <c r="L58" s="405">
        <f t="shared" si="69"/>
        <v>320.82362676107346</v>
      </c>
      <c r="M58" s="405">
        <f>M32</f>
        <v>764.40899999999999</v>
      </c>
      <c r="N58" s="405">
        <f t="shared" ref="N58:AT58" si="70">+N56+N49+N42</f>
        <v>592.87599999999998</v>
      </c>
      <c r="O58" s="405">
        <f t="shared" si="70"/>
        <v>391.28300000000002</v>
      </c>
      <c r="P58" s="405">
        <f t="shared" si="70"/>
        <v>984.15899999999999</v>
      </c>
      <c r="Q58" s="405">
        <f>+Q56+Q49+Q42</f>
        <v>733.94900000000007</v>
      </c>
      <c r="R58" s="405">
        <f t="shared" ref="R58" si="71">+R56+R49+R42</f>
        <v>444.55099999999999</v>
      </c>
      <c r="S58" s="405">
        <f t="shared" si="70"/>
        <v>1178.5</v>
      </c>
      <c r="T58" s="405">
        <f t="shared" ref="T58:U58" si="72">+T56+T49+T42</f>
        <v>770.45399999999995</v>
      </c>
      <c r="U58" s="405">
        <f t="shared" si="72"/>
        <v>508.74600000000004</v>
      </c>
      <c r="V58" s="405">
        <f>+V56+V49+V42</f>
        <v>1279.2</v>
      </c>
      <c r="W58" s="405">
        <f t="shared" ref="W58:X58" si="73">+W56+W49+W42</f>
        <v>782.83799999999997</v>
      </c>
      <c r="X58" s="405">
        <f t="shared" si="73"/>
        <v>553.26199999999994</v>
      </c>
      <c r="Y58" s="405">
        <f>+Y56+Y49+Y42</f>
        <v>1336.1</v>
      </c>
      <c r="Z58" s="405">
        <f t="shared" ref="Z58:AA58" si="74">+Z56+Z49+Z42</f>
        <v>877.69999999999993</v>
      </c>
      <c r="AA58" s="405">
        <f t="shared" si="74"/>
        <v>622.93899999999996</v>
      </c>
      <c r="AB58" s="864">
        <f t="shared" si="70"/>
        <v>1500.6389999999999</v>
      </c>
      <c r="AC58" s="405">
        <f t="shared" si="70"/>
        <v>973.6</v>
      </c>
      <c r="AD58" s="405">
        <f t="shared" si="70"/>
        <v>671.90008239636768</v>
      </c>
      <c r="AE58" s="405">
        <f t="shared" si="70"/>
        <v>1645.5000823963678</v>
      </c>
      <c r="AF58" s="405">
        <f t="shared" ref="AF58:AG58" si="75">+AF56+AF49+AF42</f>
        <v>1032.9060341241111</v>
      </c>
      <c r="AG58" s="405">
        <f t="shared" si="75"/>
        <v>751.80188155346832</v>
      </c>
      <c r="AH58" s="405">
        <f t="shared" si="70"/>
        <v>1784.7079156775794</v>
      </c>
      <c r="AI58" s="405">
        <f t="shared" si="70"/>
        <v>1109.6130491017589</v>
      </c>
      <c r="AJ58" s="405">
        <f t="shared" si="70"/>
        <v>864.74939596757849</v>
      </c>
      <c r="AK58" s="405">
        <f t="shared" si="70"/>
        <v>1974.3624450693376</v>
      </c>
      <c r="AL58" s="405"/>
      <c r="AM58" s="405"/>
      <c r="AN58" s="405">
        <f t="shared" si="70"/>
        <v>2188.6488545644315</v>
      </c>
      <c r="AO58" s="405"/>
      <c r="AP58" s="405"/>
      <c r="AQ58" s="405">
        <f t="shared" si="70"/>
        <v>2431.525225129003</v>
      </c>
      <c r="AR58" s="405"/>
      <c r="AS58" s="405"/>
      <c r="AT58" s="405">
        <f t="shared" si="70"/>
        <v>2702.2909555162505</v>
      </c>
      <c r="AU58" s="405"/>
      <c r="AV58" s="405"/>
      <c r="AW58" s="405">
        <f t="shared" ref="AW58:AZ58" si="76">+AW56+AW49+AW42</f>
        <v>3004.2752401233747</v>
      </c>
      <c r="AX58" s="405"/>
      <c r="AY58" s="405"/>
      <c r="AZ58" s="405">
        <f t="shared" si="76"/>
        <v>3341.2212315495362</v>
      </c>
      <c r="BA58" s="405"/>
      <c r="BB58" s="405"/>
      <c r="BC58" s="405">
        <f t="shared" ref="BC58:BF58" si="77">+BC56+BC49+BC42</f>
        <v>3717.339592230388</v>
      </c>
      <c r="BD58" s="405"/>
      <c r="BE58" s="405"/>
      <c r="BF58" s="405">
        <f t="shared" si="77"/>
        <v>4137.3692246082101</v>
      </c>
      <c r="BG58" s="405"/>
      <c r="BH58" s="405"/>
      <c r="BI58" s="405">
        <f t="shared" ref="BI58" si="78">+BI56+BI49+BI42</f>
        <v>4606.6461711970296</v>
      </c>
      <c r="BJ58" s="372"/>
    </row>
    <row r="59" spans="1:62" s="312" customFormat="1">
      <c r="A59" s="312" t="s">
        <v>1359</v>
      </c>
      <c r="B59" s="371">
        <f>B33</f>
        <v>8.0481436148510666E-2</v>
      </c>
      <c r="C59" s="371"/>
      <c r="D59" s="397">
        <f>D33</f>
        <v>9.9163165225126138E-2</v>
      </c>
      <c r="E59" s="397">
        <f>E58/B58-1</f>
        <v>0.18256893205349956</v>
      </c>
      <c r="F59" s="397">
        <f t="shared" ref="F59:G59" si="79">F58/C58-1</f>
        <v>4.3781930429516169E-2</v>
      </c>
      <c r="G59" s="397">
        <f t="shared" si="79"/>
        <v>0.12205473967561686</v>
      </c>
      <c r="H59" s="397">
        <f>H58/E58-1</f>
        <v>0.13707990740001597</v>
      </c>
      <c r="I59" s="397">
        <f t="shared" ref="I59" si="80">I58/F58-1</f>
        <v>0.19722890325961795</v>
      </c>
      <c r="J59" s="397">
        <f>J58/G58-1</f>
        <v>0.16147669018241295</v>
      </c>
      <c r="K59" s="397">
        <f>K58/H58-1</f>
        <v>0.24291992530293038</v>
      </c>
      <c r="L59" s="397">
        <f t="shared" ref="L59" si="81">L58/I58-1</f>
        <v>0.25392752442232291</v>
      </c>
      <c r="M59" s="397">
        <f>M58/J58-1</f>
        <v>0.24911595529119546</v>
      </c>
      <c r="N59" s="397">
        <f t="shared" ref="N59:S59" si="82">N58/K58-1</f>
        <v>0.3394997853640902</v>
      </c>
      <c r="O59" s="397">
        <f t="shared" si="82"/>
        <v>0.21962027532155437</v>
      </c>
      <c r="P59" s="397">
        <f t="shared" si="82"/>
        <v>0.28747699202913624</v>
      </c>
      <c r="Q59" s="397">
        <f>Q58/N58-1</f>
        <v>0.23794688940014463</v>
      </c>
      <c r="R59" s="397">
        <f t="shared" si="82"/>
        <v>0.13613676034992572</v>
      </c>
      <c r="S59" s="397">
        <f t="shared" si="82"/>
        <v>0.19746910814207874</v>
      </c>
      <c r="T59" s="397">
        <f t="shared" ref="T59:V59" si="83">T58/Q58-1</f>
        <v>4.9737788320441734E-2</v>
      </c>
      <c r="U59" s="397">
        <f t="shared" si="83"/>
        <v>0.14440412911004596</v>
      </c>
      <c r="V59" s="397">
        <f t="shared" si="83"/>
        <v>8.5447602885023288E-2</v>
      </c>
      <c r="W59" s="397">
        <f t="shared" ref="W59" si="84">W58/T58-1</f>
        <v>1.6073639698152009E-2</v>
      </c>
      <c r="X59" s="397">
        <f t="shared" ref="X59" si="85">X58/U58-1</f>
        <v>8.7501425072629369E-2</v>
      </c>
      <c r="Y59" s="397">
        <f>Y58/V58-1</f>
        <v>4.4480925578486374E-2</v>
      </c>
      <c r="Z59" s="397">
        <f t="shared" ref="Z59:AC59" si="86">Z58/W58-1</f>
        <v>0.1211770506797063</v>
      </c>
      <c r="AA59" s="397">
        <f t="shared" si="86"/>
        <v>0.12593852460497934</v>
      </c>
      <c r="AB59" s="828">
        <f>AB58/Y58-1</f>
        <v>0.12314871641344216</v>
      </c>
      <c r="AC59" s="397">
        <f t="shared" si="86"/>
        <v>0.10926284607496872</v>
      </c>
      <c r="AD59" s="397">
        <f t="shared" ref="AD59" si="87">AD58/AA58-1</f>
        <v>7.8596913014545189E-2</v>
      </c>
      <c r="AE59" s="397">
        <f>AE58/AB58-1</f>
        <v>9.6532931901921692E-2</v>
      </c>
      <c r="AF59" s="397">
        <f t="shared" ref="AF59" si="88">AF58/AC58-1</f>
        <v>6.0914168163630933E-2</v>
      </c>
      <c r="AG59" s="397">
        <f t="shared" ref="AG59" si="89">AG58/AD58-1</f>
        <v>0.11891916856465712</v>
      </c>
      <c r="AH59" s="397">
        <f>AH58/AE58-1</f>
        <v>8.459910441236862E-2</v>
      </c>
      <c r="AI59" s="397">
        <f t="shared" ref="AI59" si="90">AI58/AF58-1</f>
        <v>7.4263304156891863E-2</v>
      </c>
      <c r="AJ59" s="397">
        <f t="shared" ref="AJ59" si="91">AJ58/AG58-1</f>
        <v>0.15023574319968946</v>
      </c>
      <c r="AK59" s="397">
        <f>AK58/AH58-1</f>
        <v>0.10626642473300962</v>
      </c>
      <c r="AL59" s="397"/>
      <c r="AM59" s="397"/>
      <c r="AN59" s="397">
        <f>AN58/AK58-1</f>
        <v>0.10853448414714362</v>
      </c>
      <c r="AO59" s="397"/>
      <c r="AP59" s="397"/>
      <c r="AQ59" s="397">
        <f>AQ58/AN58-1</f>
        <v>0.11097091708341078</v>
      </c>
      <c r="AR59" s="397"/>
      <c r="AS59" s="397"/>
      <c r="AT59" s="397">
        <f>AT58/AQ58-1</f>
        <v>0.11135633206226858</v>
      </c>
      <c r="AU59" s="397"/>
      <c r="AV59" s="397"/>
      <c r="AW59" s="397">
        <f>AW58/AT58-1</f>
        <v>0.11175121020579826</v>
      </c>
      <c r="AX59" s="397"/>
      <c r="AY59" s="397"/>
      <c r="AZ59" s="397">
        <f>AZ58/AW58-1</f>
        <v>0.11215549991096174</v>
      </c>
      <c r="BA59" s="397"/>
      <c r="BB59" s="397"/>
      <c r="BC59" s="397">
        <f>BC58/AZ58-1</f>
        <v>0.11256912805693564</v>
      </c>
      <c r="BD59" s="397"/>
      <c r="BE59" s="397"/>
      <c r="BF59" s="397">
        <f>BF58/BC58-1</f>
        <v>0.11299199923938241</v>
      </c>
      <c r="BG59" s="397"/>
      <c r="BH59" s="397"/>
      <c r="BI59" s="397">
        <f t="shared" ref="BI59" si="92">BI58/BF58-1</f>
        <v>0.1134239950830731</v>
      </c>
      <c r="BJ59" s="371"/>
    </row>
    <row r="60" spans="1:62" s="312" customFormat="1">
      <c r="A60" s="312" t="s">
        <v>1868</v>
      </c>
      <c r="B60" s="440">
        <v>0.129</v>
      </c>
      <c r="C60" s="371"/>
      <c r="D60" s="523">
        <v>0.14299999999999999</v>
      </c>
      <c r="E60" s="523">
        <v>0.20499999999999999</v>
      </c>
      <c r="F60" s="397"/>
      <c r="G60" s="523">
        <v>0.13400000000000001</v>
      </c>
      <c r="H60" s="523">
        <v>9.1999999999999998E-2</v>
      </c>
      <c r="I60" s="397"/>
      <c r="J60" s="523">
        <v>0.12</v>
      </c>
      <c r="K60" s="523">
        <v>0.20300000000000001</v>
      </c>
      <c r="L60" s="397"/>
      <c r="M60" s="523">
        <v>0.20100000000000001</v>
      </c>
      <c r="N60" s="523">
        <v>0.39200000000000002</v>
      </c>
      <c r="O60" s="397">
        <f t="shared" ref="O60" si="93">(O55*L56+O48*L49+O40*L42)/L58</f>
        <v>0.32846755890163576</v>
      </c>
      <c r="P60" s="523">
        <v>0.37</v>
      </c>
      <c r="Q60" s="523">
        <v>0.23799999999999999</v>
      </c>
      <c r="R60" s="397">
        <f t="shared" ref="R60:U60" si="94">(R55*O56+R48*O49+R40*O42)/O58</f>
        <v>9.8405931572977418E-2</v>
      </c>
      <c r="S60" s="523">
        <v>0.18</v>
      </c>
      <c r="T60" s="523">
        <v>7.0000000000000001E-3</v>
      </c>
      <c r="U60" s="397">
        <f t="shared" si="94"/>
        <v>9.110204753561188E-2</v>
      </c>
      <c r="V60" s="523">
        <v>4.1000000000000002E-2</v>
      </c>
      <c r="W60" s="523">
        <v>-1.2999999999999999E-2</v>
      </c>
      <c r="X60" s="397">
        <f t="shared" ref="X60:AA60" si="95">(X55*U56+X50*U49+X40*U42)/U58</f>
        <v>7.3137058208467901E-2</v>
      </c>
      <c r="Y60" s="523">
        <f t="shared" si="95"/>
        <v>2.1754065040650392E-2</v>
      </c>
      <c r="Z60" s="523">
        <v>0.13</v>
      </c>
      <c r="AA60" s="397">
        <f t="shared" si="95"/>
        <v>9.3073932488311945E-2</v>
      </c>
      <c r="AB60" s="871">
        <f>(AB55*Y56+AB50*Y49+AB40*Y42)/Y58</f>
        <v>0.11389753760946036</v>
      </c>
      <c r="AC60" s="523">
        <v>9.2999999999999999E-2</v>
      </c>
      <c r="AD60" s="892">
        <f>(AD55*AA56+AD50*AA49+AD40*AA42)/AA58</f>
        <v>0.13504629930899356</v>
      </c>
      <c r="AE60" s="397">
        <f>(AE55*Z56+AE50*Z49+AE40*Z42)/Z58</f>
        <v>0.10973396376894157</v>
      </c>
      <c r="AF60" s="397">
        <f>(AF55*AC56+AF50*AC49+AF40*AC42)/AC58</f>
        <v>9.8931799506984372E-2</v>
      </c>
      <c r="AG60" s="892">
        <f>(AG55*AD56+AG50*AD49+AG40*AD42)/AD58</f>
        <v>0.11702728950904334</v>
      </c>
      <c r="AH60" s="397">
        <f>(AH55*AA56+AH50*AA49+AH40*AA42)/AA58</f>
        <v>0.10670015844247993</v>
      </c>
      <c r="AI60" s="397">
        <f>(AI55*AF56+AI50*AF49+AI40*AF42)/AF58</f>
        <v>7.426330415689196E-2</v>
      </c>
      <c r="AJ60" s="892">
        <f>(AJ55*AG56+AJ50*AG49+AJ40*AG42)/AG58</f>
        <v>0.15023574319968944</v>
      </c>
      <c r="AK60" s="397">
        <f>(AK55*AB56+AK50*AB49+AK40*AB42)/AB58</f>
        <v>0.10607685126136268</v>
      </c>
      <c r="AL60" s="397"/>
      <c r="AM60" s="397"/>
      <c r="AN60" s="397">
        <f>(AN55*AE56+AN50*AE49+AN40*AE42)/AE58</f>
        <v>0.10809114125391635</v>
      </c>
      <c r="AO60" s="397"/>
      <c r="AP60" s="397"/>
      <c r="AQ60" s="397">
        <f>(AQ55*AH56+AQ50*AH49+AQ40*AH42)/AH58</f>
        <v>0.11044404122168267</v>
      </c>
      <c r="AR60" s="397"/>
      <c r="AS60" s="397"/>
      <c r="AT60" s="397">
        <f>(AT55*AK56+AT50*AK49+AT40*AK42)/AK58</f>
        <v>0.11066810518392955</v>
      </c>
      <c r="AU60" s="397"/>
      <c r="AV60" s="397"/>
      <c r="AW60" s="397">
        <f>(AW55*AN56+AW50*AN49+AW40*AN42)/AN58</f>
        <v>0.1109709170834106</v>
      </c>
      <c r="AX60" s="397"/>
      <c r="AY60" s="397"/>
      <c r="AZ60" s="397">
        <f>(AZ55*AQ56+AZ50*AQ49+AZ40*AQ42)/AQ58</f>
        <v>0.11135633206226851</v>
      </c>
      <c r="BA60" s="397"/>
      <c r="BB60" s="397"/>
      <c r="BC60" s="397">
        <f>(BC55*AT56+BC50*AT49+BC40*AT42)/AT58</f>
        <v>0.1117512102057984</v>
      </c>
      <c r="BD60" s="397"/>
      <c r="BE60" s="397"/>
      <c r="BF60" s="397">
        <f>(BF55*AW56+BF50*AW49+BF40*AW42)/AW58</f>
        <v>0.11215549991096171</v>
      </c>
      <c r="BG60" s="397"/>
      <c r="BH60" s="397"/>
      <c r="BI60" s="397">
        <f t="shared" ref="BI60" si="96">(BI55*AZ56+BI50*AZ49+BI40*AZ42)/AZ58</f>
        <v>0.11256912805693549</v>
      </c>
      <c r="BJ60" s="371"/>
    </row>
    <row r="61" spans="1:62" s="312" customFormat="1">
      <c r="B61" s="371"/>
      <c r="C61" s="371"/>
      <c r="D61" s="397"/>
      <c r="E61" s="397"/>
      <c r="F61" s="397"/>
      <c r="G61" s="397"/>
      <c r="H61" s="397"/>
      <c r="I61" s="397"/>
      <c r="J61" s="397"/>
      <c r="K61" s="400"/>
      <c r="L61" s="400"/>
      <c r="M61" s="397"/>
      <c r="N61" s="397"/>
      <c r="O61" s="397"/>
      <c r="P61" s="397"/>
      <c r="Q61" s="397"/>
      <c r="R61" s="397"/>
      <c r="S61" s="450"/>
      <c r="T61" s="397"/>
      <c r="U61" s="397"/>
      <c r="V61" s="450"/>
      <c r="W61" s="397"/>
      <c r="X61" s="397"/>
      <c r="Y61" s="450"/>
      <c r="Z61" s="397"/>
      <c r="AA61" s="397"/>
      <c r="AB61" s="1148"/>
      <c r="AC61" s="397"/>
      <c r="AD61" s="397"/>
      <c r="AE61" s="450"/>
      <c r="AF61" s="397"/>
      <c r="AG61" s="397"/>
      <c r="AH61" s="450"/>
      <c r="AI61" s="397"/>
      <c r="AJ61" s="397"/>
      <c r="AK61" s="450"/>
      <c r="AL61" s="450"/>
      <c r="AM61" s="450"/>
      <c r="AN61" s="450"/>
      <c r="AO61" s="450"/>
      <c r="AP61" s="450"/>
      <c r="AQ61" s="450"/>
      <c r="AR61" s="450"/>
      <c r="AS61" s="450"/>
      <c r="AT61" s="450"/>
      <c r="AU61" s="450"/>
      <c r="AV61" s="450"/>
      <c r="AW61" s="450"/>
      <c r="AX61" s="450"/>
      <c r="AY61" s="450"/>
      <c r="AZ61" s="450"/>
      <c r="BA61" s="450"/>
      <c r="BB61" s="450"/>
      <c r="BC61" s="450"/>
      <c r="BD61" s="450"/>
      <c r="BE61" s="450"/>
      <c r="BF61" s="450"/>
      <c r="BG61" s="450"/>
      <c r="BH61" s="450"/>
      <c r="BI61" s="450"/>
      <c r="BJ61" s="373"/>
    </row>
    <row r="62" spans="1:62" s="312" customFormat="1">
      <c r="A62" s="344" t="s">
        <v>1895</v>
      </c>
      <c r="B62" s="392">
        <v>45.886000000000003</v>
      </c>
      <c r="C62" s="374">
        <f>+D62-B62</f>
        <v>-45.886000000000003</v>
      </c>
      <c r="D62" s="494"/>
      <c r="E62" s="494"/>
      <c r="F62" s="403"/>
      <c r="G62" s="494"/>
      <c r="H62" s="494"/>
      <c r="I62" s="403"/>
      <c r="J62" s="494"/>
      <c r="K62" s="494"/>
      <c r="L62" s="403"/>
      <c r="M62" s="494"/>
      <c r="N62" s="494"/>
      <c r="O62" s="403"/>
      <c r="P62" s="494">
        <v>362.9</v>
      </c>
      <c r="Q62" s="494">
        <v>266.60000000000002</v>
      </c>
      <c r="R62" s="403">
        <f>S62-Q62</f>
        <v>162.09999999999997</v>
      </c>
      <c r="S62" s="494">
        <v>428.7</v>
      </c>
      <c r="T62" s="494">
        <v>284.8</v>
      </c>
      <c r="U62" s="494">
        <f>V62-T62</f>
        <v>185.7</v>
      </c>
      <c r="V62" s="494">
        <v>470.5</v>
      </c>
      <c r="W62" s="494">
        <v>298.5</v>
      </c>
      <c r="X62" s="494">
        <f>Y62-W62</f>
        <v>204.5</v>
      </c>
      <c r="Y62" s="494">
        <v>503</v>
      </c>
      <c r="Z62" s="494">
        <v>327.9</v>
      </c>
      <c r="AA62" s="494">
        <f>AB62-Z62</f>
        <v>231</v>
      </c>
      <c r="AB62" s="857">
        <v>558.9</v>
      </c>
      <c r="AC62" s="494">
        <v>349</v>
      </c>
      <c r="AD62" s="403">
        <f>AE62-AC62</f>
        <v>242.55727962149422</v>
      </c>
      <c r="AE62" s="403">
        <f>AE58*AE64</f>
        <v>591.55727962149422</v>
      </c>
      <c r="AF62" s="403">
        <f>AF58*AF64</f>
        <v>363.58292401168711</v>
      </c>
      <c r="AG62" s="403">
        <f>AH62-AF62</f>
        <v>280.69663354791902</v>
      </c>
      <c r="AH62" s="403">
        <f t="shared" ref="AH62:BF62" si="97">AH58*AH64</f>
        <v>644.27955755960613</v>
      </c>
      <c r="AI62" s="403">
        <f>AI58*AI64</f>
        <v>405.00876292214195</v>
      </c>
      <c r="AJ62" s="403">
        <f>AK62-AI62</f>
        <v>307.73607974788888</v>
      </c>
      <c r="AK62" s="403">
        <f t="shared" si="97"/>
        <v>712.74484267003083</v>
      </c>
      <c r="AL62" s="403"/>
      <c r="AM62" s="403"/>
      <c r="AN62" s="403">
        <f t="shared" si="97"/>
        <v>793.82293955051921</v>
      </c>
      <c r="AO62" s="403"/>
      <c r="AP62" s="403"/>
      <c r="AQ62" s="403">
        <f t="shared" si="97"/>
        <v>886.53409708203446</v>
      </c>
      <c r="AR62" s="403"/>
      <c r="AS62" s="403"/>
      <c r="AT62" s="403">
        <f t="shared" si="97"/>
        <v>990.38963519670574</v>
      </c>
      <c r="AU62" s="403"/>
      <c r="AV62" s="403"/>
      <c r="AW62" s="403">
        <f t="shared" si="97"/>
        <v>1106.7749984614513</v>
      </c>
      <c r="AX62" s="403"/>
      <c r="AY62" s="403"/>
      <c r="AZ62" s="403">
        <f t="shared" si="97"/>
        <v>1237.2542220427933</v>
      </c>
      <c r="BA62" s="403"/>
      <c r="BB62" s="403"/>
      <c r="BC62" s="403">
        <f t="shared" si="97"/>
        <v>1383.5937962281505</v>
      </c>
      <c r="BD62" s="403"/>
      <c r="BE62" s="403"/>
      <c r="BF62" s="403">
        <f t="shared" si="97"/>
        <v>1547.7898269259315</v>
      </c>
      <c r="BG62" s="403"/>
      <c r="BH62" s="403"/>
      <c r="BI62" s="403">
        <f t="shared" ref="BI62" si="98">BI58*BI64</f>
        <v>1732.0989603700834</v>
      </c>
      <c r="BJ62" s="374"/>
    </row>
    <row r="63" spans="1:62" s="312" customFormat="1">
      <c r="A63" s="312" t="s">
        <v>1359</v>
      </c>
      <c r="B63" s="440">
        <f>B62/40.965-1</f>
        <v>0.12012693762968385</v>
      </c>
      <c r="C63" s="371"/>
      <c r="D63" s="397"/>
      <c r="E63" s="397"/>
      <c r="F63" s="397"/>
      <c r="G63" s="397"/>
      <c r="H63" s="397"/>
      <c r="I63" s="397"/>
      <c r="J63" s="397"/>
      <c r="K63" s="397"/>
      <c r="L63" s="397"/>
      <c r="M63" s="397"/>
      <c r="N63" s="397"/>
      <c r="O63" s="397"/>
      <c r="P63" s="397"/>
      <c r="Q63" s="397"/>
      <c r="R63" s="397"/>
      <c r="S63" s="1010">
        <f t="shared" ref="S63:U63" si="99">S62/P62-1</f>
        <v>0.18131716726370906</v>
      </c>
      <c r="T63" s="1010">
        <f t="shared" si="99"/>
        <v>6.8267066766691586E-2</v>
      </c>
      <c r="U63" s="1010">
        <f t="shared" si="99"/>
        <v>0.14558914250462696</v>
      </c>
      <c r="V63" s="1010">
        <f>V62/S62-1</f>
        <v>9.7504082108700763E-2</v>
      </c>
      <c r="W63" s="1010">
        <f t="shared" ref="W63:X63" si="100">W62/T62-1</f>
        <v>4.8103932584269593E-2</v>
      </c>
      <c r="X63" s="1010">
        <f t="shared" si="100"/>
        <v>0.10123855681206262</v>
      </c>
      <c r="Y63" s="1010">
        <f>Y62/V62-1</f>
        <v>6.9075451647183872E-2</v>
      </c>
      <c r="Z63" s="1010">
        <f t="shared" ref="Z63:AD63" si="101">Z62/W62-1</f>
        <v>9.8492462311557727E-2</v>
      </c>
      <c r="AA63" s="1010">
        <f t="shared" si="101"/>
        <v>0.1295843520782396</v>
      </c>
      <c r="AB63" s="1011">
        <f t="shared" si="101"/>
        <v>0.11113320079522859</v>
      </c>
      <c r="AC63" s="1010">
        <f t="shared" si="101"/>
        <v>6.4348886855748688E-2</v>
      </c>
      <c r="AD63" s="397">
        <f t="shared" si="101"/>
        <v>5.0031513512962089E-2</v>
      </c>
      <c r="AE63" s="397">
        <f>AE62/AB62-1</f>
        <v>5.8431346612084933E-2</v>
      </c>
      <c r="AF63" s="397">
        <f t="shared" ref="AF63" si="102">AF62/AC62-1</f>
        <v>4.1784882554977365E-2</v>
      </c>
      <c r="AG63" s="397">
        <f t="shared" ref="AG63" si="103">AG62/AD62-1</f>
        <v>0.15723854582282781</v>
      </c>
      <c r="AH63" s="397">
        <f t="shared" ref="AH63" si="104">AH62/AE62-1</f>
        <v>8.9124552692253278E-2</v>
      </c>
      <c r="AI63" s="397">
        <f t="shared" ref="AI63" si="105">AI62/AF62-1</f>
        <v>0.1139378011854133</v>
      </c>
      <c r="AJ63" s="397">
        <f t="shared" ref="AJ63" si="106">AJ62/AG62-1</f>
        <v>9.632978443025686E-2</v>
      </c>
      <c r="AK63" s="397">
        <f t="shared" ref="AK63" si="107">AK62/AH62-1</f>
        <v>0.10626642473300985</v>
      </c>
      <c r="AL63" s="397">
        <f t="shared" ref="AL63" si="108">AL62/AI62-1</f>
        <v>-1</v>
      </c>
      <c r="AM63" s="397">
        <f t="shared" ref="AM63" si="109">AM62/AJ62-1</f>
        <v>-1</v>
      </c>
      <c r="AN63" s="397">
        <f t="shared" ref="AN63" si="110">AN62/AK62-1</f>
        <v>0.11375472964035738</v>
      </c>
      <c r="AO63" s="397" t="e">
        <f t="shared" ref="AO63" si="111">AO62/AL62-1</f>
        <v>#DIV/0!</v>
      </c>
      <c r="AP63" s="397" t="e">
        <f t="shared" ref="AP63" si="112">AP62/AM62-1</f>
        <v>#DIV/0!</v>
      </c>
      <c r="AQ63" s="397">
        <f t="shared" ref="AQ63" si="113">AQ62/AN62-1</f>
        <v>0.11679072613347552</v>
      </c>
      <c r="AR63" s="397" t="e">
        <f t="shared" ref="AR63" si="114">AR62/AO62-1</f>
        <v>#DIV/0!</v>
      </c>
      <c r="AS63" s="397" t="e">
        <f t="shared" ref="AS63" si="115">AS62/AP62-1</f>
        <v>#DIV/0!</v>
      </c>
      <c r="AT63" s="397">
        <f t="shared" ref="AT63" si="116">AT62/AQ62-1</f>
        <v>0.11714782145041536</v>
      </c>
      <c r="AU63" s="397" t="e">
        <f t="shared" ref="AU63" si="117">AU62/AR62-1</f>
        <v>#DIV/0!</v>
      </c>
      <c r="AV63" s="397" t="e">
        <f t="shared" ref="AV63" si="118">AV62/AS62-1</f>
        <v>#DIV/0!</v>
      </c>
      <c r="AW63" s="397">
        <f t="shared" ref="AW63" si="119">AW62/AT62-1</f>
        <v>0.11751472261887086</v>
      </c>
      <c r="AX63" s="397" t="e">
        <f t="shared" ref="AX63" si="120">AX62/AU62-1</f>
        <v>#DIV/0!</v>
      </c>
      <c r="AY63" s="397" t="e">
        <f t="shared" ref="AY63" si="121">AY62/AV62-1</f>
        <v>#DIV/0!</v>
      </c>
      <c r="AZ63" s="397">
        <f t="shared" ref="AZ63" si="122">AZ62/AW62-1</f>
        <v>0.1178913724675057</v>
      </c>
      <c r="BA63" s="397" t="e">
        <f t="shared" ref="BA63" si="123">BA62/AX62-1</f>
        <v>#DIV/0!</v>
      </c>
      <c r="BB63" s="397" t="e">
        <f t="shared" ref="BB63" si="124">BB62/AY62-1</f>
        <v>#DIV/0!</v>
      </c>
      <c r="BC63" s="397">
        <f t="shared" ref="BC63" si="125">BC62/AZ62-1</f>
        <v>0.11827769231107599</v>
      </c>
      <c r="BD63" s="397" t="e">
        <f t="shared" ref="BD63" si="126">BD62/BA62-1</f>
        <v>#DIV/0!</v>
      </c>
      <c r="BE63" s="397" t="e">
        <f t="shared" ref="BE63" si="127">BE62/BB62-1</f>
        <v>#DIV/0!</v>
      </c>
      <c r="BF63" s="397">
        <f t="shared" ref="BF63" si="128">BF62/BC62-1</f>
        <v>0.11867358118069027</v>
      </c>
      <c r="BG63" s="397" t="e">
        <f t="shared" ref="BG63" si="129">BG62/BD62-1</f>
        <v>#DIV/0!</v>
      </c>
      <c r="BH63" s="397" t="e">
        <f t="shared" ref="BH63" si="130">BH62/BE62-1</f>
        <v>#DIV/0!</v>
      </c>
      <c r="BI63" s="397">
        <f t="shared" ref="BI63" si="131">BI62/BF62-1</f>
        <v>0.11907891513294722</v>
      </c>
      <c r="BJ63" s="336"/>
    </row>
    <row r="64" spans="1:62" s="312" customFormat="1">
      <c r="A64" s="312" t="s">
        <v>1595</v>
      </c>
      <c r="B64" s="437" t="e">
        <f>+B62/B44</f>
        <v>#DIV/0!</v>
      </c>
      <c r="C64" s="437" t="e">
        <f>+C62/C18</f>
        <v>#DIV/0!</v>
      </c>
      <c r="D64" s="402"/>
      <c r="E64" s="402"/>
      <c r="F64" s="402"/>
      <c r="G64" s="402"/>
      <c r="H64" s="402"/>
      <c r="I64" s="402"/>
      <c r="J64" s="402"/>
      <c r="K64" s="402"/>
      <c r="L64" s="402"/>
      <c r="M64" s="402"/>
      <c r="N64" s="402"/>
      <c r="O64" s="402"/>
      <c r="P64" s="1012">
        <f t="shared" ref="P64:R64" si="132">P62/P58</f>
        <v>0.36874122982160401</v>
      </c>
      <c r="Q64" s="1012">
        <f t="shared" si="132"/>
        <v>0.36324049763675675</v>
      </c>
      <c r="R64" s="1012">
        <f t="shared" si="132"/>
        <v>0.36463757814064074</v>
      </c>
      <c r="S64" s="1012">
        <f t="shared" ref="S64:U64" si="133">S62/S58</f>
        <v>0.36376750106067035</v>
      </c>
      <c r="T64" s="1012">
        <f t="shared" si="133"/>
        <v>0.36965217910478759</v>
      </c>
      <c r="U64" s="1010">
        <f t="shared" si="133"/>
        <v>0.36501515491030884</v>
      </c>
      <c r="V64" s="1012">
        <f>V62/V58</f>
        <v>0.36780800500312694</v>
      </c>
      <c r="W64" s="1012">
        <f t="shared" ref="W64:Z64" si="134">W62/W58</f>
        <v>0.38130494431798151</v>
      </c>
      <c r="X64" s="1010">
        <f t="shared" si="134"/>
        <v>0.36962596382907198</v>
      </c>
      <c r="Y64" s="1012">
        <f>Y62/Y58</f>
        <v>0.37646882718359409</v>
      </c>
      <c r="Z64" s="1012">
        <f t="shared" si="134"/>
        <v>0.37359006494246327</v>
      </c>
      <c r="AA64" s="1010">
        <f t="shared" ref="AA64" si="135">AA62/AA58</f>
        <v>0.37082282534887046</v>
      </c>
      <c r="AB64" s="1013">
        <f>AB62/AB58</f>
        <v>0.37244133998916462</v>
      </c>
      <c r="AC64" s="1012">
        <f t="shared" ref="AC64" si="136">AC62/AC58</f>
        <v>0.3584634346754314</v>
      </c>
      <c r="AD64" s="397">
        <f>AD62/AD58</f>
        <v>0.36100200904336949</v>
      </c>
      <c r="AE64" s="449">
        <v>0.35949999999999999</v>
      </c>
      <c r="AF64" s="449">
        <v>0.35199999999999998</v>
      </c>
      <c r="AG64" s="397">
        <f>AG62/AG58</f>
        <v>0.3733651649925484</v>
      </c>
      <c r="AH64" s="449">
        <v>0.36099999999999999</v>
      </c>
      <c r="AI64" s="449">
        <v>0.36499999999999999</v>
      </c>
      <c r="AJ64" s="397">
        <f>AJ62/AJ58</f>
        <v>0.35586735438370476</v>
      </c>
      <c r="AK64" s="449">
        <v>0.36099999999999999</v>
      </c>
      <c r="AL64" s="449">
        <f t="shared" ref="AL64:BI64" si="137">AI64+0.19%</f>
        <v>0.3669</v>
      </c>
      <c r="AM64" s="449">
        <f t="shared" si="137"/>
        <v>0.35776735438370477</v>
      </c>
      <c r="AN64" s="449">
        <f>AK64+0.17%</f>
        <v>0.36269999999999997</v>
      </c>
      <c r="AO64" s="449">
        <f t="shared" si="137"/>
        <v>0.36880000000000002</v>
      </c>
      <c r="AP64" s="449">
        <f t="shared" si="137"/>
        <v>0.35966735438370478</v>
      </c>
      <c r="AQ64" s="449">
        <f t="shared" si="137"/>
        <v>0.36459999999999998</v>
      </c>
      <c r="AR64" s="449">
        <f t="shared" si="137"/>
        <v>0.37070000000000003</v>
      </c>
      <c r="AS64" s="449">
        <f t="shared" si="137"/>
        <v>0.3615673543837048</v>
      </c>
      <c r="AT64" s="449">
        <f t="shared" si="137"/>
        <v>0.36649999999999999</v>
      </c>
      <c r="AU64" s="449">
        <f t="shared" si="137"/>
        <v>0.37260000000000004</v>
      </c>
      <c r="AV64" s="449">
        <f t="shared" si="137"/>
        <v>0.36346735438370481</v>
      </c>
      <c r="AW64" s="449">
        <f t="shared" si="137"/>
        <v>0.36840000000000001</v>
      </c>
      <c r="AX64" s="449">
        <f t="shared" si="137"/>
        <v>0.37450000000000006</v>
      </c>
      <c r="AY64" s="449">
        <f t="shared" si="137"/>
        <v>0.36536735438370482</v>
      </c>
      <c r="AZ64" s="449">
        <f t="shared" si="137"/>
        <v>0.37030000000000002</v>
      </c>
      <c r="BA64" s="449">
        <f t="shared" si="137"/>
        <v>0.37640000000000007</v>
      </c>
      <c r="BB64" s="449">
        <f t="shared" si="137"/>
        <v>0.36726735438370484</v>
      </c>
      <c r="BC64" s="449">
        <f t="shared" si="137"/>
        <v>0.37220000000000003</v>
      </c>
      <c r="BD64" s="449">
        <f t="shared" si="137"/>
        <v>0.37830000000000008</v>
      </c>
      <c r="BE64" s="449">
        <f t="shared" si="137"/>
        <v>0.36916735438370485</v>
      </c>
      <c r="BF64" s="449">
        <f t="shared" si="137"/>
        <v>0.37410000000000004</v>
      </c>
      <c r="BG64" s="449">
        <f t="shared" si="137"/>
        <v>0.38020000000000009</v>
      </c>
      <c r="BH64" s="449">
        <f t="shared" si="137"/>
        <v>0.37106735438370486</v>
      </c>
      <c r="BI64" s="449">
        <f t="shared" si="137"/>
        <v>0.37600000000000006</v>
      </c>
      <c r="BJ64" s="341"/>
    </row>
    <row r="65" spans="1:62" s="312" customFormat="1">
      <c r="A65" s="363" t="s">
        <v>1589</v>
      </c>
      <c r="B65" s="435" t="e">
        <f>+B62/D62</f>
        <v>#DIV/0!</v>
      </c>
      <c r="C65" s="435" t="e">
        <f>+C62/D62</f>
        <v>#DIV/0!</v>
      </c>
      <c r="D65" s="397"/>
      <c r="E65" s="398"/>
      <c r="F65" s="398"/>
      <c r="G65" s="402"/>
      <c r="H65" s="398"/>
      <c r="I65" s="398"/>
      <c r="J65" s="402"/>
      <c r="K65" s="398"/>
      <c r="L65" s="398"/>
      <c r="M65" s="402"/>
      <c r="N65" s="398"/>
      <c r="O65" s="398"/>
      <c r="P65" s="402"/>
      <c r="Q65" s="398"/>
      <c r="R65" s="398"/>
      <c r="S65" s="402"/>
      <c r="T65" s="398"/>
      <c r="U65" s="398"/>
      <c r="V65" s="402"/>
      <c r="W65" s="398"/>
      <c r="X65" s="398"/>
      <c r="Y65" s="402"/>
      <c r="Z65" s="398"/>
      <c r="AA65" s="398"/>
      <c r="AB65" s="1195"/>
      <c r="AC65" s="398"/>
      <c r="AD65" s="397"/>
      <c r="AF65" s="397"/>
      <c r="AG65" s="397"/>
      <c r="AH65" s="397"/>
      <c r="AI65" s="398"/>
      <c r="AJ65" s="398"/>
      <c r="AK65" s="402"/>
      <c r="AL65" s="402"/>
      <c r="AM65" s="402"/>
      <c r="AN65" s="402"/>
      <c r="AO65" s="402"/>
      <c r="AP65" s="402"/>
      <c r="AQ65" s="402"/>
      <c r="AR65" s="402"/>
      <c r="AS65" s="402"/>
      <c r="AT65" s="402"/>
      <c r="AU65" s="402"/>
      <c r="AV65" s="402"/>
      <c r="AW65" s="402"/>
      <c r="AX65" s="402"/>
      <c r="AY65" s="402"/>
      <c r="AZ65" s="402"/>
      <c r="BA65" s="402"/>
      <c r="BB65" s="402"/>
      <c r="BC65" s="402"/>
      <c r="BD65" s="402"/>
      <c r="BE65" s="402"/>
      <c r="BF65" s="402"/>
      <c r="BG65" s="402"/>
      <c r="BH65" s="402"/>
      <c r="BI65" s="402"/>
      <c r="BJ65" s="341"/>
    </row>
    <row r="66" spans="1:62" s="312" customFormat="1">
      <c r="B66" s="437"/>
      <c r="C66" s="437"/>
      <c r="D66" s="402"/>
      <c r="E66" s="402"/>
      <c r="F66" s="400"/>
      <c r="G66" s="402"/>
      <c r="H66" s="402"/>
      <c r="I66" s="400"/>
      <c r="J66" s="402"/>
      <c r="K66" s="402"/>
      <c r="L66" s="400"/>
      <c r="M66" s="402"/>
      <c r="N66" s="402"/>
      <c r="O66" s="400"/>
      <c r="P66" s="402"/>
      <c r="Q66" s="402"/>
      <c r="R66" s="402"/>
      <c r="S66" s="402"/>
      <c r="T66" s="402"/>
      <c r="U66" s="402"/>
      <c r="V66" s="402"/>
      <c r="W66" s="402"/>
      <c r="X66" s="402"/>
      <c r="Y66" s="402"/>
      <c r="Z66" s="402"/>
      <c r="AA66" s="402"/>
      <c r="AB66" s="832"/>
      <c r="AC66" s="402"/>
      <c r="AD66" s="402"/>
      <c r="AE66" s="402"/>
      <c r="AF66" s="402"/>
      <c r="AG66" s="402"/>
      <c r="AH66" s="402"/>
      <c r="AI66" s="402"/>
      <c r="AJ66" s="402"/>
      <c r="AK66" s="408"/>
      <c r="AL66" s="402"/>
      <c r="AM66" s="402"/>
      <c r="AN66" s="402"/>
      <c r="AO66" s="402"/>
      <c r="AP66" s="402"/>
      <c r="AQ66" s="402"/>
      <c r="AR66" s="402"/>
      <c r="AS66" s="402"/>
      <c r="AT66" s="402"/>
      <c r="AU66" s="402"/>
      <c r="AV66" s="402"/>
      <c r="AW66" s="402"/>
      <c r="AX66" s="402"/>
      <c r="AY66" s="402"/>
      <c r="AZ66" s="402"/>
      <c r="BA66" s="402"/>
      <c r="BB66" s="402"/>
      <c r="BC66" s="402"/>
      <c r="BD66" s="402"/>
      <c r="BE66" s="402"/>
      <c r="BF66" s="402"/>
      <c r="BG66" s="402"/>
      <c r="BH66" s="402"/>
      <c r="BI66" s="402"/>
      <c r="BJ66" s="341"/>
    </row>
    <row r="67" spans="1:62" s="312" customFormat="1">
      <c r="A67" s="312" t="s">
        <v>1784</v>
      </c>
      <c r="B67" s="437"/>
      <c r="C67" s="437"/>
      <c r="D67" s="402"/>
      <c r="E67" s="402"/>
      <c r="F67" s="400"/>
      <c r="G67" s="402"/>
      <c r="H67" s="402"/>
      <c r="I67" s="400"/>
      <c r="J67" s="402"/>
      <c r="K67" s="402"/>
      <c r="L67" s="400"/>
      <c r="M67" s="402"/>
      <c r="N67" s="402"/>
      <c r="O67" s="400"/>
      <c r="P67" s="400">
        <f t="shared" ref="P67:V67" si="138">P71-P62</f>
        <v>-251.791</v>
      </c>
      <c r="Q67" s="400">
        <f t="shared" si="138"/>
        <v>-170.358</v>
      </c>
      <c r="R67" s="400">
        <f t="shared" si="138"/>
        <v>-129.10557690417687</v>
      </c>
      <c r="S67" s="400">
        <f t="shared" si="138"/>
        <v>-299.46357690417688</v>
      </c>
      <c r="T67" s="400">
        <f t="shared" si="138"/>
        <v>-176.17707267638727</v>
      </c>
      <c r="U67" s="400">
        <f t="shared" si="138"/>
        <v>-143.74878383466927</v>
      </c>
      <c r="V67" s="400">
        <f t="shared" si="138"/>
        <v>-319.92585651105651</v>
      </c>
      <c r="W67" s="400"/>
      <c r="X67" s="400"/>
      <c r="Y67" s="400">
        <f>Y71-Y62</f>
        <v>-340.10351863093308</v>
      </c>
      <c r="Z67" s="400">
        <f>Z71-Z62</f>
        <v>-201.55657770537587</v>
      </c>
      <c r="AA67" s="400"/>
      <c r="AB67" s="835">
        <f t="shared" ref="AB67:BF67" si="139">AB71-AB62</f>
        <v>-384.5300703693963</v>
      </c>
      <c r="AC67" s="400">
        <f>AC71-AC62</f>
        <v>-221.46459999999999</v>
      </c>
      <c r="AD67" s="400">
        <f t="shared" si="139"/>
        <v>-193.07425016327784</v>
      </c>
      <c r="AE67" s="400">
        <f t="shared" si="139"/>
        <v>-414.51385016327782</v>
      </c>
      <c r="AF67" s="400">
        <f t="shared" ref="AF67:AG67" si="140">AF71-AF62</f>
        <v>-230.75820933967432</v>
      </c>
      <c r="AG67" s="400">
        <f t="shared" si="140"/>
        <v>-213.11551812522973</v>
      </c>
      <c r="AH67" s="400">
        <f t="shared" si="139"/>
        <v>-443.87372746490405</v>
      </c>
      <c r="AI67" s="400">
        <f t="shared" si="139"/>
        <v>-245.3199285220733</v>
      </c>
      <c r="AJ67" s="400">
        <f t="shared" si="139"/>
        <v>-240.27938786002568</v>
      </c>
      <c r="AK67" s="400">
        <f t="shared" si="139"/>
        <v>-485.59931638209895</v>
      </c>
      <c r="AL67" s="400"/>
      <c r="AM67" s="400"/>
      <c r="AN67" s="400">
        <f t="shared" si="139"/>
        <v>-532.73706871017475</v>
      </c>
      <c r="AO67" s="400"/>
      <c r="AP67" s="400"/>
      <c r="AQ67" s="400">
        <f t="shared" si="139"/>
        <v>-586.04470157464493</v>
      </c>
      <c r="AR67" s="400"/>
      <c r="AS67" s="400"/>
      <c r="AT67" s="400">
        <f t="shared" si="139"/>
        <v>-642.71927112536628</v>
      </c>
      <c r="AU67" s="400"/>
      <c r="AV67" s="400"/>
      <c r="AW67" s="400">
        <f t="shared" si="139"/>
        <v>-710.28443973048206</v>
      </c>
      <c r="AX67" s="400"/>
      <c r="AY67" s="400"/>
      <c r="AZ67" s="400">
        <f t="shared" si="139"/>
        <v>-785.39579901169066</v>
      </c>
      <c r="BA67" s="400"/>
      <c r="BB67" s="400"/>
      <c r="BC67" s="400">
        <f t="shared" si="139"/>
        <v>-868.93807270082596</v>
      </c>
      <c r="BD67" s="400"/>
      <c r="BE67" s="400"/>
      <c r="BF67" s="400">
        <f t="shared" si="139"/>
        <v>-961.90470769042668</v>
      </c>
      <c r="BG67" s="400"/>
      <c r="BH67" s="400"/>
      <c r="BI67" s="400">
        <f t="shared" ref="BI67" si="141">BI71-BI62</f>
        <v>-1067.041670757447</v>
      </c>
      <c r="BJ67" s="341"/>
    </row>
    <row r="68" spans="1:62" s="312" customFormat="1">
      <c r="B68" s="437"/>
      <c r="C68" s="437"/>
      <c r="D68" s="402"/>
      <c r="E68" s="402"/>
      <c r="F68" s="400"/>
      <c r="G68" s="402"/>
      <c r="H68" s="402"/>
      <c r="I68" s="400"/>
      <c r="J68" s="402"/>
      <c r="K68" s="402"/>
      <c r="L68" s="400"/>
      <c r="M68" s="402"/>
      <c r="N68" s="402"/>
      <c r="O68" s="400"/>
      <c r="P68" s="402"/>
      <c r="Q68" s="402"/>
      <c r="R68" s="402"/>
      <c r="S68" s="832">
        <f t="shared" ref="S68:V68" si="142">S67/P67-1</f>
        <v>0.18933391941799704</v>
      </c>
      <c r="T68" s="832">
        <f t="shared" si="142"/>
        <v>3.415790673984942E-2</v>
      </c>
      <c r="U68" s="832">
        <f t="shared" si="142"/>
        <v>0.11342040585404534</v>
      </c>
      <c r="V68" s="832">
        <f t="shared" si="142"/>
        <v>6.8329777592375462E-2</v>
      </c>
      <c r="W68" s="402"/>
      <c r="X68" s="402"/>
      <c r="Y68" s="402">
        <f>Y67/V67-1</f>
        <v>6.3069807298239633E-2</v>
      </c>
      <c r="Z68" s="402"/>
      <c r="AA68" s="402"/>
      <c r="AB68" s="832">
        <f t="shared" ref="AB68:AE68" si="143">AB67/Y67-1</f>
        <v>0.13062655722381145</v>
      </c>
      <c r="AC68" s="402">
        <f t="shared" si="143"/>
        <v>9.8771384795610873E-2</v>
      </c>
      <c r="AD68" s="402" t="e">
        <f t="shared" si="143"/>
        <v>#DIV/0!</v>
      </c>
      <c r="AE68" s="402">
        <f t="shared" si="143"/>
        <v>7.7975123675185776E-2</v>
      </c>
      <c r="AF68" s="402">
        <f t="shared" ref="AF68" si="144">AF67/AC67-1</f>
        <v>4.1964310953869433E-2</v>
      </c>
      <c r="AG68" s="402">
        <f t="shared" ref="AG68" si="145">AG67/AD67-1</f>
        <v>0.10380083281433694</v>
      </c>
      <c r="AH68" s="402">
        <f>AH67/AE67-1</f>
        <v>7.0829665378035811E-2</v>
      </c>
      <c r="AI68" s="402">
        <f t="shared" ref="AI68" si="146">AI67/AF67-1</f>
        <v>6.3103796931290201E-2</v>
      </c>
      <c r="AJ68" s="402">
        <f t="shared" ref="AJ68" si="147">AJ67/AG67-1</f>
        <v>0.12746077795627286</v>
      </c>
      <c r="AK68" s="402">
        <f>AK67/AH67-1</f>
        <v>9.4003285924360247E-2</v>
      </c>
      <c r="AL68" s="402"/>
      <c r="AM68" s="402"/>
      <c r="AN68" s="402">
        <f>AN67/AK67-1</f>
        <v>9.7071290543137678E-2</v>
      </c>
      <c r="AO68" s="402"/>
      <c r="AP68" s="402"/>
      <c r="AQ68" s="402">
        <f>AQ67/AN67-1</f>
        <v>0.10006368243444141</v>
      </c>
      <c r="AR68" s="402"/>
      <c r="AS68" s="402"/>
      <c r="AT68" s="402">
        <f>AT67/AQ67-1</f>
        <v>9.6706905460355319E-2</v>
      </c>
      <c r="AU68" s="402"/>
      <c r="AV68" s="402"/>
      <c r="AW68" s="402">
        <f>AW67/AT67-1</f>
        <v>0.10512391901181495</v>
      </c>
      <c r="AX68" s="402"/>
      <c r="AY68" s="402"/>
      <c r="AZ68" s="402">
        <f>AZ67/AW67-1</f>
        <v>0.10574828206811016</v>
      </c>
      <c r="BA68" s="402"/>
      <c r="BB68" s="402"/>
      <c r="BC68" s="402">
        <f>BC67/AZ67-1</f>
        <v>0.10636964673641169</v>
      </c>
      <c r="BD68" s="402"/>
      <c r="BE68" s="402"/>
      <c r="BF68" s="402">
        <f>BF67/BC67-1</f>
        <v>0.1069887923090338</v>
      </c>
      <c r="BG68" s="402"/>
      <c r="BH68" s="402"/>
      <c r="BI68" s="402">
        <f t="shared" ref="BI68" si="148">BI67/BF67-1</f>
        <v>0.10930080934883724</v>
      </c>
      <c r="BJ68" s="341"/>
    </row>
    <row r="69" spans="1:62" s="312" customFormat="1">
      <c r="B69" s="437"/>
      <c r="C69" s="437"/>
      <c r="D69" s="402"/>
      <c r="E69" s="402"/>
      <c r="F69" s="400"/>
      <c r="G69" s="402"/>
      <c r="H69" s="402"/>
      <c r="I69" s="400"/>
      <c r="J69" s="402"/>
      <c r="K69" s="402"/>
      <c r="L69" s="400"/>
      <c r="M69" s="402"/>
      <c r="N69" s="402"/>
      <c r="O69" s="400"/>
      <c r="P69" s="402"/>
      <c r="Q69" s="402"/>
      <c r="R69" s="402"/>
      <c r="S69" s="402"/>
      <c r="T69" s="402"/>
      <c r="U69" s="402"/>
      <c r="V69" s="402"/>
      <c r="W69" s="402"/>
      <c r="X69" s="402"/>
      <c r="Y69" s="402"/>
      <c r="Z69" s="402"/>
      <c r="AA69" s="402"/>
      <c r="AB69" s="832"/>
      <c r="AC69" s="402"/>
      <c r="AD69" s="503"/>
      <c r="AE69" s="503"/>
      <c r="AF69" s="402"/>
      <c r="AG69" s="402"/>
      <c r="AH69" s="503"/>
      <c r="AI69" s="402"/>
      <c r="AJ69" s="402"/>
      <c r="AK69" s="402"/>
      <c r="AL69" s="402"/>
      <c r="AM69" s="402"/>
      <c r="AN69" s="402"/>
      <c r="AO69" s="402"/>
      <c r="AP69" s="402"/>
      <c r="AQ69" s="402"/>
      <c r="AR69" s="402"/>
      <c r="AS69" s="402"/>
      <c r="AT69" s="402"/>
      <c r="AU69" s="402"/>
      <c r="AV69" s="402"/>
      <c r="AW69" s="402"/>
      <c r="AX69" s="402"/>
      <c r="AY69" s="402"/>
      <c r="AZ69" s="402"/>
      <c r="BA69" s="402"/>
      <c r="BB69" s="402"/>
      <c r="BC69" s="402"/>
      <c r="BD69" s="402"/>
      <c r="BE69" s="402"/>
      <c r="BF69" s="402"/>
      <c r="BG69" s="402"/>
      <c r="BH69" s="402"/>
      <c r="BI69" s="402"/>
      <c r="BJ69" s="341"/>
    </row>
    <row r="70" spans="1:62" s="312" customFormat="1">
      <c r="B70" s="437"/>
      <c r="C70" s="437"/>
      <c r="D70" s="402"/>
      <c r="E70" s="402"/>
      <c r="F70" s="400"/>
      <c r="G70" s="402"/>
      <c r="H70" s="402"/>
      <c r="I70" s="400"/>
      <c r="J70" s="402"/>
      <c r="K70" s="402"/>
      <c r="L70" s="400"/>
      <c r="M70" s="402"/>
      <c r="N70" s="402"/>
      <c r="O70" s="400"/>
      <c r="P70" s="402"/>
      <c r="Q70" s="402"/>
      <c r="R70" s="402"/>
      <c r="S70" s="402"/>
      <c r="T70" s="402"/>
      <c r="U70" s="402"/>
      <c r="V70" s="402"/>
      <c r="W70" s="402"/>
      <c r="X70" s="402"/>
      <c r="Y70" s="402"/>
      <c r="Z70" s="402"/>
      <c r="AA70" s="402"/>
      <c r="AB70" s="832"/>
      <c r="AC70" s="402"/>
      <c r="AD70" s="402"/>
      <c r="AE70" s="402"/>
      <c r="AF70" s="402"/>
      <c r="AG70" s="402"/>
      <c r="AH70" s="402"/>
      <c r="AI70" s="402"/>
      <c r="AJ70" s="402"/>
      <c r="AK70" s="402"/>
      <c r="AL70" s="402"/>
      <c r="AM70" s="402"/>
      <c r="AN70" s="402"/>
      <c r="AO70" s="402"/>
      <c r="AP70" s="402"/>
      <c r="AQ70" s="402"/>
      <c r="AR70" s="402"/>
      <c r="AS70" s="402"/>
      <c r="AT70" s="402"/>
      <c r="AU70" s="402"/>
      <c r="AV70" s="402"/>
      <c r="AW70" s="402"/>
      <c r="AX70" s="402"/>
      <c r="AY70" s="402"/>
      <c r="AZ70" s="402"/>
      <c r="BA70" s="402"/>
      <c r="BB70" s="402"/>
      <c r="BC70" s="402"/>
      <c r="BD70" s="402"/>
      <c r="BE70" s="402"/>
      <c r="BF70" s="402"/>
      <c r="BG70" s="402"/>
      <c r="BH70" s="402"/>
      <c r="BI70" s="402"/>
      <c r="BJ70" s="341"/>
    </row>
    <row r="71" spans="1:62" s="312" customFormat="1">
      <c r="A71" s="344" t="s">
        <v>1563</v>
      </c>
      <c r="B71" s="392">
        <v>45.886000000000003</v>
      </c>
      <c r="C71" s="374">
        <f>+D71-B71</f>
        <v>26.484999999999992</v>
      </c>
      <c r="D71" s="494">
        <v>72.370999999999995</v>
      </c>
      <c r="E71" s="494">
        <v>46.847999999999999</v>
      </c>
      <c r="F71" s="403">
        <f>G71-E71</f>
        <v>26.445000000000007</v>
      </c>
      <c r="G71" s="494">
        <v>73.293000000000006</v>
      </c>
      <c r="H71" s="494">
        <v>52.137999999999998</v>
      </c>
      <c r="I71" s="403">
        <f>J71-H71</f>
        <v>26.684000000000005</v>
      </c>
      <c r="J71" s="494">
        <v>78.822000000000003</v>
      </c>
      <c r="K71" s="494">
        <v>59.68</v>
      </c>
      <c r="L71" s="403">
        <f>M71-K71</f>
        <v>27.32</v>
      </c>
      <c r="M71" s="494">
        <v>87</v>
      </c>
      <c r="N71" s="494">
        <v>79.268000000000001</v>
      </c>
      <c r="O71" s="403">
        <f>P71-N71</f>
        <v>31.840999999999994</v>
      </c>
      <c r="P71" s="494">
        <v>111.10899999999999</v>
      </c>
      <c r="Q71" s="494">
        <v>96.242000000000004</v>
      </c>
      <c r="R71" s="403">
        <f>S71-Q71</f>
        <v>32.99442309582308</v>
      </c>
      <c r="S71" s="403">
        <f>S110-S84</f>
        <v>129.23642309582308</v>
      </c>
      <c r="T71" s="403">
        <f>T110-T84</f>
        <v>108.62292732361274</v>
      </c>
      <c r="U71" s="403">
        <f>V71-T71</f>
        <v>41.95121616533072</v>
      </c>
      <c r="V71" s="403">
        <f>V110-V84</f>
        <v>150.57414348894346</v>
      </c>
      <c r="W71" s="403">
        <f>W110-W84</f>
        <v>116.71699809278668</v>
      </c>
      <c r="X71" s="403">
        <f>Y71-W71</f>
        <v>46.179483276280237</v>
      </c>
      <c r="Y71" s="403">
        <f>Y110-Y84</f>
        <v>162.89648136906692</v>
      </c>
      <c r="Z71" s="403">
        <f>Z110-Z97-Z84</f>
        <v>126.34342229462411</v>
      </c>
      <c r="AA71" s="403">
        <f>AB71-Z71</f>
        <v>48.026507335979602</v>
      </c>
      <c r="AB71" s="827">
        <f>AB110-AB84</f>
        <v>174.36992963060371</v>
      </c>
      <c r="AC71" s="403">
        <f>AC110-AC97-AC84</f>
        <v>127.53540000000001</v>
      </c>
      <c r="AD71" s="403">
        <f t="shared" ref="AD71:BF71" si="149">AD110-AD97-AD84</f>
        <v>49.483029458216393</v>
      </c>
      <c r="AE71" s="403">
        <f>AE110-AE97-AE84</f>
        <v>177.04342945821639</v>
      </c>
      <c r="AF71" s="403">
        <f>AF110-AF97-AF84</f>
        <v>132.82471467201279</v>
      </c>
      <c r="AG71" s="403">
        <f t="shared" ref="AG71" si="150">AG110-AG97-AG84</f>
        <v>67.581115422689294</v>
      </c>
      <c r="AH71" s="403">
        <f t="shared" si="149"/>
        <v>200.40583009470205</v>
      </c>
      <c r="AI71" s="403">
        <f>AI110-AI97-AI84</f>
        <v>159.68883440006866</v>
      </c>
      <c r="AJ71" s="403">
        <f t="shared" ref="AJ71" si="151">AJ110-AJ97-AJ84</f>
        <v>67.456691887863201</v>
      </c>
      <c r="AK71" s="403">
        <f t="shared" si="149"/>
        <v>227.14552628793189</v>
      </c>
      <c r="AL71" s="403"/>
      <c r="AM71" s="403"/>
      <c r="AN71" s="403">
        <f t="shared" si="149"/>
        <v>261.08587084034451</v>
      </c>
      <c r="AO71" s="403"/>
      <c r="AP71" s="403"/>
      <c r="AQ71" s="403">
        <f>AQ110-AQ97-AQ84</f>
        <v>300.48939550738947</v>
      </c>
      <c r="AR71" s="403"/>
      <c r="AS71" s="403"/>
      <c r="AT71" s="403">
        <f t="shared" si="149"/>
        <v>347.67036407133941</v>
      </c>
      <c r="AU71" s="403"/>
      <c r="AV71" s="403"/>
      <c r="AW71" s="403">
        <f t="shared" si="149"/>
        <v>396.49055873096927</v>
      </c>
      <c r="AX71" s="403"/>
      <c r="AY71" s="403"/>
      <c r="AZ71" s="403">
        <f t="shared" si="149"/>
        <v>451.85842303110269</v>
      </c>
      <c r="BA71" s="403"/>
      <c r="BB71" s="403"/>
      <c r="BC71" s="403">
        <f t="shared" si="149"/>
        <v>514.65572352732454</v>
      </c>
      <c r="BD71" s="403"/>
      <c r="BE71" s="403"/>
      <c r="BF71" s="403">
        <f t="shared" si="149"/>
        <v>585.88511923550482</v>
      </c>
      <c r="BG71" s="403"/>
      <c r="BH71" s="403"/>
      <c r="BI71" s="403">
        <f t="shared" ref="BI71" si="152">BI110-BI97-BI84</f>
        <v>665.0572896126364</v>
      </c>
      <c r="BJ71" s="374"/>
    </row>
    <row r="72" spans="1:62" s="312" customFormat="1">
      <c r="A72" s="312" t="s">
        <v>1359</v>
      </c>
      <c r="B72" s="440">
        <f>B71/40.965-1</f>
        <v>0.12012693762968385</v>
      </c>
      <c r="C72" s="371"/>
      <c r="D72" s="397">
        <f>D71/65.149-1</f>
        <v>0.11085358178943649</v>
      </c>
      <c r="E72" s="397">
        <f t="shared" ref="E72:R72" si="153">E71/B71-1</f>
        <v>2.0965000217931351E-2</v>
      </c>
      <c r="F72" s="397">
        <f t="shared" si="153"/>
        <v>-1.5102888427406258E-3</v>
      </c>
      <c r="G72" s="397">
        <f t="shared" si="153"/>
        <v>1.273990963231153E-2</v>
      </c>
      <c r="H72" s="397">
        <f t="shared" si="153"/>
        <v>0.11291837431693996</v>
      </c>
      <c r="I72" s="397">
        <f t="shared" si="153"/>
        <v>9.0376252599733142E-3</v>
      </c>
      <c r="J72" s="397">
        <f t="shared" si="153"/>
        <v>7.5436944865130418E-2</v>
      </c>
      <c r="K72" s="397">
        <f t="shared" si="153"/>
        <v>0.14465457056273734</v>
      </c>
      <c r="L72" s="397">
        <f>L71/I71-1</f>
        <v>2.3834507570079211E-2</v>
      </c>
      <c r="M72" s="397">
        <f>M71/J71-1</f>
        <v>0.10375275938189832</v>
      </c>
      <c r="N72" s="397">
        <f>N71/K71-1</f>
        <v>0.32821715817694375</v>
      </c>
      <c r="O72" s="397">
        <f t="shared" si="153"/>
        <v>0.16548316251830131</v>
      </c>
      <c r="P72" s="397">
        <f t="shared" si="153"/>
        <v>0.27711494252873559</v>
      </c>
      <c r="Q72" s="397">
        <f>Q71/N71-1</f>
        <v>0.21413432911136909</v>
      </c>
      <c r="R72" s="397">
        <f t="shared" si="153"/>
        <v>3.6224462040233885E-2</v>
      </c>
      <c r="S72" s="397">
        <f>S71/P71-1</f>
        <v>0.16314990771065441</v>
      </c>
      <c r="T72" s="397">
        <f>T71/Q71-1</f>
        <v>0.12864370361809541</v>
      </c>
      <c r="U72" s="397">
        <f t="shared" ref="U72" si="154">U71/R71-1</f>
        <v>0.27146384840538462</v>
      </c>
      <c r="V72" s="397">
        <f>V71/S71-1</f>
        <v>0.16510608915026537</v>
      </c>
      <c r="W72" s="397">
        <f>W71/T71-1</f>
        <v>7.4515306930182712E-2</v>
      </c>
      <c r="X72" s="397">
        <f t="shared" ref="X72" si="155">X71/U71-1</f>
        <v>0.10079009615086765</v>
      </c>
      <c r="Y72" s="397">
        <f>Y71/V71-1</f>
        <v>8.1835683036963536E-2</v>
      </c>
      <c r="Z72" s="397">
        <f>Z71/W71-1</f>
        <v>8.2476626019670984E-2</v>
      </c>
      <c r="AA72" s="397">
        <f t="shared" ref="AA72" si="156">AA71/X71-1</f>
        <v>3.9996637655061784E-2</v>
      </c>
      <c r="AB72" s="828">
        <f>AB71/Y71-1</f>
        <v>7.0433984608555988E-2</v>
      </c>
      <c r="AC72" s="397">
        <f>AC71/Z71-1</f>
        <v>9.4344262940440071E-3</v>
      </c>
      <c r="AD72" s="397">
        <f t="shared" ref="AD72" si="157">AD71/AA71-1</f>
        <v>3.0327462958057438E-2</v>
      </c>
      <c r="AE72" s="397">
        <f>AE71/AB71-1</f>
        <v>1.533234447749332E-2</v>
      </c>
      <c r="AF72" s="397">
        <f>AF71/AC71-1</f>
        <v>4.1473306015528122E-2</v>
      </c>
      <c r="AG72" s="397">
        <f t="shared" ref="AG72" si="158">AG71/AD71-1</f>
        <v>0.3657432894191528</v>
      </c>
      <c r="AH72" s="397">
        <f>AH71/AE71-1</f>
        <v>0.131958586138885</v>
      </c>
      <c r="AI72" s="397">
        <f>AI71/AF71-1</f>
        <v>0.2022524181165537</v>
      </c>
      <c r="AJ72" s="397">
        <f t="shared" ref="AJ72" si="159">AJ71/AG71-1</f>
        <v>-1.8410991598448723E-3</v>
      </c>
      <c r="AK72" s="397">
        <f>AK71/AH71-1</f>
        <v>0.13342773601244007</v>
      </c>
      <c r="AL72" s="397"/>
      <c r="AM72" s="397"/>
      <c r="AN72" s="397">
        <f>AN71/AK71-1</f>
        <v>0.14942114470434031</v>
      </c>
      <c r="AO72" s="397"/>
      <c r="AP72" s="397"/>
      <c r="AQ72" s="397">
        <f>AQ71/AN71-1</f>
        <v>0.15092170457259413</v>
      </c>
      <c r="AR72" s="397"/>
      <c r="AS72" s="397"/>
      <c r="AT72" s="397">
        <f>AT71/AQ71-1</f>
        <v>0.15701375579089172</v>
      </c>
      <c r="AU72" s="397"/>
      <c r="AV72" s="397"/>
      <c r="AW72" s="397">
        <f>AW71/AT71-1</f>
        <v>0.14042092655792859</v>
      </c>
      <c r="AX72" s="397"/>
      <c r="AY72" s="397"/>
      <c r="AZ72" s="397">
        <f>AZ71/AW71-1</f>
        <v>0.13964484924268317</v>
      </c>
      <c r="BA72" s="397"/>
      <c r="BB72" s="397"/>
      <c r="BC72" s="397">
        <f>BC71/AZ71-1</f>
        <v>0.13897561115486678</v>
      </c>
      <c r="BD72" s="397"/>
      <c r="BE72" s="397"/>
      <c r="BF72" s="397">
        <f>BF71/BC71-1</f>
        <v>0.13840202770891463</v>
      </c>
      <c r="BG72" s="397"/>
      <c r="BH72" s="397"/>
      <c r="BI72" s="397">
        <f t="shared" ref="BI72" si="160">BI71/BF71-1</f>
        <v>0.13513258449103427</v>
      </c>
      <c r="BJ72" s="336"/>
    </row>
    <row r="73" spans="1:62" s="312" customFormat="1">
      <c r="A73" s="312" t="s">
        <v>1551</v>
      </c>
      <c r="B73" s="437">
        <f>+B71/B58</f>
        <v>0.17326848572270098</v>
      </c>
      <c r="C73" s="437">
        <f t="shared" ref="C73:J73" si="161">+C71/C32</f>
        <v>0.12935792363071563</v>
      </c>
      <c r="D73" s="402">
        <f t="shared" si="161"/>
        <v>0.15412251260733267</v>
      </c>
      <c r="E73" s="402">
        <f t="shared" si="161"/>
        <v>0.14959048455336471</v>
      </c>
      <c r="F73" s="402">
        <f t="shared" si="161"/>
        <v>0.12374477085341547</v>
      </c>
      <c r="G73" s="402">
        <f t="shared" si="161"/>
        <v>0.13910731265693771</v>
      </c>
      <c r="H73" s="402">
        <f t="shared" si="161"/>
        <v>0.14641187290265512</v>
      </c>
      <c r="I73" s="402">
        <f t="shared" si="161"/>
        <v>0.10429344746047568</v>
      </c>
      <c r="J73" s="402">
        <f t="shared" si="161"/>
        <v>0.12880253611347148</v>
      </c>
      <c r="K73" s="402">
        <f t="shared" ref="K73:Y73" si="162">+K71/K58</f>
        <v>0.13483653780980998</v>
      </c>
      <c r="L73" s="402">
        <f t="shared" si="162"/>
        <v>8.5155823078909287E-2</v>
      </c>
      <c r="M73" s="402">
        <f t="shared" si="162"/>
        <v>0.11381341663952152</v>
      </c>
      <c r="N73" s="402">
        <f t="shared" si="162"/>
        <v>0.13370080758877068</v>
      </c>
      <c r="O73" s="402">
        <f t="shared" si="162"/>
        <v>8.1375883951002204E-2</v>
      </c>
      <c r="P73" s="402">
        <f t="shared" si="162"/>
        <v>0.1128974078375547</v>
      </c>
      <c r="Q73" s="402">
        <f t="shared" si="162"/>
        <v>0.13112900215137563</v>
      </c>
      <c r="R73" s="402">
        <f t="shared" si="162"/>
        <v>7.4219657802643751E-2</v>
      </c>
      <c r="S73" s="402">
        <f t="shared" si="162"/>
        <v>0.10966179303845829</v>
      </c>
      <c r="T73" s="402">
        <f t="shared" si="162"/>
        <v>0.14098561020335121</v>
      </c>
      <c r="U73" s="397">
        <f t="shared" si="162"/>
        <v>8.2460041288443975E-2</v>
      </c>
      <c r="V73" s="402">
        <f t="shared" si="162"/>
        <v>0.11770961811205712</v>
      </c>
      <c r="W73" s="402">
        <f t="shared" si="162"/>
        <v>0.14909470170429473</v>
      </c>
      <c r="X73" s="397">
        <f t="shared" si="162"/>
        <v>8.3467657775665491E-2</v>
      </c>
      <c r="Y73" s="402">
        <f t="shared" si="162"/>
        <v>0.12191937831679285</v>
      </c>
      <c r="Z73" s="402">
        <f t="shared" ref="Z73:BF73" si="163">+Z71/Z58</f>
        <v>0.14394829929887673</v>
      </c>
      <c r="AA73" s="397">
        <f t="shared" si="163"/>
        <v>7.7096645636217362E-2</v>
      </c>
      <c r="AB73" s="832">
        <f>+AB71/AB58</f>
        <v>0.11619711978070923</v>
      </c>
      <c r="AC73" s="402">
        <f t="shared" ref="AC73" si="164">+AC71/AC58</f>
        <v>0.13099363188167626</v>
      </c>
      <c r="AD73" s="397">
        <f t="shared" si="163"/>
        <v>7.3646410760559097E-2</v>
      </c>
      <c r="AE73" s="397">
        <f>+AE71/AE58</f>
        <v>0.10759247681129572</v>
      </c>
      <c r="AF73" s="397">
        <f t="shared" ref="AF73:AG73" si="165">+AF71/AF58</f>
        <v>0.12859322172964763</v>
      </c>
      <c r="AG73" s="397">
        <f t="shared" si="165"/>
        <v>8.9892187131860632E-2</v>
      </c>
      <c r="AH73" s="397">
        <f t="shared" si="163"/>
        <v>0.11229054812513468</v>
      </c>
      <c r="AI73" s="397">
        <f t="shared" si="163"/>
        <v>0.14391398382466583</v>
      </c>
      <c r="AJ73" s="397">
        <f t="shared" si="163"/>
        <v>7.8007214809771672E-2</v>
      </c>
      <c r="AK73" s="397">
        <f t="shared" si="163"/>
        <v>0.11504753185272158</v>
      </c>
      <c r="AL73" s="397"/>
      <c r="AM73" s="397"/>
      <c r="AN73" s="397">
        <f t="shared" si="163"/>
        <v>0.11929089049431087</v>
      </c>
      <c r="AO73" s="397"/>
      <c r="AP73" s="397"/>
      <c r="AQ73" s="397">
        <f t="shared" si="163"/>
        <v>0.12358062026333583</v>
      </c>
      <c r="AR73" s="397"/>
      <c r="AS73" s="397"/>
      <c r="AT73" s="397">
        <f t="shared" si="163"/>
        <v>0.1286576352415463</v>
      </c>
      <c r="AU73" s="397"/>
      <c r="AV73" s="397"/>
      <c r="AW73" s="397">
        <f t="shared" si="163"/>
        <v>0.13197544400581845</v>
      </c>
      <c r="AX73" s="397"/>
      <c r="AY73" s="397"/>
      <c r="AZ73" s="397">
        <f t="shared" si="163"/>
        <v>0.13523750500697831</v>
      </c>
      <c r="BA73" s="397"/>
      <c r="BB73" s="397"/>
      <c r="BC73" s="397">
        <f t="shared" si="163"/>
        <v>0.13844732523307973</v>
      </c>
      <c r="BD73" s="397"/>
      <c r="BE73" s="397"/>
      <c r="BF73" s="397">
        <f t="shared" si="163"/>
        <v>0.1416081300529772</v>
      </c>
      <c r="BG73" s="397"/>
      <c r="BH73" s="397"/>
      <c r="BI73" s="397">
        <f t="shared" ref="BI73" si="166">+BI71/BI58</f>
        <v>0.14436908433968618</v>
      </c>
      <c r="BJ73" s="341"/>
    </row>
    <row r="74" spans="1:62" s="312" customFormat="1">
      <c r="A74" s="363" t="s">
        <v>1589</v>
      </c>
      <c r="B74" s="435">
        <f>+B71/D71</f>
        <v>0.63403849608268514</v>
      </c>
      <c r="C74" s="435">
        <f>+C71/D71</f>
        <v>0.36596150391731486</v>
      </c>
      <c r="D74" s="397"/>
      <c r="E74" s="398">
        <f>+E71/G71</f>
        <v>0.63918791699070843</v>
      </c>
      <c r="F74" s="398">
        <f>+F71/G71</f>
        <v>0.36081208300929152</v>
      </c>
      <c r="G74" s="402"/>
      <c r="H74" s="398">
        <f>+H71/J71</f>
        <v>0.66146507320291281</v>
      </c>
      <c r="I74" s="398">
        <f>+I71/J71</f>
        <v>0.33853492679708713</v>
      </c>
      <c r="J74" s="402"/>
      <c r="K74" s="398">
        <f>+K71/M71</f>
        <v>0.68597701149425283</v>
      </c>
      <c r="L74" s="398">
        <f>+L71/M71</f>
        <v>0.31402298850574711</v>
      </c>
      <c r="M74" s="402"/>
      <c r="N74" s="398">
        <f>+N71/P71</f>
        <v>0.71342555508554661</v>
      </c>
      <c r="O74" s="398">
        <f>+O71/P71</f>
        <v>0.28657444491445333</v>
      </c>
      <c r="P74" s="402"/>
      <c r="Q74" s="398">
        <f>+Q71/S71</f>
        <v>0.74469718129416829</v>
      </c>
      <c r="R74" s="398">
        <f>+R71/S71</f>
        <v>0.25530281870583171</v>
      </c>
      <c r="S74" s="402"/>
      <c r="T74" s="398">
        <f>+T71/V71</f>
        <v>0.72139163342867585</v>
      </c>
      <c r="U74" s="398">
        <f>+U71/V71</f>
        <v>0.27860836657132415</v>
      </c>
      <c r="V74" s="402"/>
      <c r="W74" s="398">
        <f>+W71/Y71</f>
        <v>0.71651024694846821</v>
      </c>
      <c r="X74" s="398">
        <f>+X71/Y71</f>
        <v>0.28348975305153185</v>
      </c>
      <c r="Y74" s="503"/>
      <c r="Z74" s="503"/>
      <c r="AA74" s="398"/>
      <c r="AB74" s="869"/>
      <c r="AC74" s="503"/>
      <c r="AD74" s="503"/>
      <c r="AE74" s="503"/>
      <c r="AF74" s="503"/>
      <c r="AG74" s="503"/>
      <c r="AH74" s="503"/>
      <c r="AI74" s="503"/>
      <c r="AJ74" s="503"/>
      <c r="AK74" s="503"/>
      <c r="AL74" s="503"/>
      <c r="AM74" s="503"/>
      <c r="AN74" s="503"/>
      <c r="AO74" s="503"/>
      <c r="AP74" s="503"/>
      <c r="AQ74" s="503"/>
      <c r="AR74" s="503"/>
      <c r="AS74" s="503"/>
      <c r="AT74" s="503"/>
      <c r="AU74" s="503"/>
      <c r="AV74" s="503"/>
      <c r="AW74" s="503"/>
      <c r="AX74" s="503"/>
      <c r="AY74" s="503"/>
      <c r="AZ74" s="503"/>
      <c r="BA74" s="503"/>
      <c r="BB74" s="503"/>
      <c r="BC74" s="503"/>
      <c r="BD74" s="503"/>
      <c r="BE74" s="503"/>
      <c r="BF74" s="503"/>
      <c r="BG74" s="503"/>
      <c r="BH74" s="503"/>
      <c r="BI74" s="503"/>
      <c r="BJ74" s="341"/>
    </row>
    <row r="75" spans="1:62" s="312" customFormat="1">
      <c r="A75" s="363"/>
      <c r="B75" s="435"/>
      <c r="C75" s="435"/>
      <c r="D75" s="397"/>
      <c r="E75" s="398"/>
      <c r="F75" s="398"/>
      <c r="G75" s="402"/>
      <c r="H75" s="398"/>
      <c r="I75" s="398"/>
      <c r="J75" s="402"/>
      <c r="K75" s="398"/>
      <c r="L75" s="398"/>
      <c r="M75" s="402"/>
      <c r="N75" s="398"/>
      <c r="O75" s="398"/>
      <c r="P75" s="402"/>
      <c r="Q75" s="398"/>
      <c r="R75" s="398"/>
      <c r="S75" s="402"/>
      <c r="T75" s="398"/>
      <c r="U75" s="398"/>
      <c r="V75" s="402"/>
      <c r="W75" s="398"/>
      <c r="X75" s="398"/>
      <c r="Y75" s="402"/>
      <c r="Z75" s="398"/>
      <c r="AA75" s="398"/>
      <c r="AB75" s="832"/>
      <c r="AC75" s="398"/>
      <c r="AD75" s="398"/>
      <c r="AE75" s="402"/>
      <c r="AF75" s="398"/>
      <c r="AG75" s="398"/>
      <c r="AH75" s="402"/>
      <c r="AI75" s="398"/>
      <c r="AJ75" s="398"/>
      <c r="AK75" s="402"/>
      <c r="AL75" s="402"/>
      <c r="AM75" s="402"/>
      <c r="AN75" s="402"/>
      <c r="AO75" s="402"/>
      <c r="AP75" s="402"/>
      <c r="AQ75" s="402"/>
      <c r="AR75" s="402"/>
      <c r="AS75" s="402"/>
      <c r="AT75" s="402"/>
      <c r="AU75" s="402"/>
      <c r="AV75" s="402"/>
      <c r="AW75" s="402"/>
      <c r="AX75" s="402"/>
      <c r="AY75" s="402"/>
      <c r="AZ75" s="402"/>
      <c r="BA75" s="402"/>
      <c r="BB75" s="402"/>
      <c r="BC75" s="402"/>
      <c r="BD75" s="402"/>
      <c r="BE75" s="402"/>
      <c r="BF75" s="402"/>
      <c r="BG75" s="402"/>
      <c r="BH75" s="402"/>
      <c r="BI75" s="402"/>
      <c r="BJ75" s="341"/>
    </row>
    <row r="76" spans="1:62" s="1006" customFormat="1">
      <c r="A76" s="1004" t="s">
        <v>1712</v>
      </c>
      <c r="D76" s="1007"/>
      <c r="E76" s="1007"/>
      <c r="F76" s="1007"/>
      <c r="G76" s="1007"/>
      <c r="H76" s="1007"/>
      <c r="I76" s="1007"/>
      <c r="J76" s="1007"/>
      <c r="K76" s="1007"/>
      <c r="L76" s="1007"/>
      <c r="M76" s="1007"/>
      <c r="N76" s="1007"/>
      <c r="O76" s="1007"/>
      <c r="P76" s="1007"/>
      <c r="Q76" s="1007"/>
      <c r="R76" s="1007"/>
      <c r="S76" s="1007"/>
      <c r="T76" s="1007"/>
      <c r="U76" s="1007"/>
      <c r="V76" s="1007"/>
      <c r="W76" s="1007"/>
      <c r="X76" s="1007"/>
      <c r="Y76" s="1007"/>
      <c r="Z76" s="1007"/>
      <c r="AA76" s="1007"/>
      <c r="AB76" s="1008"/>
      <c r="AC76" s="1007"/>
      <c r="AD76" s="1007"/>
      <c r="AE76" s="1007"/>
      <c r="AF76" s="1007"/>
      <c r="AG76" s="1007"/>
      <c r="AH76" s="1007"/>
      <c r="AI76" s="1007"/>
      <c r="AJ76" s="1007"/>
      <c r="AK76" s="1007"/>
      <c r="AL76" s="1007"/>
      <c r="AM76" s="1007"/>
      <c r="AN76" s="1007"/>
      <c r="AO76" s="1007"/>
      <c r="AP76" s="1007"/>
      <c r="AQ76" s="1007"/>
      <c r="AR76" s="1007"/>
      <c r="AS76" s="1007"/>
      <c r="AT76" s="1007"/>
      <c r="AU76" s="1007"/>
      <c r="AV76" s="1007"/>
      <c r="AW76" s="1007"/>
      <c r="AX76" s="1007"/>
      <c r="AY76" s="1007"/>
      <c r="AZ76" s="1007"/>
      <c r="BA76" s="1007"/>
      <c r="BB76" s="1007"/>
      <c r="BC76" s="1007"/>
      <c r="BD76" s="1007"/>
      <c r="BE76" s="1007"/>
      <c r="BF76" s="1007"/>
      <c r="BG76" s="1007"/>
      <c r="BH76" s="1007"/>
      <c r="BI76" s="1007"/>
      <c r="BJ76" s="1009"/>
    </row>
    <row r="77" spans="1:62" s="312" customFormat="1">
      <c r="A77" s="344" t="s">
        <v>1900</v>
      </c>
      <c r="B77" s="392">
        <v>74.341999999999999</v>
      </c>
      <c r="C77" s="443">
        <f>D77-B77</f>
        <v>61.822999999999993</v>
      </c>
      <c r="D77" s="532">
        <v>136.16499999999999</v>
      </c>
      <c r="E77" s="533">
        <v>72.234999999999999</v>
      </c>
      <c r="F77" s="409">
        <f>+G77-E77</f>
        <v>53.231999999999999</v>
      </c>
      <c r="G77" s="533">
        <v>125.467</v>
      </c>
      <c r="H77" s="497">
        <v>84.266000000000005</v>
      </c>
      <c r="I77" s="409">
        <f>+J77-H77</f>
        <v>63.741</v>
      </c>
      <c r="J77" s="533">
        <v>148.00700000000001</v>
      </c>
      <c r="K77" s="497">
        <v>109.42400000000001</v>
      </c>
      <c r="L77" s="409">
        <f>+M77-K77</f>
        <v>78.411000000000001</v>
      </c>
      <c r="M77" s="533">
        <v>187.83500000000001</v>
      </c>
      <c r="N77" s="497">
        <v>118.08199999999999</v>
      </c>
      <c r="O77" s="409">
        <f>+P77-N77</f>
        <v>85.418000000000006</v>
      </c>
      <c r="P77" s="533">
        <v>203.5</v>
      </c>
      <c r="Q77" s="533">
        <v>144.71</v>
      </c>
      <c r="R77" s="409">
        <f>+S77-Q77</f>
        <v>95.19</v>
      </c>
      <c r="S77" s="533">
        <v>239.9</v>
      </c>
      <c r="T77" s="533">
        <v>117.54300000000001</v>
      </c>
      <c r="U77" s="409">
        <f>+V77-T77</f>
        <v>81.757000000000005</v>
      </c>
      <c r="V77" s="533">
        <v>199.3</v>
      </c>
      <c r="W77" s="533">
        <v>122.994</v>
      </c>
      <c r="X77" s="409">
        <f>+Y77-W77</f>
        <v>71.006</v>
      </c>
      <c r="Y77" s="533">
        <v>194</v>
      </c>
      <c r="Z77" s="533">
        <v>119.8</v>
      </c>
      <c r="AA77" s="409">
        <f>+AB77-Z77</f>
        <v>76.2</v>
      </c>
      <c r="AB77" s="872">
        <v>196</v>
      </c>
      <c r="AC77" s="533">
        <v>125.1</v>
      </c>
      <c r="AD77" s="409">
        <f>+AE77-AC77</f>
        <v>80.700000000000017</v>
      </c>
      <c r="AE77" s="406">
        <f>+AB77*(1+AE78)</f>
        <v>205.8</v>
      </c>
      <c r="AF77" s="406">
        <f>AC77*(1+AF78)</f>
        <v>128.85300000000001</v>
      </c>
      <c r="AG77" s="409">
        <f>+AH77-AF77</f>
        <v>83.121000000000009</v>
      </c>
      <c r="AH77" s="406">
        <f>+AE77*(1+AH78)</f>
        <v>211.97400000000002</v>
      </c>
      <c r="AI77" s="406">
        <f>AF77*(1+AI78)</f>
        <v>132.71859000000001</v>
      </c>
      <c r="AJ77" s="409">
        <f>+AK77-AI77</f>
        <v>85.614630000000005</v>
      </c>
      <c r="AK77" s="406">
        <f>+AH77*(1+AK78)</f>
        <v>218.33322000000001</v>
      </c>
      <c r="AL77" s="406"/>
      <c r="AM77" s="406"/>
      <c r="AN77" s="406">
        <f>+AK77*(1+AN78)</f>
        <v>224.88321660000003</v>
      </c>
      <c r="AO77" s="406"/>
      <c r="AP77" s="406"/>
      <c r="AQ77" s="406">
        <f>+AN77*(1+AQ78)</f>
        <v>231.62971309800002</v>
      </c>
      <c r="AR77" s="406"/>
      <c r="AS77" s="406"/>
      <c r="AT77" s="406">
        <f>+AQ77*(1+AT78)</f>
        <v>238.57860449094002</v>
      </c>
      <c r="AU77" s="406"/>
      <c r="AV77" s="406"/>
      <c r="AW77" s="406">
        <f>+AT77*(1+AW78)</f>
        <v>245.73596262566824</v>
      </c>
      <c r="AX77" s="406"/>
      <c r="AY77" s="406"/>
      <c r="AZ77" s="406">
        <f>+AW77*(1+AZ78)</f>
        <v>253.10804150443829</v>
      </c>
      <c r="BA77" s="406"/>
      <c r="BB77" s="406"/>
      <c r="BC77" s="406">
        <f>+AZ77*(1+BC78)</f>
        <v>260.70128274957142</v>
      </c>
      <c r="BD77" s="406"/>
      <c r="BE77" s="406"/>
      <c r="BF77" s="406">
        <f>+BC77*(1+BF78)</f>
        <v>268.52232123205857</v>
      </c>
      <c r="BG77" s="406"/>
      <c r="BH77" s="406"/>
      <c r="BI77" s="406">
        <f t="shared" ref="BI77" si="167">+BF77*(1+BI78)</f>
        <v>276.57799086902031</v>
      </c>
      <c r="BJ77" s="322"/>
    </row>
    <row r="78" spans="1:62" s="312" customFormat="1">
      <c r="A78" s="312" t="s">
        <v>1571</v>
      </c>
      <c r="B78" s="371">
        <f>B77/86.1-1</f>
        <v>-0.13656213704994191</v>
      </c>
      <c r="C78" s="371">
        <f>C77/(149.368-86.1)-1</f>
        <v>-2.2839350066384378E-2</v>
      </c>
      <c r="D78" s="397">
        <f>D77/149.368-1</f>
        <v>-8.8392426758074016E-2</v>
      </c>
      <c r="E78" s="397">
        <f t="shared" ref="E78:Y78" si="168">+E77/B77-1</f>
        <v>-2.8341987032902027E-2</v>
      </c>
      <c r="F78" s="397">
        <f t="shared" si="168"/>
        <v>-0.13896122802193345</v>
      </c>
      <c r="G78" s="397">
        <f t="shared" si="168"/>
        <v>-7.856644512172728E-2</v>
      </c>
      <c r="H78" s="397">
        <f t="shared" si="168"/>
        <v>0.16655360974596811</v>
      </c>
      <c r="I78" s="397">
        <f t="shared" si="168"/>
        <v>0.19741884580703339</v>
      </c>
      <c r="J78" s="397">
        <f t="shared" si="168"/>
        <v>0.17964883196378345</v>
      </c>
      <c r="K78" s="397">
        <f t="shared" si="168"/>
        <v>0.29855457717228773</v>
      </c>
      <c r="L78" s="397">
        <f t="shared" si="168"/>
        <v>0.23015013884313085</v>
      </c>
      <c r="M78" s="397">
        <f t="shared" si="168"/>
        <v>0.26909538062388938</v>
      </c>
      <c r="N78" s="397">
        <f t="shared" si="168"/>
        <v>7.91234098552418E-2</v>
      </c>
      <c r="O78" s="397">
        <f t="shared" si="168"/>
        <v>8.9362461899478385E-2</v>
      </c>
      <c r="P78" s="397">
        <f t="shared" si="168"/>
        <v>8.3397662842388254E-2</v>
      </c>
      <c r="Q78" s="397">
        <f t="shared" si="168"/>
        <v>0.22550431056384568</v>
      </c>
      <c r="R78" s="397">
        <f>+R77/O77-1</f>
        <v>0.11440211664988631</v>
      </c>
      <c r="S78" s="397">
        <f t="shared" si="168"/>
        <v>0.17886977886977884</v>
      </c>
      <c r="T78" s="397">
        <f t="shared" si="168"/>
        <v>-0.18773408886738996</v>
      </c>
      <c r="U78" s="397">
        <f>+U77/R77-1</f>
        <v>-0.14111776447105784</v>
      </c>
      <c r="V78" s="397">
        <f t="shared" si="168"/>
        <v>-0.169237182159233</v>
      </c>
      <c r="W78" s="397">
        <f t="shared" si="168"/>
        <v>4.6374518261402153E-2</v>
      </c>
      <c r="X78" s="397">
        <f>+X77/U77-1</f>
        <v>-0.13149944347273024</v>
      </c>
      <c r="Y78" s="397">
        <f t="shared" si="168"/>
        <v>-2.659307576517822E-2</v>
      </c>
      <c r="Z78" s="397">
        <f>Z77/W77-1</f>
        <v>-2.5968746442915913E-2</v>
      </c>
      <c r="AA78" s="397">
        <f>+AA77/X77-1</f>
        <v>7.3148747993127428E-2</v>
      </c>
      <c r="AB78" s="828">
        <f t="shared" ref="AB78" si="169">+AB77/Y77-1</f>
        <v>1.0309278350515427E-2</v>
      </c>
      <c r="AC78" s="397">
        <f>AC77/Z77-1</f>
        <v>4.4240400667779678E-2</v>
      </c>
      <c r="AD78" s="397">
        <f>+AD77/AA77-1</f>
        <v>5.9055118110236338E-2</v>
      </c>
      <c r="AE78" s="449">
        <v>0.05</v>
      </c>
      <c r="AF78" s="449">
        <v>0.03</v>
      </c>
      <c r="AG78" s="397">
        <f>+AG77/AD77-1</f>
        <v>2.9999999999999805E-2</v>
      </c>
      <c r="AH78" s="449">
        <v>0.03</v>
      </c>
      <c r="AI78" s="449">
        <v>0.03</v>
      </c>
      <c r="AJ78" s="397">
        <f>+AJ77/AG77-1</f>
        <v>3.0000000000000027E-2</v>
      </c>
      <c r="AK78" s="449">
        <v>0.03</v>
      </c>
      <c r="AL78" s="449"/>
      <c r="AM78" s="449"/>
      <c r="AN78" s="449">
        <v>0.03</v>
      </c>
      <c r="AO78" s="449"/>
      <c r="AP78" s="449"/>
      <c r="AQ78" s="449">
        <v>0.03</v>
      </c>
      <c r="AR78" s="449"/>
      <c r="AS78" s="449"/>
      <c r="AT78" s="449">
        <v>0.03</v>
      </c>
      <c r="AU78" s="449"/>
      <c r="AV78" s="449"/>
      <c r="AW78" s="449">
        <v>0.03</v>
      </c>
      <c r="AX78" s="449"/>
      <c r="AY78" s="449"/>
      <c r="AZ78" s="449">
        <v>0.03</v>
      </c>
      <c r="BA78" s="449"/>
      <c r="BB78" s="449"/>
      <c r="BC78" s="449">
        <v>0.03</v>
      </c>
      <c r="BD78" s="449"/>
      <c r="BE78" s="449"/>
      <c r="BF78" s="449">
        <v>0.03</v>
      </c>
      <c r="BG78" s="449"/>
      <c r="BH78" s="449"/>
      <c r="BI78" s="449">
        <v>0.03</v>
      </c>
      <c r="BJ78" s="336"/>
    </row>
    <row r="79" spans="1:62" s="312" customFormat="1">
      <c r="A79" s="363"/>
      <c r="B79" s="435">
        <f>+B77/D77</f>
        <v>0.54596996291264277</v>
      </c>
      <c r="C79" s="435">
        <f>+C77/D77</f>
        <v>0.45403003708735723</v>
      </c>
      <c r="D79" s="397"/>
      <c r="E79" s="398"/>
      <c r="F79" s="398"/>
      <c r="G79" s="408"/>
      <c r="H79" s="398"/>
      <c r="I79" s="398"/>
      <c r="J79" s="408"/>
      <c r="K79" s="398"/>
      <c r="L79" s="398"/>
      <c r="M79" s="397"/>
      <c r="N79" s="398"/>
      <c r="O79" s="398"/>
      <c r="P79" s="397"/>
      <c r="Q79" s="398"/>
      <c r="R79" s="398"/>
      <c r="S79" s="397"/>
      <c r="T79" s="398"/>
      <c r="U79" s="398"/>
      <c r="V79" s="397"/>
      <c r="W79" s="398"/>
      <c r="X79" s="398"/>
      <c r="Y79" s="397"/>
      <c r="Z79" s="398"/>
      <c r="AA79" s="398"/>
      <c r="AB79" s="828"/>
      <c r="AC79" s="398"/>
      <c r="AD79" s="398"/>
      <c r="AE79" s="397"/>
      <c r="AF79" s="398">
        <f>+AF77/AH77</f>
        <v>0.60787172011661805</v>
      </c>
      <c r="AG79" s="398">
        <f>+AG77/AH77</f>
        <v>0.39212827988338195</v>
      </c>
      <c r="AH79" s="397"/>
      <c r="AI79" s="398">
        <f>+AI77/AK77</f>
        <v>0.60787172011661805</v>
      </c>
      <c r="AJ79" s="398">
        <f>+AJ77/AK77</f>
        <v>0.39212827988338195</v>
      </c>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397"/>
      <c r="BJ79" s="336"/>
    </row>
    <row r="80" spans="1:62" s="312" customFormat="1">
      <c r="A80" s="344" t="s">
        <v>1896</v>
      </c>
      <c r="B80" s="444">
        <v>3.2559999999999998</v>
      </c>
      <c r="C80" s="381">
        <f>+D80-B80</f>
        <v>-3.2559999999999998</v>
      </c>
      <c r="D80" s="516"/>
      <c r="E80" s="516"/>
      <c r="F80" s="407"/>
      <c r="G80" s="516"/>
      <c r="H80" s="516"/>
      <c r="I80" s="407"/>
      <c r="J80" s="516"/>
      <c r="K80" s="494"/>
      <c r="L80" s="403"/>
      <c r="M80" s="494"/>
      <c r="N80" s="494"/>
      <c r="O80" s="403"/>
      <c r="P80" s="516">
        <v>50.8</v>
      </c>
      <c r="Q80" s="516">
        <v>33.4</v>
      </c>
      <c r="R80" s="407">
        <f>S80-Q80</f>
        <v>23.800000000000004</v>
      </c>
      <c r="S80" s="516">
        <v>57.2</v>
      </c>
      <c r="T80" s="516">
        <v>26.4</v>
      </c>
      <c r="U80" s="516">
        <f>V80-T80</f>
        <v>20</v>
      </c>
      <c r="V80" s="516">
        <v>46.4</v>
      </c>
      <c r="W80" s="516">
        <v>33.5</v>
      </c>
      <c r="X80" s="516">
        <f>Y80-W80</f>
        <v>20.399999999999999</v>
      </c>
      <c r="Y80" s="516">
        <v>53.9</v>
      </c>
      <c r="Z80" s="516">
        <v>38.4</v>
      </c>
      <c r="AA80" s="516">
        <f>AB80-Z80</f>
        <v>23.200000000000003</v>
      </c>
      <c r="AB80" s="1150">
        <v>61.6</v>
      </c>
      <c r="AC80" s="516">
        <v>40.5</v>
      </c>
      <c r="AD80" s="407">
        <f>AE80-AC80</f>
        <v>25.356000000000009</v>
      </c>
      <c r="AE80" s="407">
        <f t="shared" ref="AE80:BF80" si="170">+AE82*AE77</f>
        <v>65.856000000000009</v>
      </c>
      <c r="AF80" s="407">
        <f>AF77*AF82</f>
        <v>41.232960000000006</v>
      </c>
      <c r="AG80" s="407">
        <f>AH80-AF80</f>
        <v>26.59872</v>
      </c>
      <c r="AH80" s="407">
        <f t="shared" si="170"/>
        <v>67.831680000000006</v>
      </c>
      <c r="AI80" s="407">
        <f>AI77*AI82</f>
        <v>42.602667390000001</v>
      </c>
      <c r="AJ80" s="407">
        <f>AK80-AI80</f>
        <v>27.48229623000001</v>
      </c>
      <c r="AK80" s="407">
        <f t="shared" si="170"/>
        <v>70.084963620000011</v>
      </c>
      <c r="AL80" s="407"/>
      <c r="AM80" s="407"/>
      <c r="AN80" s="407">
        <f t="shared" si="170"/>
        <v>72.412395745200016</v>
      </c>
      <c r="AO80" s="407"/>
      <c r="AP80" s="407"/>
      <c r="AQ80" s="407">
        <f t="shared" si="170"/>
        <v>74.816397330654013</v>
      </c>
      <c r="AR80" s="407"/>
      <c r="AS80" s="407"/>
      <c r="AT80" s="407">
        <f t="shared" si="170"/>
        <v>77.299467855064563</v>
      </c>
      <c r="AU80" s="407"/>
      <c r="AV80" s="407"/>
      <c r="AW80" s="407">
        <f t="shared" si="170"/>
        <v>79.864187853342173</v>
      </c>
      <c r="AX80" s="407"/>
      <c r="AY80" s="407"/>
      <c r="AZ80" s="407">
        <f t="shared" si="170"/>
        <v>82.513221530446884</v>
      </c>
      <c r="BA80" s="407"/>
      <c r="BB80" s="407"/>
      <c r="BC80" s="407">
        <f t="shared" si="170"/>
        <v>85.249319459109856</v>
      </c>
      <c r="BD80" s="407"/>
      <c r="BE80" s="407"/>
      <c r="BF80" s="407">
        <f t="shared" si="170"/>
        <v>88.075321364115212</v>
      </c>
      <c r="BG80" s="407"/>
      <c r="BH80" s="407"/>
      <c r="BI80" s="407">
        <f t="shared" ref="BI80" si="171">+BI82*BI77</f>
        <v>90.994158995907682</v>
      </c>
      <c r="BJ80" s="324"/>
    </row>
    <row r="81" spans="1:62" s="312" customFormat="1">
      <c r="A81" s="312" t="s">
        <v>1359</v>
      </c>
      <c r="B81" s="440">
        <f>B80/5.088-1</f>
        <v>-0.36006289308176109</v>
      </c>
      <c r="C81" s="371"/>
      <c r="D81" s="397"/>
      <c r="E81" s="397"/>
      <c r="F81" s="397"/>
      <c r="G81" s="397"/>
      <c r="H81" s="397"/>
      <c r="I81" s="397"/>
      <c r="J81" s="397"/>
      <c r="K81" s="397"/>
      <c r="L81" s="397"/>
      <c r="M81" s="397"/>
      <c r="N81" s="397"/>
      <c r="O81" s="397"/>
      <c r="P81" s="397"/>
      <c r="Q81" s="397"/>
      <c r="R81" s="397"/>
      <c r="S81" s="397">
        <f t="shared" ref="S81:U81" si="172">S80/P80-1</f>
        <v>0.12598425196850416</v>
      </c>
      <c r="T81" s="397">
        <f t="shared" si="172"/>
        <v>-0.20958083832335328</v>
      </c>
      <c r="U81" s="397">
        <f t="shared" si="172"/>
        <v>-0.15966386554621859</v>
      </c>
      <c r="V81" s="397">
        <f>V80/S80-1</f>
        <v>-0.18881118881118886</v>
      </c>
      <c r="W81" s="397">
        <f t="shared" ref="W81" si="173">W80/T80-1</f>
        <v>0.26893939393939403</v>
      </c>
      <c r="X81" s="397">
        <f t="shared" ref="X81" si="174">X80/U80-1</f>
        <v>2.0000000000000018E-2</v>
      </c>
      <c r="Y81" s="397">
        <f>Y80/V80-1</f>
        <v>0.16163793103448287</v>
      </c>
      <c r="Z81" s="397">
        <f t="shared" ref="Z81:AC81" si="175">Z80/W80-1</f>
        <v>0.14626865671641798</v>
      </c>
      <c r="AA81" s="397">
        <f t="shared" si="175"/>
        <v>0.13725490196078449</v>
      </c>
      <c r="AB81" s="828">
        <f>AB80/Y80-1</f>
        <v>0.14285714285714302</v>
      </c>
      <c r="AC81" s="397">
        <f t="shared" si="175"/>
        <v>5.46875E-2</v>
      </c>
      <c r="AD81" s="397">
        <f t="shared" ref="AD81" si="176">AD80/AA80-1</f>
        <v>9.2931034482758967E-2</v>
      </c>
      <c r="AE81" s="397">
        <f>AE80/AB80-1</f>
        <v>6.9090909090909314E-2</v>
      </c>
      <c r="AF81" s="397">
        <f t="shared" ref="AF81" si="177">AF80/AC80-1</f>
        <v>1.809777777777799E-2</v>
      </c>
      <c r="AG81" s="397">
        <f t="shared" ref="AG81" si="178">AG80/AD80-1</f>
        <v>4.9010884997633397E-2</v>
      </c>
      <c r="AH81" s="397">
        <f t="shared" ref="AH81" si="179">AH80/AE80-1</f>
        <v>3.0000000000000027E-2</v>
      </c>
      <c r="AI81" s="397">
        <f t="shared" ref="AI81" si="180">AI80/AF80-1</f>
        <v>3.3218749999999853E-2</v>
      </c>
      <c r="AJ81" s="397">
        <f t="shared" ref="AJ81" si="181">AJ80/AG80-1</f>
        <v>3.3218750000000297E-2</v>
      </c>
      <c r="AK81" s="397">
        <f>AK80/AH80-1</f>
        <v>3.3218750000000075E-2</v>
      </c>
      <c r="AL81" s="397"/>
      <c r="AM81" s="397"/>
      <c r="AN81" s="397">
        <f t="shared" ref="AN81" si="182">AN80/AK80-1</f>
        <v>3.320872274143305E-2</v>
      </c>
      <c r="AO81" s="397"/>
      <c r="AP81" s="397"/>
      <c r="AQ81" s="397">
        <f t="shared" ref="AQ81" si="183">AQ80/AN80-1</f>
        <v>3.3198757763975184E-2</v>
      </c>
      <c r="AR81" s="397"/>
      <c r="AS81" s="397"/>
      <c r="AT81" s="397">
        <f t="shared" ref="AT81" si="184">AT80/AQ80-1</f>
        <v>3.3188854489163866E-2</v>
      </c>
      <c r="AU81" s="397"/>
      <c r="AV81" s="397"/>
      <c r="AW81" s="397">
        <f t="shared" ref="AW81" si="185">AW80/AT80-1</f>
        <v>3.3179012345678993E-2</v>
      </c>
      <c r="AX81" s="397"/>
      <c r="AY81" s="397"/>
      <c r="AZ81" s="397">
        <f t="shared" ref="AZ81" si="186">AZ80/AW80-1</f>
        <v>3.316923076923084E-2</v>
      </c>
      <c r="BA81" s="397"/>
      <c r="BB81" s="397"/>
      <c r="BC81" s="397">
        <f t="shared" ref="BC81" si="187">BC80/AZ80-1</f>
        <v>3.3159509202453918E-2</v>
      </c>
      <c r="BD81" s="397"/>
      <c r="BE81" s="397"/>
      <c r="BF81" s="397">
        <f>BF80/BC80-1</f>
        <v>3.3149847094801288E-2</v>
      </c>
      <c r="BG81" s="397"/>
      <c r="BH81" s="397"/>
      <c r="BI81" s="397">
        <f t="shared" ref="BI81" si="188">BI80/BF80-1</f>
        <v>3.314024390243886E-2</v>
      </c>
      <c r="BJ81" s="336"/>
    </row>
    <row r="82" spans="1:62" s="312" customFormat="1">
      <c r="A82" s="312" t="s">
        <v>1595</v>
      </c>
      <c r="B82" s="437" t="e">
        <f>+B80/B48</f>
        <v>#DIV/0!</v>
      </c>
      <c r="C82" s="437" t="e">
        <f>+C80/C48</f>
        <v>#DIV/0!</v>
      </c>
      <c r="D82" s="402"/>
      <c r="E82" s="402"/>
      <c r="F82" s="402"/>
      <c r="G82" s="402"/>
      <c r="H82" s="402"/>
      <c r="I82" s="402"/>
      <c r="J82" s="402"/>
      <c r="K82" s="402"/>
      <c r="L82" s="402"/>
      <c r="M82" s="402"/>
      <c r="N82" s="402"/>
      <c r="O82" s="402"/>
      <c r="P82" s="402">
        <f t="shared" ref="P82:X82" si="189">P80/P77</f>
        <v>0.24963144963144962</v>
      </c>
      <c r="Q82" s="402">
        <f t="shared" si="189"/>
        <v>0.23080644046714116</v>
      </c>
      <c r="R82" s="402">
        <f t="shared" si="189"/>
        <v>0.25002626326294786</v>
      </c>
      <c r="S82" s="402">
        <f t="shared" si="189"/>
        <v>0.23843268028345144</v>
      </c>
      <c r="T82" s="402">
        <f t="shared" si="189"/>
        <v>0.22459865751256985</v>
      </c>
      <c r="U82" s="397">
        <f t="shared" si="189"/>
        <v>0.24462737135658108</v>
      </c>
      <c r="V82" s="402">
        <f t="shared" si="189"/>
        <v>0.23281485198193677</v>
      </c>
      <c r="W82" s="402">
        <f t="shared" si="189"/>
        <v>0.27237100996796593</v>
      </c>
      <c r="X82" s="397">
        <f t="shared" si="189"/>
        <v>0.28729966481705771</v>
      </c>
      <c r="Y82" s="402">
        <f>Y80/Y77</f>
        <v>0.27783505154639176</v>
      </c>
      <c r="Z82" s="402">
        <f>Z80/Z77</f>
        <v>0.32053422370617696</v>
      </c>
      <c r="AA82" s="397">
        <f t="shared" ref="AA82" si="190">AA80/AA77</f>
        <v>0.3044619422572179</v>
      </c>
      <c r="AB82" s="832">
        <f>AB80/AB77</f>
        <v>0.31428571428571428</v>
      </c>
      <c r="AC82" s="402">
        <f>AC80/AC77</f>
        <v>0.32374100719424465</v>
      </c>
      <c r="AD82" s="449">
        <f>AD80/AD77</f>
        <v>0.31420074349442384</v>
      </c>
      <c r="AE82" s="449">
        <v>0.32</v>
      </c>
      <c r="AF82" s="449">
        <f>AH82</f>
        <v>0.32</v>
      </c>
      <c r="AG82" s="449">
        <f>AG80/AG77</f>
        <v>0.31999999999999995</v>
      </c>
      <c r="AH82" s="449">
        <f t="shared" ref="AH82" si="191">AE82</f>
        <v>0.32</v>
      </c>
      <c r="AI82" s="449">
        <f>AK82</f>
        <v>0.32100000000000001</v>
      </c>
      <c r="AJ82" s="449">
        <f>AJ80/AJ77</f>
        <v>0.32100000000000012</v>
      </c>
      <c r="AK82" s="449">
        <f>AH82+0.1%</f>
        <v>0.32100000000000001</v>
      </c>
      <c r="AL82" s="449">
        <f t="shared" ref="AL82:BI82" si="192">AI82+0.1%</f>
        <v>0.32200000000000001</v>
      </c>
      <c r="AM82" s="449">
        <f t="shared" si="192"/>
        <v>0.32200000000000012</v>
      </c>
      <c r="AN82" s="449">
        <f t="shared" si="192"/>
        <v>0.32200000000000001</v>
      </c>
      <c r="AO82" s="449">
        <f t="shared" si="192"/>
        <v>0.32300000000000001</v>
      </c>
      <c r="AP82" s="449">
        <f t="shared" si="192"/>
        <v>0.32300000000000012</v>
      </c>
      <c r="AQ82" s="449">
        <f t="shared" si="192"/>
        <v>0.32300000000000001</v>
      </c>
      <c r="AR82" s="449">
        <f t="shared" si="192"/>
        <v>0.32400000000000001</v>
      </c>
      <c r="AS82" s="449">
        <f t="shared" si="192"/>
        <v>0.32400000000000012</v>
      </c>
      <c r="AT82" s="449">
        <f t="shared" si="192"/>
        <v>0.32400000000000001</v>
      </c>
      <c r="AU82" s="449">
        <f t="shared" si="192"/>
        <v>0.32500000000000001</v>
      </c>
      <c r="AV82" s="449">
        <f t="shared" si="192"/>
        <v>0.32500000000000012</v>
      </c>
      <c r="AW82" s="449">
        <f t="shared" si="192"/>
        <v>0.32500000000000001</v>
      </c>
      <c r="AX82" s="449">
        <f t="shared" si="192"/>
        <v>0.32600000000000001</v>
      </c>
      <c r="AY82" s="449">
        <f t="shared" si="192"/>
        <v>0.32600000000000012</v>
      </c>
      <c r="AZ82" s="449">
        <f t="shared" si="192"/>
        <v>0.32600000000000001</v>
      </c>
      <c r="BA82" s="449">
        <f t="shared" si="192"/>
        <v>0.32700000000000001</v>
      </c>
      <c r="BB82" s="449">
        <f t="shared" si="192"/>
        <v>0.32700000000000012</v>
      </c>
      <c r="BC82" s="449">
        <f t="shared" si="192"/>
        <v>0.32700000000000001</v>
      </c>
      <c r="BD82" s="449">
        <f t="shared" si="192"/>
        <v>0.32800000000000001</v>
      </c>
      <c r="BE82" s="449">
        <f t="shared" si="192"/>
        <v>0.32800000000000012</v>
      </c>
      <c r="BF82" s="449">
        <f t="shared" si="192"/>
        <v>0.32800000000000001</v>
      </c>
      <c r="BG82" s="449">
        <f t="shared" si="192"/>
        <v>0.32900000000000001</v>
      </c>
      <c r="BH82" s="449">
        <f t="shared" si="192"/>
        <v>0.32900000000000013</v>
      </c>
      <c r="BI82" s="449">
        <f t="shared" si="192"/>
        <v>0.32900000000000001</v>
      </c>
      <c r="BJ82" s="341"/>
    </row>
    <row r="83" spans="1:62" s="312" customFormat="1">
      <c r="B83" s="437"/>
      <c r="C83" s="437"/>
      <c r="D83" s="402"/>
      <c r="E83" s="402"/>
      <c r="F83" s="402"/>
      <c r="G83" s="402"/>
      <c r="H83" s="402"/>
      <c r="I83" s="402"/>
      <c r="J83" s="402"/>
      <c r="K83" s="402"/>
      <c r="L83" s="402"/>
      <c r="M83" s="402"/>
      <c r="N83" s="398"/>
      <c r="O83" s="398"/>
      <c r="P83" s="402"/>
      <c r="Q83" s="398"/>
      <c r="R83" s="398"/>
      <c r="S83" s="402"/>
      <c r="T83" s="398"/>
      <c r="U83" s="398"/>
      <c r="V83" s="402"/>
      <c r="W83" s="398"/>
      <c r="X83" s="398"/>
      <c r="Y83" s="402"/>
      <c r="Z83" s="398"/>
      <c r="AA83" s="398"/>
      <c r="AB83" s="832"/>
      <c r="AC83" s="398"/>
      <c r="AD83" s="398"/>
      <c r="AE83" s="402"/>
      <c r="AF83" s="398"/>
      <c r="AG83" s="398"/>
      <c r="AH83" s="402"/>
      <c r="AI83" s="398"/>
      <c r="AJ83" s="398"/>
      <c r="AK83" s="402"/>
      <c r="AL83" s="402"/>
      <c r="AM83" s="402"/>
      <c r="AN83" s="402"/>
      <c r="AO83" s="402"/>
      <c r="AP83" s="402"/>
      <c r="AQ83" s="402"/>
      <c r="AR83" s="402"/>
      <c r="AS83" s="402"/>
      <c r="AT83" s="402"/>
      <c r="AU83" s="402"/>
      <c r="AV83" s="402"/>
      <c r="AW83" s="402"/>
      <c r="AX83" s="402"/>
      <c r="AY83" s="402"/>
      <c r="AZ83" s="402"/>
      <c r="BA83" s="402"/>
      <c r="BB83" s="402"/>
      <c r="BC83" s="402"/>
      <c r="BD83" s="402"/>
      <c r="BE83" s="402"/>
      <c r="BF83" s="402"/>
      <c r="BG83" s="402"/>
      <c r="BH83" s="402"/>
      <c r="BI83" s="402"/>
      <c r="BJ83" s="341"/>
    </row>
    <row r="84" spans="1:62" s="312" customFormat="1">
      <c r="A84" s="344" t="s">
        <v>1564</v>
      </c>
      <c r="B84" s="444">
        <v>3.2559999999999998</v>
      </c>
      <c r="C84" s="381">
        <f>+D84-B84</f>
        <v>3.3930000000000002</v>
      </c>
      <c r="D84" s="516">
        <v>6.649</v>
      </c>
      <c r="E84" s="516">
        <v>8.3510000000000009</v>
      </c>
      <c r="F84" s="407">
        <f>+G84-E84</f>
        <v>5.2649999999999988</v>
      </c>
      <c r="G84" s="516">
        <v>13.616</v>
      </c>
      <c r="H84" s="516">
        <v>10.199999999999999</v>
      </c>
      <c r="I84" s="407">
        <f>+J84-H84</f>
        <v>8.3230000000000004</v>
      </c>
      <c r="J84" s="516">
        <v>18.523</v>
      </c>
      <c r="K84" s="494">
        <v>13.308</v>
      </c>
      <c r="L84" s="403">
        <f>+M84-K84</f>
        <v>9.5919999999999987</v>
      </c>
      <c r="M84" s="494">
        <v>22.9</v>
      </c>
      <c r="N84" s="494">
        <v>15.337999999999999</v>
      </c>
      <c r="O84" s="403">
        <f>+P84-N84</f>
        <v>9.9830000000000023</v>
      </c>
      <c r="P84" s="516">
        <v>25.321000000000002</v>
      </c>
      <c r="Q84" s="516">
        <v>16.268999999999998</v>
      </c>
      <c r="R84" s="407">
        <f>S84-Q84</f>
        <v>10.894576904176912</v>
      </c>
      <c r="S84" s="407">
        <f>+S86*S77</f>
        <v>27.16357690417691</v>
      </c>
      <c r="T84" s="407">
        <f>+T86*T77</f>
        <v>12.485072676387256</v>
      </c>
      <c r="U84" s="407">
        <f>V84-T84</f>
        <v>8.9617838346692604</v>
      </c>
      <c r="V84" s="407">
        <f>+V86*V77</f>
        <v>21.446856511056517</v>
      </c>
      <c r="W84" s="407">
        <f>+W86*W77</f>
        <v>14.29400190721331</v>
      </c>
      <c r="X84" s="407">
        <f>Y84-W84</f>
        <v>8.5225167237197716</v>
      </c>
      <c r="Y84" s="407">
        <f>+Y86*Y77</f>
        <v>22.816518630933082</v>
      </c>
      <c r="Z84" s="407">
        <f>+Z86*Z77</f>
        <v>18.456577705375906</v>
      </c>
      <c r="AA84" s="407">
        <f>AB84-Z84</f>
        <v>11.7394926640204</v>
      </c>
      <c r="AB84" s="840">
        <f>+AB86*AB77</f>
        <v>30.196070369396306</v>
      </c>
      <c r="AC84" s="407">
        <f>+AC86*AC77</f>
        <v>18.264599999999998</v>
      </c>
      <c r="AD84" s="407">
        <f>AE84-AC84</f>
        <v>11.1648</v>
      </c>
      <c r="AE84" s="407">
        <f>+AE86*AE77</f>
        <v>29.429399999999998</v>
      </c>
      <c r="AF84" s="407">
        <f>+AF86*AF77</f>
        <v>19.972215000000002</v>
      </c>
      <c r="AG84" s="407">
        <f>AH84-AF84</f>
        <v>10.340066999999998</v>
      </c>
      <c r="AH84" s="407">
        <f>+AH86*AH77</f>
        <v>30.312282</v>
      </c>
      <c r="AI84" s="407">
        <f>+AI86*AI77</f>
        <v>19.244195550000001</v>
      </c>
      <c r="AJ84" s="407">
        <f>AK84-AI84</f>
        <v>12.414121349999999</v>
      </c>
      <c r="AK84" s="407">
        <f>+AK86*AK77</f>
        <v>31.658316899999999</v>
      </c>
      <c r="AL84" s="407"/>
      <c r="AM84" s="407"/>
      <c r="AN84" s="407">
        <f>+AN86*AN77</f>
        <v>33.732482490000002</v>
      </c>
      <c r="AO84" s="407"/>
      <c r="AP84" s="407"/>
      <c r="AQ84" s="407">
        <f>+AQ86*AQ77</f>
        <v>35.902605530190002</v>
      </c>
      <c r="AR84" s="407"/>
      <c r="AS84" s="407"/>
      <c r="AT84" s="407">
        <f>+AT86*AT77</f>
        <v>36.979683696095705</v>
      </c>
      <c r="AU84" s="407"/>
      <c r="AV84" s="407"/>
      <c r="AW84" s="407">
        <f>+AW86*AW77</f>
        <v>38.089074206978573</v>
      </c>
      <c r="AX84" s="407"/>
      <c r="AY84" s="407"/>
      <c r="AZ84" s="407">
        <f>+AZ86*AZ77</f>
        <v>39.231746433187936</v>
      </c>
      <c r="BA84" s="407"/>
      <c r="BB84" s="407"/>
      <c r="BC84" s="407">
        <f>+BC86*BC77</f>
        <v>40.408698826183567</v>
      </c>
      <c r="BD84" s="407"/>
      <c r="BE84" s="407"/>
      <c r="BF84" s="407">
        <f>+BF86*BF77</f>
        <v>41.620959790969081</v>
      </c>
      <c r="BG84" s="407"/>
      <c r="BH84" s="407"/>
      <c r="BI84" s="407">
        <f>+BI86*BI77</f>
        <v>42.86958858469815</v>
      </c>
      <c r="BJ84" s="324"/>
    </row>
    <row r="85" spans="1:62" s="312" customFormat="1">
      <c r="A85" s="312" t="s">
        <v>1359</v>
      </c>
      <c r="B85" s="440">
        <f>B84/5.088-1</f>
        <v>-0.36006289308176109</v>
      </c>
      <c r="C85" s="371"/>
      <c r="D85" s="397">
        <f>D84/8.583-1</f>
        <v>-0.22532913899568918</v>
      </c>
      <c r="E85" s="397">
        <f>E84/B84-1</f>
        <v>1.5648034398034403</v>
      </c>
      <c r="F85" s="397">
        <f t="shared" ref="F85:R85" si="193">F84/C84-1</f>
        <v>0.55172413793103403</v>
      </c>
      <c r="G85" s="397">
        <f>G84/D84-1</f>
        <v>1.0478267408632878</v>
      </c>
      <c r="H85" s="397">
        <f t="shared" si="193"/>
        <v>0.22141060950784319</v>
      </c>
      <c r="I85" s="397">
        <f t="shared" si="193"/>
        <v>0.58081671415004799</v>
      </c>
      <c r="J85" s="397">
        <f t="shared" si="193"/>
        <v>0.36038484136310234</v>
      </c>
      <c r="K85" s="397">
        <f t="shared" si="193"/>
        <v>0.30470588235294116</v>
      </c>
      <c r="L85" s="397">
        <f t="shared" si="193"/>
        <v>0.15246906163642904</v>
      </c>
      <c r="M85" s="397">
        <f t="shared" si="193"/>
        <v>0.23630081520272084</v>
      </c>
      <c r="N85" s="397">
        <f t="shared" si="193"/>
        <v>0.15253982566877067</v>
      </c>
      <c r="O85" s="397">
        <f t="shared" si="193"/>
        <v>4.0763135946622508E-2</v>
      </c>
      <c r="P85" s="397">
        <f t="shared" si="193"/>
        <v>0.10572052401746745</v>
      </c>
      <c r="Q85" s="397">
        <f>Q84/N84-1</f>
        <v>6.0698917720693579E-2</v>
      </c>
      <c r="R85" s="397">
        <f t="shared" si="193"/>
        <v>9.1312922385746731E-2</v>
      </c>
      <c r="S85" s="397">
        <f>S84/P84-1</f>
        <v>7.2768725728719508E-2</v>
      </c>
      <c r="T85" s="397">
        <f t="shared" ref="T85:W85" si="194">T84/Q84-1</f>
        <v>-0.23258512038925216</v>
      </c>
      <c r="U85" s="397">
        <f t="shared" si="194"/>
        <v>-0.17740873156502579</v>
      </c>
      <c r="V85" s="397">
        <f>V84/S84-1</f>
        <v>-0.21045536135711718</v>
      </c>
      <c r="W85" s="397">
        <f t="shared" si="194"/>
        <v>0.14488736090797794</v>
      </c>
      <c r="X85" s="397">
        <f t="shared" ref="X85" si="195">X84/U84-1</f>
        <v>-4.9015588754791728E-2</v>
      </c>
      <c r="Y85" s="397">
        <f>Y84/V84-1</f>
        <v>6.3863070989935711E-2</v>
      </c>
      <c r="Z85" s="397">
        <f t="shared" ref="Z85:AC85" si="196">Z84/W84-1</f>
        <v>0.29121136440187523</v>
      </c>
      <c r="AA85" s="397">
        <f t="shared" si="196"/>
        <v>0.37746783545137297</v>
      </c>
      <c r="AB85" s="828">
        <f>AB84/Y84-1</f>
        <v>0.32343022429629253</v>
      </c>
      <c r="AC85" s="397">
        <f t="shared" si="196"/>
        <v>-1.0401587360369113E-2</v>
      </c>
      <c r="AD85" s="397">
        <f t="shared" ref="AD85" si="197">AD84/AA84-1</f>
        <v>-4.8953790463342473E-2</v>
      </c>
      <c r="AE85" s="397">
        <f>AE84/AB84-1</f>
        <v>-2.5389739791218946E-2</v>
      </c>
      <c r="AF85" s="397">
        <f t="shared" ref="AF85" si="198">AF84/AC84-1</f>
        <v>9.3493150684931692E-2</v>
      </c>
      <c r="AG85" s="397">
        <f t="shared" ref="AG85" si="199">AG84/AD84-1</f>
        <v>-7.3869034823731861E-2</v>
      </c>
      <c r="AH85" s="397">
        <f>AH84/AE84-1</f>
        <v>3.0000000000000027E-2</v>
      </c>
      <c r="AI85" s="397">
        <f t="shared" ref="AI85" si="200">AI84/AF84-1</f>
        <v>-3.645161290322585E-2</v>
      </c>
      <c r="AJ85" s="397">
        <f t="shared" ref="AJ85" si="201">AJ84/AG84-1</f>
        <v>0.2005842273555869</v>
      </c>
      <c r="AK85" s="397">
        <f>AK84/AH84-1</f>
        <v>4.4405594405594329E-2</v>
      </c>
      <c r="AL85" s="397"/>
      <c r="AM85" s="397"/>
      <c r="AN85" s="397">
        <f>AN84/AK84-1</f>
        <v>6.5517241379310365E-2</v>
      </c>
      <c r="AO85" s="397"/>
      <c r="AP85" s="397"/>
      <c r="AQ85" s="397">
        <f>AQ84/AN84-1</f>
        <v>6.4333333333333353E-2</v>
      </c>
      <c r="AR85" s="397"/>
      <c r="AS85" s="397"/>
      <c r="AT85" s="397">
        <f>AT84/AQ84-1</f>
        <v>3.0000000000000027E-2</v>
      </c>
      <c r="AU85" s="397"/>
      <c r="AV85" s="397"/>
      <c r="AW85" s="397">
        <f>AW84/AT84-1</f>
        <v>2.9999999999999805E-2</v>
      </c>
      <c r="AX85" s="397"/>
      <c r="AY85" s="397"/>
      <c r="AZ85" s="397">
        <f>AZ84/AW84-1</f>
        <v>3.0000000000000249E-2</v>
      </c>
      <c r="BA85" s="397"/>
      <c r="BB85" s="397"/>
      <c r="BC85" s="397">
        <f>BC84/AZ84-1</f>
        <v>2.9999999999999805E-2</v>
      </c>
      <c r="BD85" s="397"/>
      <c r="BE85" s="397"/>
      <c r="BF85" s="397">
        <f>BF84/BC84-1</f>
        <v>3.0000000000000249E-2</v>
      </c>
      <c r="BG85" s="397"/>
      <c r="BH85" s="397"/>
      <c r="BI85" s="397">
        <f t="shared" ref="BI85" si="202">BI84/BF84-1</f>
        <v>2.9999999999999805E-2</v>
      </c>
      <c r="BJ85" s="336"/>
    </row>
    <row r="86" spans="1:62" s="312" customFormat="1">
      <c r="A86" s="312" t="s">
        <v>1551</v>
      </c>
      <c r="B86" s="437">
        <f t="shared" ref="B86:P86" si="203">+B84/B77</f>
        <v>4.3797584138172231E-2</v>
      </c>
      <c r="C86" s="437">
        <f t="shared" si="203"/>
        <v>5.4882487100270133E-2</v>
      </c>
      <c r="D86" s="402">
        <f t="shared" si="203"/>
        <v>4.8830463041163299E-2</v>
      </c>
      <c r="E86" s="402">
        <f t="shared" si="203"/>
        <v>0.11560877690870078</v>
      </c>
      <c r="F86" s="402">
        <f t="shared" si="203"/>
        <v>9.890667267808835E-2</v>
      </c>
      <c r="G86" s="402">
        <f t="shared" si="203"/>
        <v>0.10852255971689767</v>
      </c>
      <c r="H86" s="402">
        <f t="shared" si="203"/>
        <v>0.12104526143403031</v>
      </c>
      <c r="I86" s="402">
        <f t="shared" si="203"/>
        <v>0.13057529690466105</v>
      </c>
      <c r="J86" s="402">
        <f t="shared" si="203"/>
        <v>0.12514948617295127</v>
      </c>
      <c r="K86" s="402">
        <f t="shared" si="203"/>
        <v>0.12161865769849392</v>
      </c>
      <c r="L86" s="402">
        <f t="shared" si="203"/>
        <v>0.12232977515909756</v>
      </c>
      <c r="M86" s="402">
        <f t="shared" si="203"/>
        <v>0.1219155109537626</v>
      </c>
      <c r="N86" s="402">
        <f t="shared" si="203"/>
        <v>0.12989278636879456</v>
      </c>
      <c r="O86" s="402">
        <f t="shared" si="203"/>
        <v>0.11687232199302257</v>
      </c>
      <c r="P86" s="402">
        <f t="shared" si="203"/>
        <v>0.12442751842751844</v>
      </c>
      <c r="Q86" s="402">
        <f>Q84/Q77</f>
        <v>0.11242484969939878</v>
      </c>
      <c r="R86" s="402">
        <f>+R84/R77</f>
        <v>0.11445085517572132</v>
      </c>
      <c r="S86" s="402">
        <f>P86+(S82-P82)</f>
        <v>0.11322874907952026</v>
      </c>
      <c r="T86" s="402">
        <f>Q86+(T82-Q82)</f>
        <v>0.10621706674482748</v>
      </c>
      <c r="U86" s="397">
        <f>R86+(U82-R82)</f>
        <v>0.10905196326935454</v>
      </c>
      <c r="V86" s="402">
        <f>S86+(V82-S82)</f>
        <v>0.10761092077800559</v>
      </c>
      <c r="W86" s="402">
        <f t="shared" ref="W86:X86" si="204">T86+1%</f>
        <v>0.11621706674482747</v>
      </c>
      <c r="X86" s="397">
        <f t="shared" si="204"/>
        <v>0.11905196326935454</v>
      </c>
      <c r="Y86" s="402">
        <f>V86+1%</f>
        <v>0.11761092077800558</v>
      </c>
      <c r="Z86" s="1146">
        <f>AB86</f>
        <v>0.1540615835173281</v>
      </c>
      <c r="AA86" s="397">
        <f t="shared" ref="AA86" si="205">X86+1%</f>
        <v>0.12905196326935453</v>
      </c>
      <c r="AB86" s="832">
        <f>Y86+(AB82-Y82)</f>
        <v>0.1540615835173281</v>
      </c>
      <c r="AC86" s="1146">
        <v>0.14599999999999999</v>
      </c>
      <c r="AD86" s="449">
        <f>AD84/AD77</f>
        <v>0.13834944237918212</v>
      </c>
      <c r="AE86" s="449">
        <v>0.14299999999999999</v>
      </c>
      <c r="AF86" s="449">
        <v>0.155</v>
      </c>
      <c r="AG86" s="449">
        <f>AG84/AG77</f>
        <v>0.12439776951672858</v>
      </c>
      <c r="AH86" s="449">
        <v>0.14299999999999999</v>
      </c>
      <c r="AI86" s="449">
        <f>AK86</f>
        <v>0.14499999999999999</v>
      </c>
      <c r="AJ86" s="449">
        <f>AJ84/AJ77</f>
        <v>0.14499999999999996</v>
      </c>
      <c r="AK86" s="449">
        <f>AH86+0.2%</f>
        <v>0.14499999999999999</v>
      </c>
      <c r="AL86" s="449"/>
      <c r="AM86" s="449"/>
      <c r="AN86" s="449">
        <f>AK86+0.5%</f>
        <v>0.15</v>
      </c>
      <c r="AO86" s="449"/>
      <c r="AP86" s="449"/>
      <c r="AQ86" s="449">
        <f t="shared" ref="AQ86" si="206">AN86+0.5%</f>
        <v>0.155</v>
      </c>
      <c r="AR86" s="449"/>
      <c r="AS86" s="449"/>
      <c r="AT86" s="449">
        <f>AQ86</f>
        <v>0.155</v>
      </c>
      <c r="AU86" s="449"/>
      <c r="AV86" s="449"/>
      <c r="AW86" s="449">
        <f>AT86</f>
        <v>0.155</v>
      </c>
      <c r="AX86" s="449"/>
      <c r="AY86" s="449"/>
      <c r="AZ86" s="449">
        <f>AW86</f>
        <v>0.155</v>
      </c>
      <c r="BA86" s="449"/>
      <c r="BB86" s="449"/>
      <c r="BC86" s="449">
        <f>AZ86</f>
        <v>0.155</v>
      </c>
      <c r="BD86" s="449"/>
      <c r="BE86" s="449"/>
      <c r="BF86" s="449">
        <f>BC86</f>
        <v>0.155</v>
      </c>
      <c r="BG86" s="449"/>
      <c r="BH86" s="449"/>
      <c r="BI86" s="449">
        <f t="shared" ref="BI86" si="207">BF86</f>
        <v>0.155</v>
      </c>
      <c r="BJ86" s="341"/>
    </row>
    <row r="87" spans="1:62" s="312" customFormat="1">
      <c r="B87" s="437"/>
      <c r="C87" s="437"/>
      <c r="D87" s="402"/>
      <c r="E87" s="402"/>
      <c r="F87" s="402"/>
      <c r="G87" s="402"/>
      <c r="H87" s="402"/>
      <c r="I87" s="402"/>
      <c r="J87" s="402"/>
      <c r="K87" s="402"/>
      <c r="L87" s="402"/>
      <c r="M87" s="402"/>
      <c r="N87" s="398">
        <f>+N84/P84</f>
        <v>0.60574226926266728</v>
      </c>
      <c r="O87" s="398">
        <f>+O84/P84</f>
        <v>0.39425773073733272</v>
      </c>
      <c r="P87" s="402"/>
      <c r="Q87" s="398">
        <f>+Q84/S84</f>
        <v>0.59892701382410107</v>
      </c>
      <c r="R87" s="398">
        <f>+R84/S84</f>
        <v>0.40107298617589887</v>
      </c>
      <c r="S87" s="402"/>
      <c r="T87" s="398">
        <f>+T84/V84</f>
        <v>0.58213998261007693</v>
      </c>
      <c r="U87" s="398">
        <f>+U84/V84</f>
        <v>0.41786001738992307</v>
      </c>
      <c r="V87" s="402"/>
      <c r="W87" s="398"/>
      <c r="X87" s="398"/>
      <c r="Y87" s="402"/>
      <c r="Z87" s="398"/>
      <c r="AA87" s="398"/>
      <c r="AB87" s="832"/>
      <c r="AC87" s="398">
        <f>+AC84/AE84</f>
        <v>0.62062427368549811</v>
      </c>
      <c r="AD87" s="398">
        <f>+AD84/AE84</f>
        <v>0.37937572631450184</v>
      </c>
      <c r="AE87" s="402"/>
      <c r="AF87" s="398">
        <f>+AF84/AH84</f>
        <v>0.6588819343921386</v>
      </c>
      <c r="AG87" s="398">
        <f>+AG84/AH84</f>
        <v>0.34111806560786145</v>
      </c>
      <c r="AH87" s="402"/>
      <c r="AI87" s="398">
        <f>+AI84/AK84</f>
        <v>0.60787172011661816</v>
      </c>
      <c r="AJ87" s="398">
        <f>+AJ84/AK84</f>
        <v>0.39212827988338189</v>
      </c>
      <c r="AK87" s="402"/>
      <c r="AL87" s="402"/>
      <c r="AM87" s="402"/>
      <c r="AN87" s="402"/>
      <c r="AO87" s="402"/>
      <c r="AP87" s="402"/>
      <c r="AQ87" s="402"/>
      <c r="AR87" s="402"/>
      <c r="AS87" s="402"/>
      <c r="AT87" s="402"/>
      <c r="AU87" s="402"/>
      <c r="AV87" s="402"/>
      <c r="AW87" s="402"/>
      <c r="AX87" s="402"/>
      <c r="AY87" s="402"/>
      <c r="AZ87" s="402"/>
      <c r="BA87" s="402"/>
      <c r="BB87" s="402"/>
      <c r="BC87" s="402"/>
      <c r="BD87" s="402"/>
      <c r="BE87" s="402"/>
      <c r="BF87" s="402"/>
      <c r="BG87" s="402"/>
      <c r="BH87" s="402"/>
      <c r="BI87" s="402"/>
      <c r="BJ87" s="341"/>
    </row>
    <row r="88" spans="1:62" s="1006" customFormat="1">
      <c r="A88" s="1004" t="s">
        <v>1841</v>
      </c>
      <c r="D88" s="1007"/>
      <c r="E88" s="1007"/>
      <c r="F88" s="1007"/>
      <c r="G88" s="1007"/>
      <c r="H88" s="1007"/>
      <c r="I88" s="1007"/>
      <c r="J88" s="1007"/>
      <c r="K88" s="1007"/>
      <c r="L88" s="1007"/>
      <c r="M88" s="1007"/>
      <c r="N88" s="1007"/>
      <c r="O88" s="1007"/>
      <c r="P88" s="1007"/>
      <c r="Q88" s="1007"/>
      <c r="R88" s="1007"/>
      <c r="S88" s="1007"/>
      <c r="T88" s="1007"/>
      <c r="U88" s="1007"/>
      <c r="V88" s="1007"/>
      <c r="W88" s="1007"/>
      <c r="X88" s="1007"/>
      <c r="Y88" s="1007"/>
      <c r="Z88" s="1007"/>
      <c r="AA88" s="1007"/>
      <c r="AB88" s="1008"/>
      <c r="AC88" s="1007"/>
      <c r="AD88" s="1007"/>
      <c r="AE88" s="1007"/>
      <c r="AF88" s="1007"/>
      <c r="AG88" s="1007"/>
      <c r="AH88" s="1007"/>
      <c r="AI88" s="1007"/>
      <c r="AJ88" s="1007"/>
      <c r="AK88" s="1007"/>
      <c r="AL88" s="1007"/>
      <c r="AM88" s="1007"/>
      <c r="AN88" s="1007"/>
      <c r="AO88" s="1007"/>
      <c r="AP88" s="1007"/>
      <c r="AQ88" s="1007"/>
      <c r="AR88" s="1007"/>
      <c r="AS88" s="1007"/>
      <c r="AT88" s="1007"/>
      <c r="AU88" s="1007"/>
      <c r="AV88" s="1007"/>
      <c r="AW88" s="1007"/>
      <c r="AX88" s="1007"/>
      <c r="AY88" s="1007"/>
      <c r="AZ88" s="1007"/>
      <c r="BA88" s="1007"/>
      <c r="BB88" s="1007"/>
      <c r="BC88" s="1007"/>
      <c r="BD88" s="1007"/>
      <c r="BE88" s="1007"/>
      <c r="BF88" s="1007"/>
      <c r="BG88" s="1007"/>
      <c r="BH88" s="1007"/>
      <c r="BI88" s="1007"/>
      <c r="BJ88" s="1009"/>
    </row>
    <row r="89" spans="1:62" s="312" customFormat="1">
      <c r="A89" s="344" t="s">
        <v>1790</v>
      </c>
      <c r="B89" s="435"/>
      <c r="C89" s="435"/>
      <c r="D89" s="397"/>
      <c r="E89" s="398"/>
      <c r="F89" s="398"/>
      <c r="G89" s="408"/>
      <c r="H89" s="398"/>
      <c r="I89" s="398"/>
      <c r="J89" s="408"/>
      <c r="K89" s="398"/>
      <c r="L89" s="398"/>
      <c r="M89" s="397"/>
      <c r="N89" s="398"/>
      <c r="O89" s="398"/>
      <c r="P89" s="397"/>
      <c r="Q89" s="398"/>
      <c r="R89" s="398"/>
      <c r="S89" s="397"/>
      <c r="T89" s="397"/>
      <c r="U89" s="398"/>
      <c r="V89" s="397"/>
      <c r="W89" s="397"/>
      <c r="X89" s="398"/>
      <c r="Y89" s="397"/>
      <c r="Z89" s="397"/>
      <c r="AA89" s="398"/>
      <c r="AB89" s="828"/>
      <c r="AC89" s="397">
        <f>AE89*0.4</f>
        <v>0</v>
      </c>
      <c r="AD89" s="400">
        <f>AE89-AC89</f>
        <v>0</v>
      </c>
      <c r="AE89" s="403"/>
      <c r="AF89" s="400">
        <f>AH89*0.4</f>
        <v>16</v>
      </c>
      <c r="AG89" s="400">
        <f>AH89-AF89</f>
        <v>24</v>
      </c>
      <c r="AH89" s="406">
        <v>40</v>
      </c>
      <c r="AI89" s="400">
        <f>AK89*0.4</f>
        <v>24</v>
      </c>
      <c r="AJ89" s="400">
        <f>AK89-AI89</f>
        <v>36</v>
      </c>
      <c r="AK89" s="406">
        <v>60</v>
      </c>
      <c r="AL89" s="406"/>
      <c r="AM89" s="406"/>
      <c r="AN89" s="406">
        <v>80</v>
      </c>
      <c r="AO89" s="406"/>
      <c r="AP89" s="406"/>
      <c r="AQ89" s="406">
        <f>AN89*(1+AQ90)</f>
        <v>92</v>
      </c>
      <c r="AR89" s="406"/>
      <c r="AS89" s="406"/>
      <c r="AT89" s="406">
        <f>AQ89*(1+AT90)</f>
        <v>101.2</v>
      </c>
      <c r="AU89" s="406"/>
      <c r="AV89" s="406"/>
      <c r="AW89" s="406">
        <f>AT89*(1+AW90)</f>
        <v>111.32000000000001</v>
      </c>
      <c r="AX89" s="406"/>
      <c r="AY89" s="406"/>
      <c r="AZ89" s="406">
        <f>AW89*(1+AZ90)</f>
        <v>122.45200000000001</v>
      </c>
      <c r="BA89" s="406"/>
      <c r="BB89" s="406"/>
      <c r="BC89" s="406">
        <f>AZ89*(1+BC90)</f>
        <v>134.69720000000004</v>
      </c>
      <c r="BD89" s="406"/>
      <c r="BE89" s="406"/>
      <c r="BF89" s="406">
        <f>BC89*(1+BF90)</f>
        <v>148.16692000000006</v>
      </c>
      <c r="BG89" s="406"/>
      <c r="BH89" s="406"/>
      <c r="BI89" s="406">
        <f t="shared" ref="BI89" si="208">BF89*(1+BI90)</f>
        <v>162.98361200000008</v>
      </c>
      <c r="BJ89" s="336"/>
    </row>
    <row r="90" spans="1:62" s="312" customFormat="1">
      <c r="A90" s="312" t="s">
        <v>1571</v>
      </c>
      <c r="B90" s="435"/>
      <c r="C90" s="435"/>
      <c r="D90" s="397"/>
      <c r="E90" s="398"/>
      <c r="F90" s="398"/>
      <c r="G90" s="408"/>
      <c r="H90" s="398"/>
      <c r="I90" s="398"/>
      <c r="J90" s="408"/>
      <c r="K90" s="398"/>
      <c r="L90" s="398"/>
      <c r="M90" s="397"/>
      <c r="N90" s="398"/>
      <c r="O90" s="398"/>
      <c r="P90" s="397"/>
      <c r="Q90" s="398"/>
      <c r="R90" s="398"/>
      <c r="S90" s="397"/>
      <c r="T90" s="397"/>
      <c r="U90" s="398"/>
      <c r="V90" s="397"/>
      <c r="W90" s="397"/>
      <c r="X90" s="398"/>
      <c r="Y90" s="397"/>
      <c r="Z90" s="397"/>
      <c r="AA90" s="398"/>
      <c r="AB90" s="828"/>
      <c r="AC90" s="397"/>
      <c r="AD90" s="398"/>
      <c r="AE90" s="520"/>
      <c r="AF90" s="397"/>
      <c r="AG90" s="398"/>
      <c r="AH90" s="449"/>
      <c r="AI90" s="397"/>
      <c r="AJ90" s="398"/>
      <c r="AK90" s="449"/>
      <c r="AL90" s="449"/>
      <c r="AM90" s="449"/>
      <c r="AN90" s="449"/>
      <c r="AO90" s="449"/>
      <c r="AP90" s="449"/>
      <c r="AQ90" s="449">
        <v>0.15</v>
      </c>
      <c r="AR90" s="449"/>
      <c r="AS90" s="449"/>
      <c r="AT90" s="449">
        <v>0.1</v>
      </c>
      <c r="AU90" s="449"/>
      <c r="AV90" s="449"/>
      <c r="AW90" s="449">
        <v>0.1</v>
      </c>
      <c r="AX90" s="449"/>
      <c r="AY90" s="449"/>
      <c r="AZ90" s="449">
        <v>0.1</v>
      </c>
      <c r="BA90" s="449"/>
      <c r="BB90" s="449"/>
      <c r="BC90" s="449">
        <v>0.1</v>
      </c>
      <c r="BD90" s="449"/>
      <c r="BE90" s="449"/>
      <c r="BF90" s="449">
        <v>0.1</v>
      </c>
      <c r="BG90" s="449"/>
      <c r="BH90" s="449"/>
      <c r="BI90" s="449">
        <v>0.1</v>
      </c>
      <c r="BJ90" s="336"/>
    </row>
    <row r="91" spans="1:62" s="312" customFormat="1">
      <c r="A91" s="335" t="s">
        <v>1788</v>
      </c>
      <c r="B91" s="435"/>
      <c r="C91" s="435"/>
      <c r="D91" s="397"/>
      <c r="E91" s="398"/>
      <c r="F91" s="398"/>
      <c r="G91" s="408"/>
      <c r="H91" s="398"/>
      <c r="I91" s="398"/>
      <c r="J91" s="408"/>
      <c r="K91" s="398"/>
      <c r="L91" s="398"/>
      <c r="M91" s="397"/>
      <c r="N91" s="398"/>
      <c r="O91" s="398"/>
      <c r="P91" s="397"/>
      <c r="Q91" s="398"/>
      <c r="R91" s="398"/>
      <c r="S91" s="397"/>
      <c r="T91" s="397"/>
      <c r="U91" s="398"/>
      <c r="V91" s="397"/>
      <c r="W91" s="397"/>
      <c r="X91" s="398"/>
      <c r="Y91" s="397"/>
      <c r="Z91" s="397"/>
      <c r="AA91" s="398"/>
      <c r="AB91" s="828"/>
      <c r="AC91" s="397"/>
      <c r="AD91" s="398"/>
      <c r="AE91" s="397"/>
      <c r="AF91" s="397"/>
      <c r="AG91" s="398"/>
      <c r="AH91" s="397">
        <f>AH89/AH58</f>
        <v>2.2412631024171629E-2</v>
      </c>
      <c r="AI91" s="397"/>
      <c r="AJ91" s="398"/>
      <c r="AK91" s="397">
        <f>AK89/AK58</f>
        <v>3.0389556968043352E-2</v>
      </c>
      <c r="AL91" s="397"/>
      <c r="AM91" s="397"/>
      <c r="AN91" s="397">
        <f>AN89/AN58</f>
        <v>3.6552231680819808E-2</v>
      </c>
      <c r="AO91" s="397"/>
      <c r="AP91" s="397"/>
      <c r="AQ91" s="397">
        <f>AQ89/AQ58</f>
        <v>3.7836333774871285E-2</v>
      </c>
      <c r="AR91" s="397"/>
      <c r="AS91" s="397"/>
      <c r="AT91" s="397">
        <f>AT89/AT58</f>
        <v>3.7449705329997147E-2</v>
      </c>
      <c r="AU91" s="397"/>
      <c r="AV91" s="397"/>
      <c r="AW91" s="397">
        <f>AW89/AW58</f>
        <v>3.7053861947558608E-2</v>
      </c>
      <c r="AX91" s="397"/>
      <c r="AY91" s="397"/>
      <c r="AZ91" s="397">
        <f>AZ89/AZ58</f>
        <v>3.6648875220756112E-2</v>
      </c>
      <c r="BA91" s="397"/>
      <c r="BB91" s="397"/>
      <c r="BC91" s="397">
        <f>BC89/BC58</f>
        <v>3.623483856076283E-2</v>
      </c>
      <c r="BD91" s="397"/>
      <c r="BE91" s="397"/>
      <c r="BF91" s="397">
        <f>BF89/BF58</f>
        <v>3.5811867869740534E-2</v>
      </c>
      <c r="BG91" s="397"/>
      <c r="BH91" s="397"/>
      <c r="BI91" s="397">
        <f>BI89/BI58</f>
        <v>3.5380102127020766E-2</v>
      </c>
      <c r="BJ91" s="336"/>
    </row>
    <row r="92" spans="1:62" s="312" customFormat="1">
      <c r="A92" s="335"/>
      <c r="B92" s="435"/>
      <c r="C92" s="435"/>
      <c r="D92" s="397"/>
      <c r="E92" s="398"/>
      <c r="F92" s="398"/>
      <c r="G92" s="408"/>
      <c r="H92" s="398"/>
      <c r="I92" s="398"/>
      <c r="J92" s="408"/>
      <c r="K92" s="398"/>
      <c r="L92" s="398"/>
      <c r="M92" s="397"/>
      <c r="N92" s="398"/>
      <c r="O92" s="398"/>
      <c r="P92" s="397"/>
      <c r="Q92" s="398"/>
      <c r="R92" s="398"/>
      <c r="S92" s="397"/>
      <c r="T92" s="397"/>
      <c r="U92" s="398"/>
      <c r="V92" s="397"/>
      <c r="W92" s="397"/>
      <c r="X92" s="398"/>
      <c r="Y92" s="397"/>
      <c r="Z92" s="397"/>
      <c r="AA92" s="398"/>
      <c r="AB92" s="828"/>
      <c r="AC92" s="397"/>
      <c r="AD92" s="398"/>
      <c r="AE92" s="397"/>
      <c r="AF92" s="397"/>
      <c r="AG92" s="398"/>
      <c r="AH92" s="397"/>
      <c r="AI92" s="397"/>
      <c r="AJ92" s="398"/>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97"/>
      <c r="BJ92" s="336"/>
    </row>
    <row r="93" spans="1:62" s="312" customFormat="1">
      <c r="A93" s="344" t="s">
        <v>1897</v>
      </c>
      <c r="B93" s="444"/>
      <c r="C93" s="381"/>
      <c r="D93" s="516"/>
      <c r="E93" s="516"/>
      <c r="F93" s="407"/>
      <c r="G93" s="516"/>
      <c r="H93" s="516"/>
      <c r="I93" s="407"/>
      <c r="J93" s="516"/>
      <c r="K93" s="494"/>
      <c r="L93" s="403"/>
      <c r="M93" s="494"/>
      <c r="N93" s="494"/>
      <c r="O93" s="403"/>
      <c r="P93" s="516"/>
      <c r="Q93" s="516"/>
      <c r="R93" s="407"/>
      <c r="S93" s="407"/>
      <c r="T93" s="407"/>
      <c r="U93" s="407"/>
      <c r="V93" s="407"/>
      <c r="W93" s="407"/>
      <c r="X93" s="407"/>
      <c r="Y93" s="407"/>
      <c r="Z93" s="407"/>
      <c r="AA93" s="407"/>
      <c r="AB93" s="840"/>
      <c r="AC93" s="407"/>
      <c r="AD93" s="407"/>
      <c r="AE93" s="407"/>
      <c r="AF93" s="407">
        <f>AF89*AF95</f>
        <v>7.2</v>
      </c>
      <c r="AG93" s="407">
        <f t="shared" ref="AG93" si="209">AG89*AG95</f>
        <v>10.8</v>
      </c>
      <c r="AH93" s="407">
        <f t="shared" ref="AH93:BF93" si="210">AH89*AH95</f>
        <v>17</v>
      </c>
      <c r="AI93" s="407">
        <f>AI89*AI95</f>
        <v>10.8</v>
      </c>
      <c r="AJ93" s="407">
        <f t="shared" ref="AJ93" si="211">AJ89*AJ95</f>
        <v>16.560000000000002</v>
      </c>
      <c r="AK93" s="407">
        <f t="shared" si="210"/>
        <v>27</v>
      </c>
      <c r="AL93" s="407"/>
      <c r="AM93" s="407"/>
      <c r="AN93" s="407">
        <f t="shared" si="210"/>
        <v>36</v>
      </c>
      <c r="AO93" s="407"/>
      <c r="AP93" s="407"/>
      <c r="AQ93" s="407">
        <f t="shared" si="210"/>
        <v>41.4</v>
      </c>
      <c r="AR93" s="407"/>
      <c r="AS93" s="407"/>
      <c r="AT93" s="407">
        <f t="shared" si="210"/>
        <v>46.552000000000007</v>
      </c>
      <c r="AU93" s="407"/>
      <c r="AV93" s="407"/>
      <c r="AW93" s="407">
        <f t="shared" si="210"/>
        <v>52.320400000000006</v>
      </c>
      <c r="AX93" s="407"/>
      <c r="AY93" s="407"/>
      <c r="AZ93" s="407">
        <f t="shared" si="210"/>
        <v>58.77696000000001</v>
      </c>
      <c r="BA93" s="407"/>
      <c r="BB93" s="407"/>
      <c r="BC93" s="407">
        <f t="shared" si="210"/>
        <v>66.001628000000025</v>
      </c>
      <c r="BD93" s="407"/>
      <c r="BE93" s="407"/>
      <c r="BF93" s="407">
        <f t="shared" si="210"/>
        <v>74.083460000000031</v>
      </c>
      <c r="BG93" s="407"/>
      <c r="BH93" s="407"/>
      <c r="BI93" s="407">
        <f>BI89*BI95</f>
        <v>81.491806000000039</v>
      </c>
      <c r="BJ93" s="324"/>
    </row>
    <row r="94" spans="1:62" s="312" customFormat="1">
      <c r="A94" s="312" t="s">
        <v>1359</v>
      </c>
      <c r="B94" s="440"/>
      <c r="C94" s="371"/>
      <c r="D94" s="397"/>
      <c r="E94" s="397"/>
      <c r="F94" s="397"/>
      <c r="G94" s="397"/>
      <c r="H94" s="397"/>
      <c r="I94" s="397"/>
      <c r="J94" s="397"/>
      <c r="K94" s="397"/>
      <c r="L94" s="397"/>
      <c r="M94" s="397"/>
      <c r="N94" s="397"/>
      <c r="O94" s="397"/>
      <c r="P94" s="397"/>
      <c r="Q94" s="397"/>
      <c r="R94" s="397"/>
      <c r="S94" s="397"/>
      <c r="T94" s="397"/>
      <c r="U94" s="397"/>
      <c r="V94" s="397"/>
      <c r="W94" s="397"/>
      <c r="X94" s="397"/>
      <c r="Y94" s="397"/>
      <c r="Z94" s="397"/>
      <c r="AA94" s="397"/>
      <c r="AB94" s="828"/>
      <c r="AC94" s="397"/>
      <c r="AD94" s="397"/>
      <c r="AE94" s="397"/>
      <c r="AF94" s="397"/>
      <c r="AG94" s="397"/>
      <c r="AH94" s="397" t="e">
        <f t="shared" ref="AH94" si="212">AH93/AE93-1</f>
        <v>#DIV/0!</v>
      </c>
      <c r="AI94" s="397"/>
      <c r="AJ94" s="397"/>
      <c r="AK94" s="397">
        <f>AK93/AH93-1</f>
        <v>0.58823529411764697</v>
      </c>
      <c r="AL94" s="397"/>
      <c r="AM94" s="397"/>
      <c r="AN94" s="397">
        <f t="shared" ref="AN94" si="213">AN93/AK93-1</f>
        <v>0.33333333333333326</v>
      </c>
      <c r="AO94" s="397"/>
      <c r="AP94" s="397"/>
      <c r="AQ94" s="397">
        <f t="shared" ref="AQ94" si="214">AQ93/AN93-1</f>
        <v>0.14999999999999991</v>
      </c>
      <c r="AR94" s="397"/>
      <c r="AS94" s="397"/>
      <c r="AT94" s="397">
        <f t="shared" ref="AT94" si="215">AT93/AQ93-1</f>
        <v>0.12444444444444458</v>
      </c>
      <c r="AU94" s="397"/>
      <c r="AV94" s="397"/>
      <c r="AW94" s="397">
        <f t="shared" ref="AW94" si="216">AW93/AT93-1</f>
        <v>0.12391304347826093</v>
      </c>
      <c r="AX94" s="397"/>
      <c r="AY94" s="397"/>
      <c r="AZ94" s="397">
        <f t="shared" ref="AZ94" si="217">AZ93/AW93-1</f>
        <v>0.123404255319149</v>
      </c>
      <c r="BA94" s="397"/>
      <c r="BB94" s="397"/>
      <c r="BC94" s="397">
        <f t="shared" ref="BC94" si="218">BC93/AZ93-1</f>
        <v>0.12291666666666701</v>
      </c>
      <c r="BD94" s="397"/>
      <c r="BE94" s="397"/>
      <c r="BF94" s="397">
        <f>BF93/BC93-1</f>
        <v>0.12244897959183687</v>
      </c>
      <c r="BG94" s="397"/>
      <c r="BH94" s="397"/>
      <c r="BI94" s="397">
        <f t="shared" ref="BI94" si="219">BI93/BF93-1</f>
        <v>0.10000000000000009</v>
      </c>
      <c r="BJ94" s="336"/>
    </row>
    <row r="95" spans="1:62" s="312" customFormat="1">
      <c r="A95" s="312" t="s">
        <v>1595</v>
      </c>
      <c r="B95" s="437"/>
      <c r="C95" s="437"/>
      <c r="D95" s="402"/>
      <c r="E95" s="402"/>
      <c r="F95" s="402"/>
      <c r="G95" s="402"/>
      <c r="H95" s="402"/>
      <c r="I95" s="402"/>
      <c r="J95" s="402"/>
      <c r="K95" s="402"/>
      <c r="L95" s="402"/>
      <c r="M95" s="402"/>
      <c r="N95" s="402"/>
      <c r="O95" s="402"/>
      <c r="P95" s="402"/>
      <c r="Q95" s="402"/>
      <c r="R95" s="402"/>
      <c r="S95" s="520"/>
      <c r="T95" s="520"/>
      <c r="U95" s="520"/>
      <c r="V95" s="520"/>
      <c r="W95" s="520"/>
      <c r="X95" s="520"/>
      <c r="Y95" s="520"/>
      <c r="Z95" s="520"/>
      <c r="AA95" s="520"/>
      <c r="AB95" s="874"/>
      <c r="AC95" s="520"/>
      <c r="AD95" s="449"/>
      <c r="AE95" s="520"/>
      <c r="AF95" s="449">
        <v>0.45</v>
      </c>
      <c r="AG95" s="449">
        <f>AQ95</f>
        <v>0.45</v>
      </c>
      <c r="AH95" s="449">
        <v>0.42499999999999999</v>
      </c>
      <c r="AI95" s="449">
        <f>AK95</f>
        <v>0.45</v>
      </c>
      <c r="AJ95" s="449">
        <f>AT95</f>
        <v>0.46</v>
      </c>
      <c r="AK95" s="449">
        <v>0.45</v>
      </c>
      <c r="AL95" s="449">
        <v>0.45</v>
      </c>
      <c r="AM95" s="449">
        <v>0.45</v>
      </c>
      <c r="AN95" s="449">
        <v>0.45</v>
      </c>
      <c r="AO95" s="449">
        <v>0.45</v>
      </c>
      <c r="AP95" s="449">
        <v>0.45</v>
      </c>
      <c r="AQ95" s="449">
        <v>0.45</v>
      </c>
      <c r="AR95" s="449">
        <v>0.45</v>
      </c>
      <c r="AS95" s="449">
        <v>0.45</v>
      </c>
      <c r="AT95" s="449">
        <f>AQ95+1%</f>
        <v>0.46</v>
      </c>
      <c r="AU95" s="449">
        <f t="shared" ref="AU95:BH95" si="220">AR95+1%</f>
        <v>0.46</v>
      </c>
      <c r="AV95" s="449">
        <f t="shared" si="220"/>
        <v>0.46</v>
      </c>
      <c r="AW95" s="449">
        <f t="shared" si="220"/>
        <v>0.47000000000000003</v>
      </c>
      <c r="AX95" s="449">
        <f t="shared" si="220"/>
        <v>0.47000000000000003</v>
      </c>
      <c r="AY95" s="449">
        <f t="shared" si="220"/>
        <v>0.47000000000000003</v>
      </c>
      <c r="AZ95" s="449">
        <f t="shared" si="220"/>
        <v>0.48000000000000004</v>
      </c>
      <c r="BA95" s="449">
        <f t="shared" si="220"/>
        <v>0.48000000000000004</v>
      </c>
      <c r="BB95" s="449">
        <f t="shared" si="220"/>
        <v>0.48000000000000004</v>
      </c>
      <c r="BC95" s="449">
        <f t="shared" si="220"/>
        <v>0.49000000000000005</v>
      </c>
      <c r="BD95" s="449">
        <f t="shared" si="220"/>
        <v>0.49000000000000005</v>
      </c>
      <c r="BE95" s="449">
        <f t="shared" si="220"/>
        <v>0.49000000000000005</v>
      </c>
      <c r="BF95" s="449">
        <f t="shared" si="220"/>
        <v>0.5</v>
      </c>
      <c r="BG95" s="449">
        <f t="shared" si="220"/>
        <v>0.5</v>
      </c>
      <c r="BH95" s="449">
        <f t="shared" si="220"/>
        <v>0.5</v>
      </c>
      <c r="BI95" s="449">
        <f>BF95</f>
        <v>0.5</v>
      </c>
      <c r="BJ95" s="341"/>
    </row>
    <row r="96" spans="1:62" s="312" customFormat="1">
      <c r="B96" s="437"/>
      <c r="C96" s="437"/>
      <c r="D96" s="402"/>
      <c r="E96" s="402"/>
      <c r="F96" s="402"/>
      <c r="G96" s="402"/>
      <c r="H96" s="402"/>
      <c r="I96" s="402"/>
      <c r="J96" s="402"/>
      <c r="K96" s="402"/>
      <c r="L96" s="402"/>
      <c r="M96" s="402"/>
      <c r="N96" s="402"/>
      <c r="O96" s="402"/>
      <c r="P96" s="402"/>
      <c r="Q96" s="402"/>
      <c r="R96" s="402"/>
      <c r="S96" s="520"/>
      <c r="T96" s="520"/>
      <c r="U96" s="520"/>
      <c r="V96" s="520"/>
      <c r="W96" s="520"/>
      <c r="X96" s="520"/>
      <c r="Y96" s="520"/>
      <c r="Z96" s="520"/>
      <c r="AA96" s="520"/>
      <c r="AB96" s="874"/>
      <c r="AC96" s="520"/>
      <c r="AD96" s="520"/>
      <c r="AE96" s="520"/>
      <c r="AF96" s="520"/>
      <c r="AG96" s="520"/>
      <c r="AH96" s="520"/>
      <c r="AI96" s="520"/>
      <c r="AJ96" s="520"/>
      <c r="AK96" s="520"/>
      <c r="AL96" s="520"/>
      <c r="AM96" s="520"/>
      <c r="AN96" s="520"/>
      <c r="AO96" s="520"/>
      <c r="AP96" s="520"/>
      <c r="AQ96" s="520"/>
      <c r="AR96" s="520"/>
      <c r="AS96" s="520"/>
      <c r="AT96" s="520"/>
      <c r="AU96" s="520"/>
      <c r="AV96" s="520"/>
      <c r="AW96" s="520"/>
      <c r="AX96" s="520"/>
      <c r="AY96" s="520"/>
      <c r="AZ96" s="520"/>
      <c r="BA96" s="520"/>
      <c r="BB96" s="520"/>
      <c r="BC96" s="520"/>
      <c r="BD96" s="520"/>
      <c r="BE96" s="520"/>
      <c r="BF96" s="520"/>
      <c r="BG96" s="520"/>
      <c r="BH96" s="520"/>
      <c r="BI96" s="520"/>
      <c r="BJ96" s="341"/>
    </row>
    <row r="97" spans="1:62" s="312" customFormat="1">
      <c r="A97" s="344" t="s">
        <v>1789</v>
      </c>
      <c r="B97" s="444"/>
      <c r="C97" s="381"/>
      <c r="D97" s="516"/>
      <c r="E97" s="516"/>
      <c r="F97" s="407"/>
      <c r="G97" s="516"/>
      <c r="H97" s="516"/>
      <c r="I97" s="407"/>
      <c r="J97" s="516"/>
      <c r="K97" s="494"/>
      <c r="L97" s="403"/>
      <c r="M97" s="494"/>
      <c r="N97" s="494"/>
      <c r="O97" s="403"/>
      <c r="P97" s="516"/>
      <c r="Q97" s="516"/>
      <c r="R97" s="407"/>
      <c r="S97" s="407"/>
      <c r="T97" s="407"/>
      <c r="U97" s="407"/>
      <c r="V97" s="407"/>
      <c r="W97" s="407"/>
      <c r="X97" s="407"/>
      <c r="Y97" s="407"/>
      <c r="Z97" s="407"/>
      <c r="AA97" s="407"/>
      <c r="AB97" s="840"/>
      <c r="AC97" s="407"/>
      <c r="AD97" s="407"/>
      <c r="AE97" s="407"/>
      <c r="AF97" s="407">
        <f>AF89*AF99</f>
        <v>3.2</v>
      </c>
      <c r="AG97" s="407">
        <f t="shared" ref="AG97" si="221">AG89*AG99</f>
        <v>4.8000000000000007</v>
      </c>
      <c r="AH97" s="407">
        <f>AH89*AH99</f>
        <v>8</v>
      </c>
      <c r="AI97" s="407">
        <f>AI89*AI99</f>
        <v>4.8000000000000007</v>
      </c>
      <c r="AJ97" s="407">
        <f t="shared" ref="AJ97" si="222">AJ89*AJ99</f>
        <v>7.2</v>
      </c>
      <c r="AK97" s="407">
        <f t="shared" ref="AK97:BF97" si="223">AK89*AK99</f>
        <v>12</v>
      </c>
      <c r="AL97" s="407"/>
      <c r="AM97" s="407"/>
      <c r="AN97" s="407">
        <f t="shared" si="223"/>
        <v>16</v>
      </c>
      <c r="AO97" s="407"/>
      <c r="AP97" s="407"/>
      <c r="AQ97" s="407">
        <f t="shared" si="223"/>
        <v>18.400000000000002</v>
      </c>
      <c r="AR97" s="407"/>
      <c r="AS97" s="407"/>
      <c r="AT97" s="407">
        <f t="shared" si="223"/>
        <v>20.240000000000002</v>
      </c>
      <c r="AU97" s="407"/>
      <c r="AV97" s="407"/>
      <c r="AW97" s="407">
        <f t="shared" si="223"/>
        <v>22.264000000000003</v>
      </c>
      <c r="AX97" s="407"/>
      <c r="AY97" s="407"/>
      <c r="AZ97" s="407">
        <f t="shared" si="223"/>
        <v>24.490400000000005</v>
      </c>
      <c r="BA97" s="407"/>
      <c r="BB97" s="407"/>
      <c r="BC97" s="407">
        <f t="shared" si="223"/>
        <v>26.939440000000008</v>
      </c>
      <c r="BD97" s="407"/>
      <c r="BE97" s="407"/>
      <c r="BF97" s="407">
        <f t="shared" si="223"/>
        <v>29.633384000000014</v>
      </c>
      <c r="BG97" s="407"/>
      <c r="BH97" s="407"/>
      <c r="BI97" s="407">
        <f t="shared" ref="BI97" si="224">BI89*BI99</f>
        <v>32.596722400000019</v>
      </c>
      <c r="BJ97" s="324"/>
    </row>
    <row r="98" spans="1:62" s="312" customFormat="1">
      <c r="A98" s="312" t="s">
        <v>1359</v>
      </c>
      <c r="B98" s="440"/>
      <c r="C98" s="371"/>
      <c r="D98" s="397"/>
      <c r="E98" s="397"/>
      <c r="F98" s="397"/>
      <c r="G98" s="397"/>
      <c r="H98" s="397"/>
      <c r="I98" s="397"/>
      <c r="J98" s="397"/>
      <c r="K98" s="397"/>
      <c r="L98" s="397"/>
      <c r="M98" s="397"/>
      <c r="N98" s="397"/>
      <c r="O98" s="397"/>
      <c r="P98" s="397"/>
      <c r="Q98" s="397"/>
      <c r="R98" s="397"/>
      <c r="S98" s="397"/>
      <c r="T98" s="397"/>
      <c r="U98" s="397"/>
      <c r="V98" s="397"/>
      <c r="W98" s="397"/>
      <c r="X98" s="397"/>
      <c r="Y98" s="397"/>
      <c r="Z98" s="397"/>
      <c r="AA98" s="397"/>
      <c r="AB98" s="828"/>
      <c r="AC98" s="397"/>
      <c r="AD98" s="397"/>
      <c r="AE98" s="397"/>
      <c r="AF98" s="397"/>
      <c r="AG98" s="397"/>
      <c r="AH98" s="397" t="e">
        <f>AH97/AE97-1</f>
        <v>#DIV/0!</v>
      </c>
      <c r="AI98" s="397"/>
      <c r="AJ98" s="397"/>
      <c r="AK98" s="397">
        <f>AK97/AH97-1</f>
        <v>0.5</v>
      </c>
      <c r="AL98" s="397"/>
      <c r="AM98" s="397"/>
      <c r="AN98" s="397">
        <f>AN97/AK97-1</f>
        <v>0.33333333333333326</v>
      </c>
      <c r="AO98" s="397"/>
      <c r="AP98" s="397"/>
      <c r="AQ98" s="397">
        <f>AQ97/AN97-1</f>
        <v>0.15000000000000013</v>
      </c>
      <c r="AR98" s="397"/>
      <c r="AS98" s="397"/>
      <c r="AT98" s="397">
        <f>AT97/AQ97-1</f>
        <v>0.10000000000000009</v>
      </c>
      <c r="AU98" s="397"/>
      <c r="AV98" s="397"/>
      <c r="AW98" s="397">
        <f>AW97/AT97-1</f>
        <v>0.10000000000000009</v>
      </c>
      <c r="AX98" s="397"/>
      <c r="AY98" s="397"/>
      <c r="AZ98" s="397">
        <f>AZ97/AW97-1</f>
        <v>0.10000000000000009</v>
      </c>
      <c r="BA98" s="397"/>
      <c r="BB98" s="397"/>
      <c r="BC98" s="397">
        <f>BC97/AZ97-1</f>
        <v>0.10000000000000009</v>
      </c>
      <c r="BD98" s="397"/>
      <c r="BE98" s="397"/>
      <c r="BF98" s="397">
        <f>BF97/BC97-1</f>
        <v>0.10000000000000009</v>
      </c>
      <c r="BG98" s="397"/>
      <c r="BH98" s="397"/>
      <c r="BI98" s="397">
        <f t="shared" ref="BI98" si="225">BI97/BF97-1</f>
        <v>0.10000000000000009</v>
      </c>
      <c r="BJ98" s="336"/>
    </row>
    <row r="99" spans="1:62" s="312" customFormat="1">
      <c r="A99" s="312" t="s">
        <v>1551</v>
      </c>
      <c r="B99" s="437"/>
      <c r="C99" s="437"/>
      <c r="D99" s="402"/>
      <c r="E99" s="402"/>
      <c r="F99" s="402"/>
      <c r="G99" s="402"/>
      <c r="H99" s="402"/>
      <c r="I99" s="402"/>
      <c r="J99" s="402"/>
      <c r="K99" s="402"/>
      <c r="L99" s="402"/>
      <c r="M99" s="402"/>
      <c r="N99" s="402"/>
      <c r="O99" s="402"/>
      <c r="P99" s="402"/>
      <c r="Q99" s="402"/>
      <c r="R99" s="402"/>
      <c r="S99" s="520"/>
      <c r="T99" s="520"/>
      <c r="U99" s="520"/>
      <c r="V99" s="520"/>
      <c r="W99" s="520"/>
      <c r="X99" s="520"/>
      <c r="Y99" s="520"/>
      <c r="Z99" s="520"/>
      <c r="AA99" s="520"/>
      <c r="AB99" s="874"/>
      <c r="AC99" s="520"/>
      <c r="AD99" s="449"/>
      <c r="AE99" s="520"/>
      <c r="AF99" s="449">
        <f>AH99</f>
        <v>0.2</v>
      </c>
      <c r="AG99" s="449">
        <f>AQ99</f>
        <v>0.2</v>
      </c>
      <c r="AH99" s="449">
        <v>0.2</v>
      </c>
      <c r="AI99" s="449">
        <f>AK99</f>
        <v>0.2</v>
      </c>
      <c r="AJ99" s="449">
        <f>AT99</f>
        <v>0.2</v>
      </c>
      <c r="AK99" s="449">
        <v>0.2</v>
      </c>
      <c r="AL99" s="449"/>
      <c r="AM99" s="449"/>
      <c r="AN99" s="449">
        <f>AK99</f>
        <v>0.2</v>
      </c>
      <c r="AO99" s="449"/>
      <c r="AP99" s="449"/>
      <c r="AQ99" s="449">
        <f>AN99</f>
        <v>0.2</v>
      </c>
      <c r="AR99" s="449"/>
      <c r="AS99" s="449"/>
      <c r="AT99" s="449">
        <f>AQ99</f>
        <v>0.2</v>
      </c>
      <c r="AU99" s="449"/>
      <c r="AV99" s="449"/>
      <c r="AW99" s="449">
        <f>AT99</f>
        <v>0.2</v>
      </c>
      <c r="AX99" s="449"/>
      <c r="AY99" s="449"/>
      <c r="AZ99" s="449">
        <f>AW99</f>
        <v>0.2</v>
      </c>
      <c r="BA99" s="449"/>
      <c r="BB99" s="449"/>
      <c r="BC99" s="449">
        <f>AZ99</f>
        <v>0.2</v>
      </c>
      <c r="BD99" s="449"/>
      <c r="BE99" s="449"/>
      <c r="BF99" s="449">
        <f>BC99</f>
        <v>0.2</v>
      </c>
      <c r="BG99" s="449"/>
      <c r="BH99" s="449"/>
      <c r="BI99" s="449">
        <f t="shared" ref="BI99" si="226">BF99</f>
        <v>0.2</v>
      </c>
      <c r="BJ99" s="341"/>
    </row>
    <row r="100" spans="1:62" s="312" customFormat="1">
      <c r="B100" s="437"/>
      <c r="C100" s="437"/>
      <c r="D100" s="402"/>
      <c r="E100" s="402"/>
      <c r="F100" s="402"/>
      <c r="G100" s="402"/>
      <c r="H100" s="402"/>
      <c r="I100" s="402"/>
      <c r="J100" s="402"/>
      <c r="K100" s="402"/>
      <c r="L100" s="402"/>
      <c r="M100" s="402"/>
      <c r="N100" s="402"/>
      <c r="O100" s="402"/>
      <c r="P100" s="402"/>
      <c r="Q100" s="402"/>
      <c r="R100" s="402"/>
      <c r="S100" s="520"/>
      <c r="T100" s="520"/>
      <c r="U100" s="520"/>
      <c r="V100" s="520"/>
      <c r="W100" s="520"/>
      <c r="X100" s="520"/>
      <c r="Y100" s="520"/>
      <c r="Z100" s="520"/>
      <c r="AA100" s="520"/>
      <c r="AB100" s="874"/>
      <c r="AC100" s="520"/>
      <c r="AD100" s="520"/>
      <c r="AE100" s="520"/>
      <c r="AF100" s="520"/>
      <c r="AG100" s="520"/>
      <c r="AH100" s="520"/>
      <c r="AI100" s="520"/>
      <c r="AJ100" s="520"/>
      <c r="AK100" s="520"/>
      <c r="AL100" s="520"/>
      <c r="AM100" s="520"/>
      <c r="AN100" s="520"/>
      <c r="AO100" s="520"/>
      <c r="AP100" s="520"/>
      <c r="AQ100" s="520"/>
      <c r="AR100" s="520"/>
      <c r="AS100" s="520"/>
      <c r="AT100" s="520"/>
      <c r="AU100" s="520"/>
      <c r="AV100" s="520"/>
      <c r="AW100" s="520"/>
      <c r="AX100" s="520"/>
      <c r="AY100" s="520"/>
      <c r="AZ100" s="520"/>
      <c r="BA100" s="520"/>
      <c r="BB100" s="520"/>
      <c r="BC100" s="520"/>
      <c r="BD100" s="520"/>
      <c r="BE100" s="520"/>
      <c r="BF100" s="520"/>
      <c r="BG100" s="520"/>
      <c r="BH100" s="520"/>
      <c r="BI100" s="520"/>
      <c r="BJ100" s="341"/>
    </row>
    <row r="101" spans="1:62" s="1180" customFormat="1">
      <c r="A101" s="714" t="s">
        <v>1898</v>
      </c>
      <c r="D101" s="1181"/>
      <c r="E101" s="1181"/>
      <c r="F101" s="1181"/>
      <c r="G101" s="1181"/>
      <c r="H101" s="1181"/>
      <c r="I101" s="1181"/>
      <c r="J101" s="1181"/>
      <c r="K101" s="1181"/>
      <c r="L101" s="1181"/>
      <c r="M101" s="1181"/>
      <c r="N101" s="1181"/>
      <c r="O101" s="1181"/>
      <c r="P101" s="1181"/>
      <c r="Q101" s="1181"/>
      <c r="R101" s="1181"/>
      <c r="S101" s="1181"/>
      <c r="T101" s="1181"/>
      <c r="U101" s="1181"/>
      <c r="V101" s="1181"/>
      <c r="W101" s="1181"/>
      <c r="X101" s="1181"/>
      <c r="Y101" s="1181"/>
      <c r="Z101" s="1181"/>
      <c r="AA101" s="1181"/>
      <c r="AB101" s="1182"/>
      <c r="AC101" s="1181"/>
      <c r="AD101" s="1181"/>
      <c r="AE101" s="1181"/>
      <c r="AF101" s="1181"/>
      <c r="AG101" s="1181"/>
      <c r="AH101" s="1181"/>
      <c r="AI101" s="1181"/>
      <c r="AJ101" s="1181"/>
      <c r="AK101" s="1181"/>
      <c r="AL101" s="1181"/>
      <c r="AM101" s="1181"/>
      <c r="AN101" s="1181"/>
      <c r="AO101" s="1181"/>
      <c r="AP101" s="1181"/>
      <c r="AQ101" s="1181"/>
      <c r="AR101" s="1181"/>
      <c r="AS101" s="1181"/>
      <c r="AT101" s="1181"/>
      <c r="AU101" s="1181"/>
      <c r="AV101" s="1181"/>
      <c r="AW101" s="1181"/>
      <c r="AX101" s="1181"/>
      <c r="AY101" s="1181"/>
      <c r="AZ101" s="1181"/>
      <c r="BA101" s="1181"/>
      <c r="BB101" s="1181"/>
      <c r="BC101" s="1181"/>
      <c r="BD101" s="1181"/>
      <c r="BE101" s="1181"/>
      <c r="BF101" s="1181"/>
      <c r="BG101" s="1181"/>
      <c r="BH101" s="1181"/>
      <c r="BI101" s="1181"/>
      <c r="BJ101" s="1183"/>
    </row>
    <row r="102" spans="1:62" s="344" customFormat="1">
      <c r="A102" s="461" t="s">
        <v>1594</v>
      </c>
      <c r="B102" s="462">
        <f t="shared" ref="B102:K102" si="227">+B32+B77</f>
        <v>339.16799999999995</v>
      </c>
      <c r="C102" s="462">
        <f t="shared" si="227"/>
        <v>266.56500000000005</v>
      </c>
      <c r="D102" s="463">
        <f t="shared" si="227"/>
        <v>605.73300000000006</v>
      </c>
      <c r="E102" s="463">
        <f t="shared" si="227"/>
        <v>385.41</v>
      </c>
      <c r="F102" s="463">
        <f t="shared" si="227"/>
        <v>266.93799999999999</v>
      </c>
      <c r="G102" s="463">
        <f t="shared" si="227"/>
        <v>652.34800000000007</v>
      </c>
      <c r="H102" s="463">
        <f t="shared" si="227"/>
        <v>440.37100000000004</v>
      </c>
      <c r="I102" s="463">
        <f t="shared" si="227"/>
        <v>319.596</v>
      </c>
      <c r="J102" s="463">
        <f t="shared" si="227"/>
        <v>759.9670000000001</v>
      </c>
      <c r="K102" s="463">
        <f t="shared" si="227"/>
        <v>552.03399999999999</v>
      </c>
      <c r="L102" s="463">
        <f>M102-K102</f>
        <v>400.21000000000004</v>
      </c>
      <c r="M102" s="463">
        <f t="shared" ref="M102:V102" si="228">+M58+M77</f>
        <v>952.24400000000003</v>
      </c>
      <c r="N102" s="463">
        <f t="shared" si="228"/>
        <v>710.95799999999997</v>
      </c>
      <c r="O102" s="463">
        <f t="shared" si="228"/>
        <v>476.70100000000002</v>
      </c>
      <c r="P102" s="463">
        <f t="shared" si="228"/>
        <v>1187.6590000000001</v>
      </c>
      <c r="Q102" s="463">
        <f t="shared" si="228"/>
        <v>878.65900000000011</v>
      </c>
      <c r="R102" s="463">
        <f t="shared" si="228"/>
        <v>539.74099999999999</v>
      </c>
      <c r="S102" s="463">
        <f t="shared" si="228"/>
        <v>1418.4</v>
      </c>
      <c r="T102" s="463">
        <f t="shared" si="228"/>
        <v>887.99699999999996</v>
      </c>
      <c r="U102" s="463">
        <f t="shared" si="228"/>
        <v>590.50300000000004</v>
      </c>
      <c r="V102" s="463">
        <f t="shared" si="228"/>
        <v>1478.5</v>
      </c>
      <c r="W102" s="463">
        <f t="shared" ref="W102:AK102" si="229">+W58+W77+W89</f>
        <v>905.83199999999999</v>
      </c>
      <c r="X102" s="463">
        <f t="shared" si="229"/>
        <v>624.26799999999992</v>
      </c>
      <c r="Y102" s="463">
        <f t="shared" si="229"/>
        <v>1530.1</v>
      </c>
      <c r="Z102" s="463">
        <f t="shared" si="229"/>
        <v>997.49999999999989</v>
      </c>
      <c r="AA102" s="463">
        <f t="shared" si="229"/>
        <v>699.13900000000001</v>
      </c>
      <c r="AB102" s="873">
        <f t="shared" si="229"/>
        <v>1696.6389999999999</v>
      </c>
      <c r="AC102" s="463">
        <f t="shared" si="229"/>
        <v>1098.7</v>
      </c>
      <c r="AD102" s="463">
        <f t="shared" si="229"/>
        <v>752.60008239636772</v>
      </c>
      <c r="AE102" s="463">
        <f t="shared" si="229"/>
        <v>1851.3000823963678</v>
      </c>
      <c r="AF102" s="463">
        <f t="shared" si="229"/>
        <v>1177.7590341241112</v>
      </c>
      <c r="AG102" s="463">
        <f t="shared" si="229"/>
        <v>858.9228815534683</v>
      </c>
      <c r="AH102" s="463">
        <f t="shared" si="229"/>
        <v>2036.6819156775794</v>
      </c>
      <c r="AI102" s="463">
        <f t="shared" si="229"/>
        <v>1266.3316391017588</v>
      </c>
      <c r="AJ102" s="463">
        <f t="shared" si="229"/>
        <v>986.36402596757853</v>
      </c>
      <c r="AK102" s="463">
        <f t="shared" si="229"/>
        <v>2252.6956650693378</v>
      </c>
      <c r="AL102" s="463"/>
      <c r="AM102" s="463"/>
      <c r="AN102" s="463">
        <f>+AN58+AN77+AN89</f>
        <v>2493.5320711644317</v>
      </c>
      <c r="AO102" s="463"/>
      <c r="AP102" s="463"/>
      <c r="AQ102" s="463">
        <f>+AQ58+AQ77+AQ89</f>
        <v>2755.1549382270032</v>
      </c>
      <c r="AR102" s="463"/>
      <c r="AS102" s="463"/>
      <c r="AT102" s="463">
        <f>+AT58+AT77+AT89</f>
        <v>3042.0695600071904</v>
      </c>
      <c r="AU102" s="463"/>
      <c r="AV102" s="463"/>
      <c r="AW102" s="463">
        <f>+AW58+AW77+AW89</f>
        <v>3361.3312027490433</v>
      </c>
      <c r="AX102" s="463"/>
      <c r="AY102" s="463"/>
      <c r="AZ102" s="463">
        <f>+AZ58+AZ77+AZ89</f>
        <v>3716.7812730539749</v>
      </c>
      <c r="BA102" s="463"/>
      <c r="BB102" s="463"/>
      <c r="BC102" s="463">
        <f>+BC58+BC77+BC89</f>
        <v>4112.7380749799595</v>
      </c>
      <c r="BD102" s="463"/>
      <c r="BE102" s="463"/>
      <c r="BF102" s="463">
        <f>+BF58+BF77+BF89</f>
        <v>4554.0584658402686</v>
      </c>
      <c r="BG102" s="463"/>
      <c r="BH102" s="463"/>
      <c r="BI102" s="463">
        <f>+BI58+BI77+BI89</f>
        <v>5046.2077740660498</v>
      </c>
      <c r="BJ102" s="347"/>
    </row>
    <row r="103" spans="1:62" s="312" customFormat="1">
      <c r="A103" s="312" t="s">
        <v>1571</v>
      </c>
      <c r="B103" s="371">
        <f>B102/331.242-1</f>
        <v>2.3928125056605021E-2</v>
      </c>
      <c r="C103" s="371">
        <f>C102/(576.573-331.242)-1</f>
        <v>8.6552453623879977E-2</v>
      </c>
      <c r="D103" s="397">
        <f>D102/576.573-1</f>
        <v>5.0574688721116035E-2</v>
      </c>
      <c r="E103" s="397">
        <f t="shared" ref="E103:W103" si="230">E102/B102-1</f>
        <v>0.13633951316161919</v>
      </c>
      <c r="F103" s="397">
        <f t="shared" si="230"/>
        <v>1.3992834768252749E-3</v>
      </c>
      <c r="G103" s="397">
        <f t="shared" si="230"/>
        <v>7.6956348754319226E-2</v>
      </c>
      <c r="H103" s="397">
        <f t="shared" si="230"/>
        <v>0.14260398017695453</v>
      </c>
      <c r="I103" s="397">
        <f t="shared" si="230"/>
        <v>0.1972667810502815</v>
      </c>
      <c r="J103" s="397">
        <f t="shared" si="230"/>
        <v>0.16497176353725318</v>
      </c>
      <c r="K103" s="397">
        <f t="shared" si="230"/>
        <v>0.2535657434299714</v>
      </c>
      <c r="L103" s="397">
        <f t="shared" si="230"/>
        <v>0.25223719946432377</v>
      </c>
      <c r="M103" s="397">
        <f t="shared" si="230"/>
        <v>0.25300703846351213</v>
      </c>
      <c r="N103" s="397">
        <f t="shared" si="230"/>
        <v>0.28788806486556995</v>
      </c>
      <c r="O103" s="397">
        <f t="shared" si="230"/>
        <v>0.19112715824192295</v>
      </c>
      <c r="P103" s="397">
        <f t="shared" si="230"/>
        <v>0.24722130042300083</v>
      </c>
      <c r="Q103" s="397">
        <f t="shared" si="230"/>
        <v>0.23588031923123465</v>
      </c>
      <c r="R103" s="397">
        <f t="shared" si="230"/>
        <v>0.13224222311260081</v>
      </c>
      <c r="S103" s="397">
        <f t="shared" si="230"/>
        <v>0.1942821971626536</v>
      </c>
      <c r="T103" s="397">
        <f t="shared" si="230"/>
        <v>1.0627558586436603E-2</v>
      </c>
      <c r="U103" s="397">
        <f t="shared" si="230"/>
        <v>9.4048812300714602E-2</v>
      </c>
      <c r="V103" s="397">
        <f>V102/S102-1</f>
        <v>4.2371686407219444E-2</v>
      </c>
      <c r="W103" s="397">
        <f t="shared" si="230"/>
        <v>2.0084527312592249E-2</v>
      </c>
      <c r="X103" s="397">
        <f t="shared" ref="X103" si="231">X102/U102-1</f>
        <v>5.718006513091356E-2</v>
      </c>
      <c r="Y103" s="397">
        <f>Y102/V102-1</f>
        <v>3.4900236726411737E-2</v>
      </c>
      <c r="Z103" s="397">
        <f t="shared" ref="Z103:AA103" si="232">Z102/W102-1</f>
        <v>0.10119757305990507</v>
      </c>
      <c r="AA103" s="397">
        <f t="shared" si="232"/>
        <v>0.11993406677901164</v>
      </c>
      <c r="AB103" s="828">
        <f>AB102/Y102-1</f>
        <v>0.10884190575779362</v>
      </c>
      <c r="AC103" s="397">
        <f t="shared" ref="AC103" si="233">AC102/Z102-1</f>
        <v>0.10145363408521324</v>
      </c>
      <c r="AD103" s="397">
        <f t="shared" ref="AD103" si="234">AD102/AA102-1</f>
        <v>7.6467029297990319E-2</v>
      </c>
      <c r="AE103" s="397">
        <f>AE102/AB102-1</f>
        <v>9.1157330696964856E-2</v>
      </c>
      <c r="AF103" s="397">
        <f t="shared" ref="AF103" si="235">AF102/AC102-1</f>
        <v>7.1956889163658166E-2</v>
      </c>
      <c r="AG103" s="397">
        <f t="shared" ref="AG103" si="236">AG102/AD102-1</f>
        <v>0.14127396693680416</v>
      </c>
      <c r="AH103" s="397">
        <f>AH102/AE102-1</f>
        <v>0.10013602605216154</v>
      </c>
      <c r="AI103" s="397">
        <f t="shared" ref="AI103" si="237">AI102/AF102-1</f>
        <v>7.5204352003564345E-2</v>
      </c>
      <c r="AJ103" s="397">
        <f t="shared" ref="AJ103" si="238">AJ102/AG102-1</f>
        <v>0.14837320922644093</v>
      </c>
      <c r="AK103" s="397">
        <f>AK102/AH102-1</f>
        <v>0.10606160330141345</v>
      </c>
      <c r="AL103" s="397"/>
      <c r="AM103" s="397"/>
      <c r="AN103" s="397">
        <f>AN102/AK102-1</f>
        <v>0.10691031630661074</v>
      </c>
      <c r="AO103" s="397"/>
      <c r="AP103" s="397"/>
      <c r="AQ103" s="397">
        <f>AQ102/AN102-1</f>
        <v>0.10492059440021495</v>
      </c>
      <c r="AR103" s="397"/>
      <c r="AS103" s="397"/>
      <c r="AT103" s="397">
        <f>AT102/AQ102-1</f>
        <v>0.10413738182173615</v>
      </c>
      <c r="AU103" s="397"/>
      <c r="AV103" s="397"/>
      <c r="AW103" s="397">
        <f>AW102/AT102-1</f>
        <v>0.10494883053926563</v>
      </c>
      <c r="AX103" s="397"/>
      <c r="AY103" s="397"/>
      <c r="AZ103" s="397">
        <f>AZ102/AW102-1</f>
        <v>0.10574681543259667</v>
      </c>
      <c r="BA103" s="397"/>
      <c r="BB103" s="397"/>
      <c r="BC103" s="397">
        <f>BC102/AZ102-1</f>
        <v>0.10653217739677157</v>
      </c>
      <c r="BD103" s="397"/>
      <c r="BE103" s="397"/>
      <c r="BF103" s="397">
        <f>BF102/BC102-1</f>
        <v>0.10730573715479297</v>
      </c>
      <c r="BG103" s="397"/>
      <c r="BH103" s="397"/>
      <c r="BI103" s="397">
        <f t="shared" ref="BI103" si="239">BI102/BF102-1</f>
        <v>0.10806828939886581</v>
      </c>
      <c r="BJ103" s="336"/>
    </row>
    <row r="104" spans="1:62" s="312" customFormat="1">
      <c r="A104" s="312" t="s">
        <v>1614</v>
      </c>
      <c r="B104" s="371"/>
      <c r="C104" s="371"/>
      <c r="D104" s="397"/>
      <c r="E104" s="397"/>
      <c r="F104" s="397"/>
      <c r="G104" s="397">
        <f t="shared" ref="G104:M104" si="240">SUM(G26,G22,G10)/SUM(D26,D22,D10)-1</f>
        <v>0.15179623346245008</v>
      </c>
      <c r="H104" s="397">
        <f t="shared" si="240"/>
        <v>9.0893112837107992E-2</v>
      </c>
      <c r="I104" s="397">
        <f t="shared" si="240"/>
        <v>0.19820818313746758</v>
      </c>
      <c r="J104" s="397">
        <f t="shared" si="240"/>
        <v>0.13189284873636797</v>
      </c>
      <c r="K104" s="397">
        <f t="shared" si="240"/>
        <v>0.21345868357214082</v>
      </c>
      <c r="L104" s="397">
        <f t="shared" si="240"/>
        <v>0.16492074615285168</v>
      </c>
      <c r="M104" s="397">
        <f t="shared" si="240"/>
        <v>0.19349525453977967</v>
      </c>
      <c r="N104" s="397">
        <f t="shared" ref="N104:T104" si="241">(N40*K42+N48*K49+N55*K56)/K58</f>
        <v>0.39030378888863787</v>
      </c>
      <c r="O104" s="397">
        <f t="shared" si="241"/>
        <v>0.32846755890163576</v>
      </c>
      <c r="P104" s="397">
        <f t="shared" si="241"/>
        <v>0.36656276155827572</v>
      </c>
      <c r="Q104" s="397">
        <f t="shared" si="241"/>
        <v>0.23660548748810883</v>
      </c>
      <c r="R104" s="397">
        <f t="shared" si="241"/>
        <v>9.8405931572977418E-2</v>
      </c>
      <c r="S104" s="397">
        <f t="shared" si="241"/>
        <v>0.17991447621776563</v>
      </c>
      <c r="T104" s="397">
        <f t="shared" si="241"/>
        <v>7.1837157622668584E-3</v>
      </c>
      <c r="U104" s="397">
        <f>(U60*R58+U78*R77)/R102</f>
        <v>5.0147211966487269E-2</v>
      </c>
      <c r="V104" s="397">
        <f>(V60*S58+V78*S77)/S102</f>
        <v>5.4416948674562877E-3</v>
      </c>
      <c r="W104" s="397">
        <f>(W40*T42+W48*T49+W55*T56)/T58</f>
        <v>-1.3768707800855082E-2</v>
      </c>
      <c r="X104" s="397">
        <f>(X60*U58+X78*U77)/U102</f>
        <v>4.4804490096282679E-2</v>
      </c>
      <c r="Y104" s="397">
        <f>(Y60*T58+Y78*T77)/T102</f>
        <v>1.535441732591767E-2</v>
      </c>
      <c r="Z104" s="397">
        <f>(Z60*W58+Z78*W77)/W102</f>
        <v>0.10882254104513861</v>
      </c>
      <c r="AA104" s="397">
        <f>(AA60*X58+AA78*X77)/X102</f>
        <v>9.0807585902766844E-2</v>
      </c>
      <c r="AB104" s="828">
        <f>(AB60*U58+AB78*U77)/U102</f>
        <v>9.955541688825563E-2</v>
      </c>
      <c r="AC104" s="397">
        <f>(AC60*Z58+AC78*Z77)/Z102</f>
        <v>8.7143959899749393E-2</v>
      </c>
      <c r="AD104" s="397">
        <f>(AD60*AA58+AD78*AA77)/AA102</f>
        <v>0.12676392912603238</v>
      </c>
      <c r="AE104" s="397">
        <f>(AE60*V58+AE78*V77)/V102</f>
        <v>0.10168189817600952</v>
      </c>
      <c r="AF104" s="397">
        <f>(AF60*AC58+AF78*AC77)/AC102</f>
        <v>9.1083098206971871E-2</v>
      </c>
      <c r="AG104" s="397">
        <f>(AG60*AD58+AG78*AD77)/AD102</f>
        <v>0.10769550437155381</v>
      </c>
      <c r="AH104" s="397">
        <f>(AH60*Y58+AH78*Y77)/Y102</f>
        <v>9.6975414479444105E-2</v>
      </c>
      <c r="AI104" s="397">
        <f>(AI60*AF58+AI78*AF77)/AF102</f>
        <v>6.8411791073688527E-2</v>
      </c>
      <c r="AJ104" s="397">
        <f>(AJ60*AG58+AJ78*AG77)/AG102</f>
        <v>0.13440222270632796</v>
      </c>
      <c r="AK104" s="397">
        <f>(AK60*AB58+AK78*AB77)/AB102</f>
        <v>9.7288262264394493E-2</v>
      </c>
      <c r="AL104" s="397"/>
      <c r="AM104" s="397"/>
      <c r="AN104" s="397">
        <f>(AN60*AE58+AN78*AE77)/AE102</f>
        <v>9.9410129988982424E-2</v>
      </c>
      <c r="AO104" s="397"/>
      <c r="AP104" s="397"/>
      <c r="AQ104" s="397">
        <f>(AQ60*AH58+AQ78*AH77)/AH102</f>
        <v>9.9902480127863291E-2</v>
      </c>
      <c r="AR104" s="397"/>
      <c r="AS104" s="397"/>
      <c r="AT104" s="397">
        <f>(AT60*AK58+AT78*AK77)/AK102</f>
        <v>9.9902064371934052E-2</v>
      </c>
      <c r="AU104" s="397"/>
      <c r="AV104" s="397"/>
      <c r="AW104" s="397">
        <f>(AW60*AN58+AW78*AN77)/AN102</f>
        <v>0.10010814376492139</v>
      </c>
      <c r="AX104" s="397"/>
      <c r="AY104" s="397"/>
      <c r="AZ104" s="397">
        <f>(AZ60*AQ58+AZ78*AQ77)/AQ102</f>
        <v>0.100798186674359</v>
      </c>
      <c r="BA104" s="397"/>
      <c r="BB104" s="397"/>
      <c r="BC104" s="397">
        <f>(BC60*AT58+BC78*AT77)/AT102</f>
        <v>0.10162214789760489</v>
      </c>
      <c r="BD104" s="397"/>
      <c r="BE104" s="397"/>
      <c r="BF104" s="397">
        <f>(BF60*AW58+BF78*AW77)/AW102</f>
        <v>0.10243503229414981</v>
      </c>
      <c r="BG104" s="397"/>
      <c r="BH104" s="397"/>
      <c r="BI104" s="397">
        <f>(BI60*AZ58+BI78*AZ77)/AZ102</f>
        <v>0.10323760634176342</v>
      </c>
      <c r="BJ104" s="336"/>
    </row>
    <row r="105" spans="1:62" s="1017" customFormat="1">
      <c r="B105" s="340"/>
      <c r="C105" s="340"/>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835"/>
      <c r="AC105" s="400"/>
      <c r="AD105" s="400"/>
      <c r="AE105" s="400"/>
      <c r="AF105" s="400"/>
      <c r="AG105" s="400"/>
      <c r="AH105" s="400"/>
      <c r="AI105" s="400"/>
      <c r="AJ105" s="400"/>
      <c r="AK105" s="400"/>
      <c r="AL105" s="400"/>
      <c r="AM105" s="400"/>
      <c r="AN105" s="400"/>
      <c r="AO105" s="400"/>
      <c r="AP105" s="400"/>
      <c r="AQ105" s="400"/>
      <c r="AR105" s="400"/>
      <c r="AS105" s="400"/>
      <c r="AT105" s="400"/>
      <c r="AU105" s="400"/>
      <c r="AV105" s="400"/>
      <c r="AW105" s="400"/>
      <c r="AX105" s="400"/>
      <c r="AY105" s="400"/>
      <c r="AZ105" s="400"/>
      <c r="BA105" s="400"/>
      <c r="BB105" s="400"/>
      <c r="BC105" s="400"/>
      <c r="BD105" s="400"/>
      <c r="BE105" s="400"/>
      <c r="BF105" s="400"/>
      <c r="BG105" s="400"/>
      <c r="BH105" s="400"/>
      <c r="BI105" s="400"/>
      <c r="BJ105" s="337"/>
    </row>
    <row r="106" spans="1:62" s="344" customFormat="1">
      <c r="A106" s="344" t="s">
        <v>1901</v>
      </c>
      <c r="B106" s="1014"/>
      <c r="C106" s="1014"/>
      <c r="D106" s="1015"/>
      <c r="E106" s="1015"/>
      <c r="F106" s="1015"/>
      <c r="G106" s="1015"/>
      <c r="H106" s="1015"/>
      <c r="I106" s="1015"/>
      <c r="J106" s="1015"/>
      <c r="K106" s="1015"/>
      <c r="L106" s="1015"/>
      <c r="M106" s="1015"/>
      <c r="N106" s="1015"/>
      <c r="O106" s="1015"/>
      <c r="P106" s="403">
        <f t="shared" ref="P106:AK106" si="242">P62+P80+P93</f>
        <v>413.7</v>
      </c>
      <c r="Q106" s="403">
        <f t="shared" si="242"/>
        <v>300</v>
      </c>
      <c r="R106" s="403">
        <f t="shared" si="242"/>
        <v>185.89999999999998</v>
      </c>
      <c r="S106" s="403">
        <f t="shared" si="242"/>
        <v>485.9</v>
      </c>
      <c r="T106" s="403">
        <f t="shared" si="242"/>
        <v>311.2</v>
      </c>
      <c r="U106" s="403">
        <f t="shared" si="242"/>
        <v>205.7</v>
      </c>
      <c r="V106" s="403">
        <f t="shared" si="242"/>
        <v>516.9</v>
      </c>
      <c r="W106" s="403">
        <f t="shared" si="242"/>
        <v>332</v>
      </c>
      <c r="X106" s="403">
        <f t="shared" si="242"/>
        <v>224.9</v>
      </c>
      <c r="Y106" s="403">
        <f t="shared" si="242"/>
        <v>556.9</v>
      </c>
      <c r="Z106" s="403">
        <f t="shared" si="242"/>
        <v>366.29999999999995</v>
      </c>
      <c r="AA106" s="403">
        <f t="shared" si="242"/>
        <v>254.2</v>
      </c>
      <c r="AB106" s="827">
        <f t="shared" si="242"/>
        <v>620.5</v>
      </c>
      <c r="AC106" s="403">
        <f t="shared" si="242"/>
        <v>389.5</v>
      </c>
      <c r="AD106" s="403">
        <f t="shared" si="242"/>
        <v>267.91327962149421</v>
      </c>
      <c r="AE106" s="403">
        <f t="shared" si="242"/>
        <v>657.41327962149421</v>
      </c>
      <c r="AF106" s="403">
        <f t="shared" si="242"/>
        <v>412.01588401168709</v>
      </c>
      <c r="AG106" s="403">
        <f t="shared" si="242"/>
        <v>318.09535354791905</v>
      </c>
      <c r="AH106" s="403">
        <f t="shared" si="242"/>
        <v>729.11123755960614</v>
      </c>
      <c r="AI106" s="403">
        <f t="shared" si="242"/>
        <v>458.41143031214199</v>
      </c>
      <c r="AJ106" s="403">
        <f t="shared" si="242"/>
        <v>351.77837597788891</v>
      </c>
      <c r="AK106" s="403">
        <f t="shared" si="242"/>
        <v>809.82980629003089</v>
      </c>
      <c r="AL106" s="403"/>
      <c r="AM106" s="403"/>
      <c r="AN106" s="403">
        <f>AN62+AN80+AN93</f>
        <v>902.23533529571921</v>
      </c>
      <c r="AO106" s="403"/>
      <c r="AP106" s="403"/>
      <c r="AQ106" s="403">
        <f>AQ62+AQ80+AQ93</f>
        <v>1002.7504944126885</v>
      </c>
      <c r="AR106" s="403"/>
      <c r="AS106" s="403"/>
      <c r="AT106" s="403">
        <f>AT62+AT80+AT93</f>
        <v>1114.2411030517703</v>
      </c>
      <c r="AU106" s="403"/>
      <c r="AV106" s="403"/>
      <c r="AW106" s="403">
        <f>AW62+AW80+AW93</f>
        <v>1238.9595863147936</v>
      </c>
      <c r="AX106" s="403"/>
      <c r="AY106" s="403"/>
      <c r="AZ106" s="403">
        <f>AZ62+AZ80+AZ93</f>
        <v>1378.5444035732401</v>
      </c>
      <c r="BA106" s="403"/>
      <c r="BB106" s="403"/>
      <c r="BC106" s="403">
        <f>BC62+BC80+BC93</f>
        <v>1534.8447436872602</v>
      </c>
      <c r="BD106" s="403"/>
      <c r="BE106" s="403"/>
      <c r="BF106" s="403">
        <f>BF62+BF80+BF93</f>
        <v>1709.9486082900469</v>
      </c>
      <c r="BG106" s="403"/>
      <c r="BH106" s="403"/>
      <c r="BI106" s="403">
        <f>BI62+BI80+BI93</f>
        <v>1904.584925365991</v>
      </c>
      <c r="BJ106" s="1016"/>
    </row>
    <row r="107" spans="1:62" s="312" customFormat="1">
      <c r="A107" s="312" t="s">
        <v>1902</v>
      </c>
      <c r="B107" s="371"/>
      <c r="C107" s="371"/>
      <c r="D107" s="397"/>
      <c r="E107" s="397"/>
      <c r="F107" s="397"/>
      <c r="G107" s="397"/>
      <c r="H107" s="397"/>
      <c r="I107" s="397"/>
      <c r="J107" s="397"/>
      <c r="K107" s="397"/>
      <c r="L107" s="397"/>
      <c r="M107" s="397"/>
      <c r="N107" s="397"/>
      <c r="O107" s="397"/>
      <c r="P107" s="397"/>
      <c r="Q107" s="397"/>
      <c r="R107" s="397"/>
      <c r="S107" s="397">
        <f>S106/P106-1</f>
        <v>0.17452260091853988</v>
      </c>
      <c r="T107" s="503">
        <f t="shared" ref="T107:AE107" si="243">T106/Q106-1</f>
        <v>3.7333333333333218E-2</v>
      </c>
      <c r="U107" s="704">
        <f t="shared" si="243"/>
        <v>0.10650887573964507</v>
      </c>
      <c r="V107" s="397">
        <f t="shared" si="243"/>
        <v>6.3799135624614145E-2</v>
      </c>
      <c r="W107" s="503">
        <f t="shared" si="243"/>
        <v>6.6838046272493568E-2</v>
      </c>
      <c r="X107" s="704">
        <f t="shared" si="243"/>
        <v>9.3339815264948944E-2</v>
      </c>
      <c r="Y107" s="397">
        <f t="shared" si="243"/>
        <v>7.7384407041981129E-2</v>
      </c>
      <c r="Z107" s="503">
        <f t="shared" si="243"/>
        <v>0.10331325301204797</v>
      </c>
      <c r="AA107" s="704">
        <f t="shared" si="243"/>
        <v>0.13028012449977755</v>
      </c>
      <c r="AB107" s="828">
        <f t="shared" si="243"/>
        <v>0.11420362722212252</v>
      </c>
      <c r="AC107" s="503">
        <f t="shared" si="243"/>
        <v>6.3336063336063564E-2</v>
      </c>
      <c r="AD107" s="397">
        <f t="shared" si="243"/>
        <v>5.394681204364371E-2</v>
      </c>
      <c r="AE107" s="397">
        <f t="shared" si="243"/>
        <v>5.9489572315059247E-2</v>
      </c>
      <c r="AF107" s="397">
        <f t="shared" ref="AF107" si="244">AF106/AC106-1</f>
        <v>5.7807147655165814E-2</v>
      </c>
      <c r="AG107" s="397">
        <f t="shared" ref="AG107" si="245">AG106/AD106-1</f>
        <v>0.18730715400640707</v>
      </c>
      <c r="AH107" s="397">
        <f>AH106/AC106-1</f>
        <v>0.87191588590399527</v>
      </c>
      <c r="AI107" s="397">
        <f t="shared" ref="AI107" si="246">AI106/AF106-1</f>
        <v>0.11260620791779674</v>
      </c>
      <c r="AJ107" s="397">
        <f t="shared" ref="AJ107" si="247">AJ106/AG106-1</f>
        <v>0.10588970273938858</v>
      </c>
      <c r="AK107" s="397">
        <f>AK106/AD106-1</f>
        <v>2.0227311144641731</v>
      </c>
      <c r="AL107" s="397"/>
      <c r="AM107" s="397"/>
      <c r="AN107" s="397">
        <f>AN106/AE106-1</f>
        <v>0.37240205402480053</v>
      </c>
      <c r="AO107" s="397"/>
      <c r="AP107" s="397"/>
      <c r="AQ107" s="397">
        <f>AQ106/AH106-1</f>
        <v>0.3753052247130011</v>
      </c>
      <c r="AR107" s="397"/>
      <c r="AS107" s="397"/>
      <c r="AT107" s="397">
        <f>AT106/AK106-1</f>
        <v>0.37589539727649668</v>
      </c>
      <c r="AU107" s="397"/>
      <c r="AV107" s="397"/>
      <c r="AW107" s="397">
        <f>AW106/AN106-1</f>
        <v>0.37321111005778618</v>
      </c>
      <c r="AX107" s="397"/>
      <c r="AY107" s="397"/>
      <c r="AZ107" s="397">
        <f>AZ106/AQ106-1</f>
        <v>0.37476312527839162</v>
      </c>
      <c r="BA107" s="397"/>
      <c r="BB107" s="397"/>
      <c r="BC107" s="397">
        <f>BC106/AT106-1</f>
        <v>0.37747991837988026</v>
      </c>
      <c r="BD107" s="397"/>
      <c r="BE107" s="397"/>
      <c r="BF107" s="397">
        <f>BF106/AW106-1</f>
        <v>0.3801488177481076</v>
      </c>
      <c r="BG107" s="397"/>
      <c r="BH107" s="397"/>
      <c r="BI107" s="397">
        <f>BI106/AZ106-1</f>
        <v>0.38159127876420507</v>
      </c>
      <c r="BJ107" s="336"/>
    </row>
    <row r="108" spans="1:62" s="312" customFormat="1">
      <c r="A108" s="312" t="s">
        <v>1595</v>
      </c>
      <c r="B108" s="371"/>
      <c r="C108" s="371"/>
      <c r="D108" s="397"/>
      <c r="E108" s="397"/>
      <c r="F108" s="397"/>
      <c r="G108" s="397"/>
      <c r="H108" s="397"/>
      <c r="I108" s="397"/>
      <c r="J108" s="397"/>
      <c r="K108" s="397"/>
      <c r="L108" s="397"/>
      <c r="M108" s="397"/>
      <c r="N108" s="397"/>
      <c r="O108" s="397"/>
      <c r="P108" s="397"/>
      <c r="Q108" s="397"/>
      <c r="R108" s="397"/>
      <c r="S108" s="397">
        <f>S106/S102</f>
        <v>0.34256909193457413</v>
      </c>
      <c r="T108" s="503">
        <f t="shared" ref="T108:BF108" si="248">T106/T102</f>
        <v>0.35045163440867483</v>
      </c>
      <c r="U108" s="704">
        <f t="shared" si="248"/>
        <v>0.34834708714434975</v>
      </c>
      <c r="V108" s="397">
        <f t="shared" si="248"/>
        <v>0.34961109232330062</v>
      </c>
      <c r="W108" s="503">
        <f t="shared" si="248"/>
        <v>0.3665138789532717</v>
      </c>
      <c r="X108" s="704">
        <f t="shared" si="248"/>
        <v>0.36026193878270235</v>
      </c>
      <c r="Y108" s="397">
        <f t="shared" si="248"/>
        <v>0.36396313966407423</v>
      </c>
      <c r="Z108" s="503">
        <f t="shared" si="248"/>
        <v>0.36721804511278194</v>
      </c>
      <c r="AA108" s="704">
        <f t="shared" ref="AA108" si="249">AA106/AA102</f>
        <v>0.36359007293256418</v>
      </c>
      <c r="AB108" s="828">
        <f t="shared" si="248"/>
        <v>0.36572305599482274</v>
      </c>
      <c r="AC108" s="503">
        <f t="shared" si="248"/>
        <v>0.3545098753071812</v>
      </c>
      <c r="AD108" s="397">
        <f t="shared" si="248"/>
        <v>0.35598359060555324</v>
      </c>
      <c r="AE108" s="397">
        <f t="shared" si="248"/>
        <v>0.35510897767072019</v>
      </c>
      <c r="AF108" s="397">
        <f t="shared" ref="AF108:AG108" si="250">AF106/AF102</f>
        <v>0.34983037452826637</v>
      </c>
      <c r="AG108" s="397">
        <f t="shared" si="250"/>
        <v>0.37034215804404264</v>
      </c>
      <c r="AH108" s="397">
        <f t="shared" si="248"/>
        <v>0.35798974397876937</v>
      </c>
      <c r="AI108" s="397">
        <f t="shared" si="248"/>
        <v>0.36199950799405506</v>
      </c>
      <c r="AJ108" s="397">
        <f t="shared" si="248"/>
        <v>0.35664153062842113</v>
      </c>
      <c r="AK108" s="397">
        <f t="shared" si="248"/>
        <v>0.35949365857420618</v>
      </c>
      <c r="AL108" s="397"/>
      <c r="AM108" s="397"/>
      <c r="AN108" s="397">
        <f t="shared" si="248"/>
        <v>0.36183025104401106</v>
      </c>
      <c r="AO108" s="397"/>
      <c r="AP108" s="397"/>
      <c r="AQ108" s="397">
        <f t="shared" si="248"/>
        <v>0.36395430271445217</v>
      </c>
      <c r="AR108" s="397"/>
      <c r="AS108" s="397"/>
      <c r="AT108" s="397">
        <f t="shared" si="248"/>
        <v>0.36627732570623289</v>
      </c>
      <c r="AU108" s="397"/>
      <c r="AV108" s="397"/>
      <c r="AW108" s="397">
        <f t="shared" si="248"/>
        <v>0.36859193920001648</v>
      </c>
      <c r="AX108" s="397"/>
      <c r="AY108" s="397"/>
      <c r="AZ108" s="397">
        <f t="shared" si="248"/>
        <v>0.37089737121940697</v>
      </c>
      <c r="BA108" s="397"/>
      <c r="BB108" s="397"/>
      <c r="BC108" s="397">
        <f t="shared" si="248"/>
        <v>0.37319292298835227</v>
      </c>
      <c r="BD108" s="397"/>
      <c r="BE108" s="397"/>
      <c r="BF108" s="397">
        <f t="shared" si="248"/>
        <v>0.37547796566870484</v>
      </c>
      <c r="BG108" s="397"/>
      <c r="BH108" s="397"/>
      <c r="BI108" s="397">
        <f t="shared" ref="BI108" si="251">BI106/BI102</f>
        <v>0.37742895470024335</v>
      </c>
      <c r="BJ108" s="336"/>
    </row>
    <row r="109" spans="1:62" s="312" customFormat="1">
      <c r="B109" s="371"/>
      <c r="C109" s="371"/>
      <c r="D109" s="397"/>
      <c r="E109" s="397"/>
      <c r="F109" s="397"/>
      <c r="G109" s="397"/>
      <c r="H109" s="397"/>
      <c r="I109" s="397"/>
      <c r="J109" s="397"/>
      <c r="K109" s="397"/>
      <c r="L109" s="397"/>
      <c r="M109" s="397"/>
      <c r="N109" s="397"/>
      <c r="O109" s="397"/>
      <c r="P109" s="397"/>
      <c r="Q109" s="397"/>
      <c r="R109" s="397"/>
      <c r="S109" s="397"/>
      <c r="T109" s="503"/>
      <c r="U109" s="704"/>
      <c r="V109" s="397"/>
      <c r="W109" s="503"/>
      <c r="X109" s="704"/>
      <c r="Y109" s="397"/>
      <c r="Z109" s="503"/>
      <c r="AA109" s="704"/>
      <c r="AB109" s="828"/>
      <c r="AC109" s="503"/>
      <c r="AD109" s="397"/>
      <c r="AE109" s="397"/>
      <c r="AF109" s="397"/>
      <c r="AG109" s="397"/>
      <c r="AH109" s="397"/>
      <c r="AI109" s="397"/>
      <c r="AJ109" s="397"/>
      <c r="AK109" s="397"/>
      <c r="AL109" s="397"/>
      <c r="AM109" s="397"/>
      <c r="AN109" s="397"/>
      <c r="AO109" s="397"/>
      <c r="AP109" s="397"/>
      <c r="AQ109" s="397"/>
      <c r="AR109" s="397"/>
      <c r="AS109" s="397"/>
      <c r="AT109" s="397"/>
      <c r="AU109" s="397"/>
      <c r="AV109" s="397"/>
      <c r="AW109" s="397"/>
      <c r="AX109" s="397"/>
      <c r="AY109" s="397"/>
      <c r="AZ109" s="397"/>
      <c r="BA109" s="397"/>
      <c r="BB109" s="397"/>
      <c r="BC109" s="397"/>
      <c r="BD109" s="397"/>
      <c r="BE109" s="397"/>
      <c r="BF109" s="397"/>
      <c r="BG109" s="397"/>
      <c r="BH109" s="397"/>
      <c r="BI109" s="397"/>
      <c r="BJ109" s="336"/>
    </row>
    <row r="110" spans="1:62" s="344" customFormat="1">
      <c r="A110" s="461" t="s">
        <v>1646</v>
      </c>
      <c r="B110" s="462">
        <f>+B71+B84</f>
        <v>49.142000000000003</v>
      </c>
      <c r="C110" s="462">
        <f>+C71+C84</f>
        <v>29.877999999999993</v>
      </c>
      <c r="D110" s="463">
        <f>+D71+D84</f>
        <v>79.02</v>
      </c>
      <c r="E110" s="463">
        <f>+E71+E84</f>
        <v>55.198999999999998</v>
      </c>
      <c r="F110" s="463">
        <f>+G110-E110</f>
        <v>31.710000000000008</v>
      </c>
      <c r="G110" s="463">
        <f t="shared" ref="G110:R110" si="252">+G71+G84</f>
        <v>86.909000000000006</v>
      </c>
      <c r="H110" s="463">
        <f t="shared" si="252"/>
        <v>62.337999999999994</v>
      </c>
      <c r="I110" s="463">
        <f t="shared" si="252"/>
        <v>35.007000000000005</v>
      </c>
      <c r="J110" s="463">
        <f t="shared" si="252"/>
        <v>97.344999999999999</v>
      </c>
      <c r="K110" s="463">
        <f t="shared" si="252"/>
        <v>72.988</v>
      </c>
      <c r="L110" s="463">
        <f t="shared" si="252"/>
        <v>36.911999999999999</v>
      </c>
      <c r="M110" s="463">
        <f t="shared" si="252"/>
        <v>109.9</v>
      </c>
      <c r="N110" s="463">
        <f t="shared" si="252"/>
        <v>94.605999999999995</v>
      </c>
      <c r="O110" s="463">
        <f t="shared" si="252"/>
        <v>41.823999999999998</v>
      </c>
      <c r="P110" s="463">
        <f t="shared" si="252"/>
        <v>136.43</v>
      </c>
      <c r="Q110" s="463">
        <f t="shared" si="252"/>
        <v>112.511</v>
      </c>
      <c r="R110" s="463">
        <f t="shared" si="252"/>
        <v>43.888999999999996</v>
      </c>
      <c r="S110" s="817">
        <v>156.4</v>
      </c>
      <c r="T110" s="817">
        <v>121.108</v>
      </c>
      <c r="U110" s="463">
        <f>+U71+U84</f>
        <v>50.912999999999982</v>
      </c>
      <c r="V110" s="817">
        <v>172.02099999999999</v>
      </c>
      <c r="W110" s="817">
        <v>131.011</v>
      </c>
      <c r="X110" s="463">
        <f>+X71+X84</f>
        <v>54.702000000000012</v>
      </c>
      <c r="Y110" s="817">
        <v>185.71299999999999</v>
      </c>
      <c r="Z110" s="817">
        <v>144.80000000000001</v>
      </c>
      <c r="AA110" s="463">
        <f>+AA71+AA84</f>
        <v>59.766000000000005</v>
      </c>
      <c r="AB110" s="875">
        <v>204.566</v>
      </c>
      <c r="AC110" s="817">
        <v>145.80000000000001</v>
      </c>
      <c r="AD110" s="463">
        <f>MODEL!AD44</f>
        <v>60.647829458216393</v>
      </c>
      <c r="AE110" s="463">
        <f>MODEL!AE44</f>
        <v>206.47282945821638</v>
      </c>
      <c r="AF110" s="463">
        <f>MODEL!AF44</f>
        <v>155.99692967201278</v>
      </c>
      <c r="AG110" s="463">
        <f>MODEL!AG44</f>
        <v>82.721182422689282</v>
      </c>
      <c r="AH110" s="463">
        <f>MODEL!AH44</f>
        <v>238.71811209470206</v>
      </c>
      <c r="AI110" s="463">
        <f>MODEL!AI44</f>
        <v>183.73302995006867</v>
      </c>
      <c r="AJ110" s="463">
        <f>MODEL!AJ44</f>
        <v>87.070813237863206</v>
      </c>
      <c r="AK110" s="463">
        <f>MODEL!AK44</f>
        <v>270.80384318793188</v>
      </c>
      <c r="AL110" s="463"/>
      <c r="AM110" s="463"/>
      <c r="AN110" s="463">
        <f>MODEL!AN44</f>
        <v>310.81835333034451</v>
      </c>
      <c r="AO110" s="463"/>
      <c r="AP110" s="463"/>
      <c r="AQ110" s="463">
        <f>MODEL!AQ44</f>
        <v>354.79200103757944</v>
      </c>
      <c r="AR110" s="463"/>
      <c r="AS110" s="463"/>
      <c r="AT110" s="463">
        <f>MODEL!AT44</f>
        <v>404.89004776743514</v>
      </c>
      <c r="AU110" s="463"/>
      <c r="AV110" s="463"/>
      <c r="AW110" s="463">
        <f>MODEL!AW44</f>
        <v>456.84363293794786</v>
      </c>
      <c r="AX110" s="463"/>
      <c r="AY110" s="463"/>
      <c r="AZ110" s="463">
        <f>MODEL!AZ44</f>
        <v>515.58056946429065</v>
      </c>
      <c r="BA110" s="463"/>
      <c r="BB110" s="463"/>
      <c r="BC110" s="463">
        <f>MODEL!BC44</f>
        <v>582.00386235350811</v>
      </c>
      <c r="BD110" s="463"/>
      <c r="BE110" s="463"/>
      <c r="BF110" s="463">
        <f>MODEL!BF44</f>
        <v>657.13946302647389</v>
      </c>
      <c r="BG110" s="463"/>
      <c r="BH110" s="463"/>
      <c r="BI110" s="463">
        <f>MODEL!BI44</f>
        <v>740.52360059733451</v>
      </c>
      <c r="BJ110" s="374"/>
    </row>
    <row r="111" spans="1:62" s="312" customFormat="1">
      <c r="A111" s="312" t="s">
        <v>1359</v>
      </c>
      <c r="B111" s="371">
        <f>B110/46.053-1</f>
        <v>6.7074891972292994E-2</v>
      </c>
      <c r="C111" s="371"/>
      <c r="D111" s="397">
        <f>D110/73.732-1</f>
        <v>7.1719199262192834E-2</v>
      </c>
      <c r="E111" s="397">
        <f t="shared" ref="E111:R111" si="253">E110/B110-1</f>
        <v>0.12325505677424586</v>
      </c>
      <c r="F111" s="397">
        <f t="shared" si="253"/>
        <v>6.1316018475132683E-2</v>
      </c>
      <c r="G111" s="397">
        <f t="shared" si="253"/>
        <v>9.9835484687420983E-2</v>
      </c>
      <c r="H111" s="397">
        <f t="shared" si="253"/>
        <v>0.12933205311690421</v>
      </c>
      <c r="I111" s="397">
        <f t="shared" si="253"/>
        <v>0.10397350993377463</v>
      </c>
      <c r="J111" s="397">
        <f t="shared" si="253"/>
        <v>0.1200796235142505</v>
      </c>
      <c r="K111" s="397">
        <f t="shared" si="253"/>
        <v>0.1708428246013669</v>
      </c>
      <c r="L111" s="397">
        <f t="shared" si="253"/>
        <v>5.4417687890992994E-2</v>
      </c>
      <c r="M111" s="397">
        <f t="shared" si="253"/>
        <v>0.1289742667830911</v>
      </c>
      <c r="N111" s="397">
        <f t="shared" si="253"/>
        <v>0.29618567435742849</v>
      </c>
      <c r="O111" s="397">
        <f t="shared" si="253"/>
        <v>0.13307325530992631</v>
      </c>
      <c r="P111" s="397">
        <f t="shared" si="253"/>
        <v>0.24140127388535038</v>
      </c>
      <c r="Q111" s="397">
        <f t="shared" si="253"/>
        <v>0.18925860939052486</v>
      </c>
      <c r="R111" s="397">
        <f t="shared" si="253"/>
        <v>4.9373565416985343E-2</v>
      </c>
      <c r="S111" s="397">
        <f>S110/P110-1</f>
        <v>0.14637543062376301</v>
      </c>
      <c r="T111" s="397">
        <f t="shared" ref="T111:U111" si="254">T110/Q110-1</f>
        <v>7.6410306547804341E-2</v>
      </c>
      <c r="U111" s="397">
        <f t="shared" si="254"/>
        <v>0.16004010116430045</v>
      </c>
      <c r="V111" s="397">
        <f>V110/S110-1</f>
        <v>9.9878516624040792E-2</v>
      </c>
      <c r="W111" s="397">
        <f t="shared" ref="W111" si="255">W110/T110-1</f>
        <v>8.1769990421772132E-2</v>
      </c>
      <c r="X111" s="397">
        <f>X110/U110-1</f>
        <v>7.4421071239173298E-2</v>
      </c>
      <c r="Y111" s="397">
        <f>Y110/V110-1</f>
        <v>7.9594933176763361E-2</v>
      </c>
      <c r="Z111" s="397">
        <f t="shared" ref="Z111" si="256">Z110/W110-1</f>
        <v>0.10525070413934712</v>
      </c>
      <c r="AA111" s="397">
        <f>AA110/X110-1</f>
        <v>9.2574311725348135E-2</v>
      </c>
      <c r="AB111" s="828">
        <f>AB110/Y110-1</f>
        <v>0.10151685665516141</v>
      </c>
      <c r="AC111" s="397">
        <f t="shared" ref="AC111" si="257">AC110/Z110-1</f>
        <v>6.906077348066253E-3</v>
      </c>
      <c r="AD111" s="397">
        <f t="shared" ref="AD111" si="258">AD110/AA110-1</f>
        <v>1.475470097072562E-2</v>
      </c>
      <c r="AE111" s="397">
        <f>AE110/AB110-1</f>
        <v>9.32134107435445E-3</v>
      </c>
      <c r="AF111" s="397">
        <f t="shared" ref="AF111" si="259">AF110/AC110-1</f>
        <v>6.9937789245629434E-2</v>
      </c>
      <c r="AG111" s="397">
        <f t="shared" ref="AG111" si="260">AG110/AD110-1</f>
        <v>0.36395948810798617</v>
      </c>
      <c r="AH111" s="397">
        <f>AH110/AE110-1</f>
        <v>0.15617203833113114</v>
      </c>
      <c r="AI111" s="397">
        <f t="shared" ref="AI111" si="261">AI110/AF110-1</f>
        <v>0.17779901397015752</v>
      </c>
      <c r="AJ111" s="397">
        <f t="shared" ref="AJ111" si="262">AJ110/AG110-1</f>
        <v>5.2581825933630366E-2</v>
      </c>
      <c r="AK111" s="397">
        <f>AK110/AH110-1</f>
        <v>0.13440844857427936</v>
      </c>
      <c r="AL111" s="397"/>
      <c r="AM111" s="397"/>
      <c r="AN111" s="397">
        <f>AN110/AK110-1</f>
        <v>0.14776197291499837</v>
      </c>
      <c r="AO111" s="397"/>
      <c r="AP111" s="397"/>
      <c r="AQ111" s="397">
        <f>AQ110/AN110-1</f>
        <v>0.14147699849789364</v>
      </c>
      <c r="AR111" s="397"/>
      <c r="AS111" s="397"/>
      <c r="AT111" s="397">
        <f>AT110/AQ110-1</f>
        <v>0.14120399158759311</v>
      </c>
      <c r="AU111" s="397"/>
      <c r="AV111" s="397"/>
      <c r="AW111" s="397">
        <f>AW110/AT110-1</f>
        <v>0.12831529314436096</v>
      </c>
      <c r="AX111" s="397"/>
      <c r="AY111" s="397"/>
      <c r="AZ111" s="397">
        <f>AZ110/AW110-1</f>
        <v>0.12857120531287114</v>
      </c>
      <c r="BA111" s="397"/>
      <c r="BB111" s="397"/>
      <c r="BC111" s="397">
        <f>BC110/AZ110-1</f>
        <v>0.12883203290270218</v>
      </c>
      <c r="BD111" s="397"/>
      <c r="BE111" s="397"/>
      <c r="BF111" s="397">
        <f>BF110/BC110-1</f>
        <v>0.12909811348868439</v>
      </c>
      <c r="BG111" s="397"/>
      <c r="BH111" s="397"/>
      <c r="BI111" s="397">
        <f t="shared" ref="BI111" si="263">BI110/BF110-1</f>
        <v>0.12688956037860311</v>
      </c>
      <c r="BJ111" s="336"/>
    </row>
    <row r="112" spans="1:62" s="312" customFormat="1">
      <c r="A112" s="312" t="s">
        <v>1566</v>
      </c>
      <c r="B112" s="437">
        <f t="shared" ref="B112:BF112" si="264">+B110/B102</f>
        <v>0.14488984809887728</v>
      </c>
      <c r="C112" s="437">
        <f t="shared" si="264"/>
        <v>0.11208523249488862</v>
      </c>
      <c r="D112" s="402">
        <f t="shared" si="264"/>
        <v>0.13045351664842428</v>
      </c>
      <c r="E112" s="402">
        <f t="shared" si="264"/>
        <v>0.14322150437196751</v>
      </c>
      <c r="F112" s="402">
        <f t="shared" si="264"/>
        <v>0.11879162951696652</v>
      </c>
      <c r="G112" s="402">
        <f t="shared" si="264"/>
        <v>0.13322490449882576</v>
      </c>
      <c r="H112" s="402">
        <f t="shared" si="264"/>
        <v>0.14155791366824788</v>
      </c>
      <c r="I112" s="402">
        <f t="shared" si="264"/>
        <v>0.10953516314346864</v>
      </c>
      <c r="J112" s="402">
        <f t="shared" si="264"/>
        <v>0.12809108816567033</v>
      </c>
      <c r="K112" s="402">
        <f t="shared" si="264"/>
        <v>0.13221649391160689</v>
      </c>
      <c r="L112" s="402">
        <f t="shared" si="264"/>
        <v>9.2231578421328786E-2</v>
      </c>
      <c r="M112" s="402">
        <f t="shared" si="264"/>
        <v>0.11541159618753177</v>
      </c>
      <c r="N112" s="402">
        <f t="shared" si="264"/>
        <v>0.13306833877669286</v>
      </c>
      <c r="O112" s="402">
        <f t="shared" si="264"/>
        <v>8.7736337872167239E-2</v>
      </c>
      <c r="P112" s="402">
        <f t="shared" si="264"/>
        <v>0.11487304015714948</v>
      </c>
      <c r="Q112" s="402">
        <f t="shared" si="264"/>
        <v>0.12804853760104884</v>
      </c>
      <c r="R112" s="402">
        <f t="shared" si="264"/>
        <v>8.1314926974233939E-2</v>
      </c>
      <c r="S112" s="402">
        <f t="shared" si="264"/>
        <v>0.11026508742244782</v>
      </c>
      <c r="T112" s="402">
        <f t="shared" si="264"/>
        <v>0.13638334363742222</v>
      </c>
      <c r="U112" s="402">
        <f t="shared" si="264"/>
        <v>8.6219714379097104E-2</v>
      </c>
      <c r="V112" s="402">
        <f t="shared" si="264"/>
        <v>0.11634832600608724</v>
      </c>
      <c r="W112" s="402">
        <f t="shared" si="264"/>
        <v>0.14463057167333457</v>
      </c>
      <c r="X112" s="402">
        <f t="shared" si="264"/>
        <v>8.7625827369014628E-2</v>
      </c>
      <c r="Y112" s="402">
        <f t="shared" si="264"/>
        <v>0.12137311286843998</v>
      </c>
      <c r="Z112" s="402">
        <f t="shared" si="264"/>
        <v>0.14516290726817047</v>
      </c>
      <c r="AA112" s="402">
        <f t="shared" ref="AA112" si="265">+AA110/AA102</f>
        <v>8.5485146730478495E-2</v>
      </c>
      <c r="AB112" s="832">
        <f t="shared" si="264"/>
        <v>0.12057131776412072</v>
      </c>
      <c r="AC112" s="402">
        <f t="shared" ref="AC112" si="266">+AC110/AC102</f>
        <v>0.13270228451806682</v>
      </c>
      <c r="AD112" s="402">
        <f t="shared" si="264"/>
        <v>8.058440448891066E-2</v>
      </c>
      <c r="AE112" s="402">
        <f t="shared" si="264"/>
        <v>0.1115285584555006</v>
      </c>
      <c r="AF112" s="402">
        <f t="shared" ref="AF112:AG112" si="267">+AF110/AF102</f>
        <v>0.13245233120884214</v>
      </c>
      <c r="AG112" s="402">
        <f t="shared" si="267"/>
        <v>9.6308043712932404E-2</v>
      </c>
      <c r="AH112" s="402">
        <f t="shared" si="264"/>
        <v>0.11720932476354975</v>
      </c>
      <c r="AI112" s="402">
        <f t="shared" si="264"/>
        <v>0.14509076791321046</v>
      </c>
      <c r="AJ112" s="402">
        <f t="shared" si="264"/>
        <v>8.8274522332108238E-2</v>
      </c>
      <c r="AK112" s="402">
        <f t="shared" si="264"/>
        <v>0.12021323935898663</v>
      </c>
      <c r="AL112" s="402"/>
      <c r="AM112" s="402"/>
      <c r="AN112" s="402">
        <f t="shared" si="264"/>
        <v>0.12464983182879147</v>
      </c>
      <c r="AO112" s="402"/>
      <c r="AP112" s="402"/>
      <c r="AQ112" s="402">
        <f t="shared" si="264"/>
        <v>0.12877388349923258</v>
      </c>
      <c r="AR112" s="402"/>
      <c r="AS112" s="402"/>
      <c r="AT112" s="402">
        <f t="shared" si="264"/>
        <v>0.13309690649101336</v>
      </c>
      <c r="AU112" s="402"/>
      <c r="AV112" s="402"/>
      <c r="AW112" s="402">
        <f t="shared" si="264"/>
        <v>0.13591151998479686</v>
      </c>
      <c r="AX112" s="402"/>
      <c r="AY112" s="402"/>
      <c r="AZ112" s="402">
        <f t="shared" si="264"/>
        <v>0.13871695200418738</v>
      </c>
      <c r="BA112" s="402"/>
      <c r="BB112" s="402"/>
      <c r="BC112" s="402">
        <f t="shared" si="264"/>
        <v>0.14151250377313271</v>
      </c>
      <c r="BD112" s="402"/>
      <c r="BE112" s="402"/>
      <c r="BF112" s="402">
        <f t="shared" si="264"/>
        <v>0.14429754645348525</v>
      </c>
      <c r="BG112" s="402"/>
      <c r="BH112" s="402"/>
      <c r="BI112" s="402">
        <f t="shared" ref="BI112" si="268">+BI110/BI102</f>
        <v>0.14674853548502376</v>
      </c>
      <c r="BJ112" s="341"/>
    </row>
    <row r="113" spans="1:62" s="312" customFormat="1">
      <c r="A113" s="376"/>
      <c r="B113" s="329"/>
      <c r="C113" s="436"/>
      <c r="D113" s="408"/>
      <c r="E113" s="409"/>
      <c r="F113" s="409"/>
      <c r="G113" s="402"/>
      <c r="H113" s="409"/>
      <c r="I113" s="409"/>
      <c r="J113" s="534"/>
      <c r="K113" s="476"/>
      <c r="L113" s="476"/>
      <c r="M113" s="476"/>
      <c r="N113" s="476"/>
      <c r="O113" s="476"/>
      <c r="P113" s="476"/>
      <c r="Q113" s="476"/>
      <c r="R113" s="476"/>
      <c r="S113" s="476"/>
      <c r="T113" s="476"/>
      <c r="U113" s="476"/>
      <c r="V113" s="476"/>
      <c r="W113" s="476"/>
      <c r="X113" s="476"/>
      <c r="Y113" s="476"/>
      <c r="Z113" s="476"/>
      <c r="AA113" s="476"/>
      <c r="AB113" s="876"/>
      <c r="AC113" s="476"/>
      <c r="AD113" s="476"/>
      <c r="AE113" s="476"/>
      <c r="AF113" s="476"/>
      <c r="AG113" s="476"/>
      <c r="AH113" s="476"/>
      <c r="AI113" s="476"/>
      <c r="AJ113" s="476"/>
      <c r="AK113" s="476"/>
      <c r="AL113" s="476"/>
      <c r="AM113" s="476"/>
      <c r="AN113" s="476"/>
      <c r="AO113" s="476"/>
      <c r="AP113" s="476"/>
      <c r="AQ113" s="476"/>
      <c r="AR113" s="476"/>
      <c r="AS113" s="476"/>
      <c r="AT113" s="476"/>
      <c r="AU113" s="476"/>
      <c r="AV113" s="476"/>
      <c r="AW113" s="476"/>
      <c r="AX113" s="476"/>
      <c r="AY113" s="476"/>
      <c r="AZ113" s="476"/>
      <c r="BA113" s="476"/>
      <c r="BB113" s="476"/>
      <c r="BC113" s="476"/>
      <c r="BD113" s="476"/>
      <c r="BE113" s="476"/>
      <c r="BF113" s="476"/>
      <c r="BG113" s="476"/>
      <c r="BH113" s="476"/>
      <c r="BI113" s="476"/>
      <c r="BJ113" s="377"/>
    </row>
    <row r="116" spans="1:62">
      <c r="A116" s="1173" t="s">
        <v>2014</v>
      </c>
      <c r="B116" s="1169"/>
      <c r="C116" s="1169"/>
      <c r="D116" s="1170"/>
      <c r="E116" s="1170"/>
      <c r="F116" s="1170"/>
      <c r="G116" s="1170"/>
      <c r="H116" s="1170"/>
      <c r="I116" s="1170"/>
      <c r="J116" s="1170"/>
      <c r="K116" s="1170"/>
      <c r="L116" s="1170"/>
      <c r="M116" s="1170"/>
      <c r="N116" s="1170"/>
      <c r="O116" s="1170"/>
      <c r="P116" s="1170"/>
      <c r="Q116" s="1170"/>
      <c r="R116" s="1170"/>
      <c r="S116" s="1170"/>
      <c r="T116" s="1170"/>
      <c r="U116" s="1170"/>
      <c r="V116" s="1170"/>
      <c r="W116" s="1170"/>
      <c r="X116" s="1170"/>
      <c r="Y116" s="1171"/>
      <c r="Z116" s="1171"/>
      <c r="AA116" s="1170"/>
      <c r="AB116" s="1172"/>
      <c r="AC116" s="1171"/>
      <c r="AD116" s="1170"/>
      <c r="AE116" s="1170"/>
      <c r="AF116" s="1170"/>
      <c r="AG116" s="1170"/>
      <c r="AH116" s="1170"/>
      <c r="AI116" s="1170"/>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row>
    <row r="117" spans="1:62">
      <c r="A117" s="314" t="s">
        <v>1229</v>
      </c>
      <c r="V117" s="505"/>
      <c r="Y117" s="1174">
        <v>0.16</v>
      </c>
      <c r="Z117" s="1168"/>
      <c r="AB117" s="1175">
        <v>0.16</v>
      </c>
      <c r="AC117" s="1168"/>
    </row>
    <row r="118" spans="1:62">
      <c r="A118" s="314" t="s">
        <v>2015</v>
      </c>
      <c r="Y118" s="1174">
        <v>7.0000000000000007E-2</v>
      </c>
      <c r="AB118" s="1175">
        <v>0.06</v>
      </c>
    </row>
    <row r="119" spans="1:62">
      <c r="A119" s="314" t="s">
        <v>1874</v>
      </c>
      <c r="Y119" s="1174">
        <v>0.21</v>
      </c>
      <c r="AB119" s="1175">
        <v>0.22</v>
      </c>
    </row>
    <row r="120" spans="1:62">
      <c r="A120" s="314" t="s">
        <v>1875</v>
      </c>
      <c r="Y120" s="1174">
        <v>0.56000000000000005</v>
      </c>
      <c r="AB120" s="1175">
        <v>0.56000000000000005</v>
      </c>
      <c r="AD120" s="889"/>
      <c r="AE120" s="889"/>
      <c r="AF120" s="889"/>
      <c r="AG120" s="889"/>
      <c r="AH120" s="889"/>
      <c r="AI120" s="889"/>
      <c r="AJ120" s="889"/>
      <c r="AK120" s="889"/>
      <c r="AL120" s="889"/>
      <c r="AM120" s="889"/>
      <c r="AN120" s="889"/>
      <c r="AO120" s="889"/>
      <c r="AP120" s="889"/>
      <c r="AQ120" s="889"/>
      <c r="AR120" s="889"/>
      <c r="AS120" s="889"/>
      <c r="AT120" s="889"/>
      <c r="AU120" s="889"/>
      <c r="AV120" s="889"/>
      <c r="AW120" s="889"/>
      <c r="AX120" s="889"/>
      <c r="AY120" s="889"/>
      <c r="AZ120" s="889"/>
      <c r="BA120" s="889"/>
      <c r="BB120" s="889"/>
      <c r="BC120" s="889"/>
      <c r="BD120" s="889"/>
      <c r="BE120" s="889"/>
    </row>
    <row r="121" spans="1:62">
      <c r="AB121" s="1018"/>
    </row>
    <row r="122" spans="1:62">
      <c r="A122" s="315" t="s">
        <v>2016</v>
      </c>
      <c r="AB122" s="1018"/>
    </row>
    <row r="123" spans="1:62">
      <c r="A123" s="314" t="s">
        <v>1229</v>
      </c>
      <c r="Y123" s="1174">
        <v>0.4</v>
      </c>
      <c r="AB123" s="1175">
        <v>0.39</v>
      </c>
    </row>
    <row r="124" spans="1:62">
      <c r="A124" s="314" t="s">
        <v>2015</v>
      </c>
      <c r="Y124" s="1174">
        <v>0.1</v>
      </c>
      <c r="AB124" s="1175">
        <v>0.1</v>
      </c>
    </row>
    <row r="125" spans="1:62">
      <c r="A125" s="314" t="s">
        <v>1874</v>
      </c>
      <c r="Y125" s="1174">
        <v>0.2</v>
      </c>
      <c r="AB125" s="1175">
        <v>0.19</v>
      </c>
    </row>
    <row r="126" spans="1:62">
      <c r="A126" s="314" t="s">
        <v>1875</v>
      </c>
      <c r="Y126" s="1174">
        <v>0.3</v>
      </c>
      <c r="AB126" s="1175">
        <v>0.32</v>
      </c>
    </row>
    <row r="127" spans="1:62">
      <c r="AD127" s="889"/>
      <c r="AE127" s="889"/>
      <c r="AF127" s="889"/>
      <c r="AG127" s="889"/>
      <c r="AH127" s="889"/>
      <c r="AI127" s="889"/>
      <c r="AJ127" s="889"/>
      <c r="AK127" s="889"/>
      <c r="AL127" s="889"/>
      <c r="AM127" s="889"/>
      <c r="AN127" s="889"/>
      <c r="AO127" s="889"/>
      <c r="AP127" s="889"/>
      <c r="AQ127" s="889"/>
      <c r="AR127" s="889"/>
      <c r="AS127" s="889"/>
      <c r="AT127" s="889"/>
      <c r="AU127" s="889"/>
      <c r="AV127" s="889"/>
      <c r="AW127" s="889"/>
      <c r="AX127" s="889"/>
      <c r="AY127" s="889"/>
      <c r="AZ127" s="889"/>
      <c r="BA127" s="889"/>
      <c r="BB127" s="889"/>
      <c r="BC127" s="889"/>
      <c r="BD127" s="889"/>
      <c r="BE127" s="889"/>
    </row>
    <row r="128" spans="1:62">
      <c r="A128" s="315" t="s">
        <v>1559</v>
      </c>
      <c r="BC128" s="889"/>
      <c r="BD128" s="889"/>
      <c r="BE128" s="889"/>
    </row>
    <row r="129" spans="1:57">
      <c r="A129" s="314" t="s">
        <v>1229</v>
      </c>
      <c r="Y129" s="1178">
        <f>Y117*Y$102</f>
        <v>244.816</v>
      </c>
      <c r="AB129" s="1177">
        <f>AB117*AB$102</f>
        <v>271.46224000000001</v>
      </c>
    </row>
    <row r="130" spans="1:57">
      <c r="A130" s="314" t="s">
        <v>2015</v>
      </c>
      <c r="Y130" s="1178">
        <f t="shared" ref="Y130:Y132" si="269">Y118*Y$102</f>
        <v>107.107</v>
      </c>
      <c r="AB130" s="1177">
        <f t="shared" ref="AB130:AB132" si="270">AB118*AB$102</f>
        <v>101.79834</v>
      </c>
    </row>
    <row r="131" spans="1:57">
      <c r="A131" s="314" t="s">
        <v>1874</v>
      </c>
      <c r="Y131" s="1178">
        <f t="shared" si="269"/>
        <v>321.32099999999997</v>
      </c>
      <c r="AB131" s="1177">
        <f t="shared" si="270"/>
        <v>373.26058</v>
      </c>
      <c r="BC131" s="889"/>
      <c r="BD131" s="889"/>
      <c r="BE131" s="889"/>
    </row>
    <row r="132" spans="1:57">
      <c r="A132" s="314" t="s">
        <v>1875</v>
      </c>
      <c r="Y132" s="1178">
        <f t="shared" si="269"/>
        <v>856.85599999999999</v>
      </c>
      <c r="AB132" s="1177">
        <f t="shared" si="270"/>
        <v>950.11784</v>
      </c>
    </row>
    <row r="134" spans="1:57">
      <c r="A134" s="315" t="s">
        <v>2017</v>
      </c>
      <c r="AE134" s="889"/>
      <c r="AH134" s="889"/>
      <c r="AK134" s="889"/>
      <c r="AL134" s="889"/>
      <c r="AM134" s="889"/>
      <c r="AN134" s="889"/>
      <c r="AO134" s="889"/>
      <c r="AP134" s="889"/>
      <c r="AQ134" s="889"/>
      <c r="AR134" s="889"/>
      <c r="AS134" s="889"/>
      <c r="AT134" s="889"/>
      <c r="AU134" s="889"/>
      <c r="AV134" s="889"/>
      <c r="AW134" s="889"/>
      <c r="AX134" s="889"/>
      <c r="AY134" s="889"/>
      <c r="AZ134" s="889"/>
      <c r="BA134" s="889"/>
      <c r="BB134" s="889"/>
      <c r="BC134" s="889"/>
      <c r="BD134" s="889"/>
      <c r="BE134" s="889"/>
    </row>
    <row r="135" spans="1:57">
      <c r="A135" s="314" t="s">
        <v>1799</v>
      </c>
      <c r="Y135" s="1176">
        <f>Y129+Y130-Y49</f>
        <v>76.523000000000025</v>
      </c>
      <c r="AB135" s="1176">
        <f>AB129+AB130-AB49</f>
        <v>69.288580000000024</v>
      </c>
    </row>
    <row r="136" spans="1:57">
      <c r="A136" s="314" t="s">
        <v>1874</v>
      </c>
      <c r="Y136" s="1168">
        <f>Y131-Y56</f>
        <v>-3.8790000000000191</v>
      </c>
      <c r="AB136" s="1176">
        <f>AB131-AB56</f>
        <v>-1.1744199999999978</v>
      </c>
    </row>
    <row r="137" spans="1:57">
      <c r="A137" s="314" t="s">
        <v>1875</v>
      </c>
      <c r="Y137" s="1176">
        <f>Y132-Y42</f>
        <v>121.35599999999999</v>
      </c>
      <c r="AB137" s="1176">
        <f>AB132-AB42</f>
        <v>127.88584000000003</v>
      </c>
    </row>
  </sheetData>
  <dataConsolidate/>
  <printOptions horizontalCentered="1"/>
  <pageMargins left="0.19685039370078741" right="0.19685039370078741" top="0.59055118110236227" bottom="0.59055118110236227" header="0.19685039370078741" footer="0.19685039370078741"/>
  <pageSetup paperSize="9" scale="75" fitToHeight="0" orientation="landscape" blackAndWhite="1" r:id="rId1"/>
  <headerFooter alignWithMargins="0">
    <oddHeader>&amp;R&amp;"Times,Bold"&amp;12George Batsakis
+613 9679 1245</oddHeader>
    <oddFooter>&amp;L&amp;A&amp;C&amp;"Helvetica,Bold"Goldman Sachs Australia Confidential&amp;RPage &amp;P</oddFooter>
  </headerFooter>
  <customProperties>
    <customPr name="Qube.Worksheet.Visibility" r:id="rId2"/>
  </customProperties>
  <ignoredErrors>
    <ignoredError sqref="P58:AB58 AE60 AH60 AD58:BI58" formula="1"/>
  </ignoredErrors>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4"/>
  </sheetPr>
  <dimension ref="A1:BJ71"/>
  <sheetViews>
    <sheetView workbookViewId="0">
      <selection activeCell="BK1" sqref="BK1:BN1048576"/>
    </sheetView>
  </sheetViews>
  <sheetFormatPr defaultColWidth="9.140625" defaultRowHeight="12.75" outlineLevelCol="1"/>
  <cols>
    <col min="1" max="1" width="38.85546875" style="314" customWidth="1"/>
    <col min="2" max="3" width="8.85546875" style="314" hidden="1" customWidth="1" outlineLevel="1"/>
    <col min="4" max="4" width="8.85546875" style="314" customWidth="1" collapsed="1"/>
    <col min="5" max="6" width="8.85546875" style="314" hidden="1" customWidth="1" outlineLevel="1"/>
    <col min="7" max="7" width="8.85546875" style="314" customWidth="1" collapsed="1"/>
    <col min="8" max="9" width="8.85546875" style="314" hidden="1" customWidth="1" outlineLevel="1"/>
    <col min="10" max="10" width="8.42578125" style="314" customWidth="1" collapsed="1"/>
    <col min="11" max="12" width="8.85546875" style="314" hidden="1" customWidth="1" outlineLevel="1"/>
    <col min="13" max="13" width="8.85546875" style="314" customWidth="1" collapsed="1"/>
    <col min="14" max="15" width="8.85546875" style="314" hidden="1" customWidth="1" outlineLevel="1"/>
    <col min="16" max="16" width="8.42578125" style="314" customWidth="1" collapsed="1"/>
    <col min="17" max="17" width="8.42578125" style="314" hidden="1" customWidth="1" outlineLevel="1"/>
    <col min="18" max="18" width="8.42578125" style="430" hidden="1" customWidth="1" outlineLevel="1"/>
    <col min="19" max="19" width="9.7109375" style="430" customWidth="1" collapsed="1"/>
    <col min="20" max="21" width="8.42578125" style="430" hidden="1" customWidth="1" outlineLevel="1"/>
    <col min="22" max="22" width="9.7109375" style="430" customWidth="1" collapsed="1"/>
    <col min="23" max="24" width="8.42578125" style="430" hidden="1" customWidth="1" outlineLevel="1"/>
    <col min="25" max="25" width="9.7109375" style="430" customWidth="1" collapsed="1"/>
    <col min="26" max="27" width="8.42578125" style="430" hidden="1" customWidth="1" outlineLevel="1"/>
    <col min="28" max="28" width="9.7109375" style="826" customWidth="1" collapsed="1"/>
    <col min="29" max="30" width="8.42578125" style="430" hidden="1" customWidth="1" outlineLevel="1"/>
    <col min="31" max="31" width="9.7109375" style="430" customWidth="1" collapsed="1"/>
    <col min="32" max="33" width="8.42578125" style="430" hidden="1" customWidth="1" outlineLevel="1"/>
    <col min="34" max="34" width="9.7109375" style="430" customWidth="1" collapsed="1"/>
    <col min="35" max="36" width="8.42578125" style="430" hidden="1" customWidth="1" outlineLevel="1"/>
    <col min="37" max="37" width="9.7109375" style="430" customWidth="1" collapsed="1"/>
    <col min="38" max="39" width="9.7109375" style="430" hidden="1" customWidth="1" outlineLevel="1"/>
    <col min="40" max="40" width="9.7109375" style="430" customWidth="1" collapsed="1"/>
    <col min="41" max="42" width="9.7109375" style="430" hidden="1" customWidth="1" outlineLevel="1"/>
    <col min="43" max="43" width="9.7109375" style="430" customWidth="1" collapsed="1"/>
    <col min="44" max="45" width="9.7109375" style="430" hidden="1" customWidth="1" outlineLevel="1"/>
    <col min="46" max="46" width="9.7109375" style="430" customWidth="1" collapsed="1"/>
    <col min="47" max="48" width="9.7109375" style="430" hidden="1" customWidth="1" outlineLevel="1"/>
    <col min="49" max="49" width="9.7109375" style="430" customWidth="1" collapsed="1"/>
    <col min="50" max="51" width="9.7109375" style="430" hidden="1" customWidth="1" outlineLevel="1"/>
    <col min="52" max="52" width="9.7109375" style="430" customWidth="1" collapsed="1"/>
    <col min="53" max="54" width="9.7109375" style="430" hidden="1" customWidth="1" outlineLevel="1"/>
    <col min="55" max="55" width="9.7109375" style="430" customWidth="1" collapsed="1"/>
    <col min="56" max="57" width="9.7109375" style="430" hidden="1" customWidth="1" outlineLevel="1"/>
    <col min="58" max="58" width="9.7109375" style="430" customWidth="1" collapsed="1"/>
    <col min="59" max="60" width="9.7109375" style="430" hidden="1" customWidth="1" outlineLevel="1"/>
    <col min="61" max="61" width="9.7109375" style="430" customWidth="1" collapsed="1"/>
    <col min="62" max="62" width="9.7109375" style="351" customWidth="1"/>
    <col min="63" max="16384" width="9.140625" style="314"/>
  </cols>
  <sheetData>
    <row r="1" spans="1:62">
      <c r="A1" s="714"/>
      <c r="B1" s="715" t="s">
        <v>1619</v>
      </c>
      <c r="C1" s="706" t="s">
        <v>1620</v>
      </c>
      <c r="D1" s="706" t="str">
        <f>MODEL!D2</f>
        <v>FY17</v>
      </c>
      <c r="E1" s="706" t="str">
        <f>MODEL!E2</f>
        <v>H1 18</v>
      </c>
      <c r="F1" s="706" t="str">
        <f>MODEL!F2</f>
        <v>H2 18</v>
      </c>
      <c r="G1" s="706" t="str">
        <f>MODEL!G2</f>
        <v>FY18</v>
      </c>
      <c r="H1" s="706" t="str">
        <f>MODEL!H2</f>
        <v>H1 19</v>
      </c>
      <c r="I1" s="706" t="str">
        <f>MODEL!I2</f>
        <v>H2 19</v>
      </c>
      <c r="J1" s="706" t="str">
        <f>MODEL!J2</f>
        <v>FY19</v>
      </c>
      <c r="K1" s="706" t="str">
        <f>MODEL!K2</f>
        <v>H1 20</v>
      </c>
      <c r="L1" s="706" t="str">
        <f>MODEL!L2</f>
        <v>H2 20</v>
      </c>
      <c r="M1" s="706" t="str">
        <f>MODEL!M2</f>
        <v>FY20</v>
      </c>
      <c r="N1" s="706" t="str">
        <f>MODEL!N2</f>
        <v>H1 21</v>
      </c>
      <c r="O1" s="706" t="str">
        <f>MODEL!O2</f>
        <v>H2 21</v>
      </c>
      <c r="P1" s="706" t="str">
        <f>MODEL!P2</f>
        <v>FY21</v>
      </c>
      <c r="Q1" s="706" t="str">
        <f>MODEL!Q2</f>
        <v>H1 22</v>
      </c>
      <c r="R1" s="706" t="str">
        <f>MODEL!R2</f>
        <v>H2 22e</v>
      </c>
      <c r="S1" s="706" t="str">
        <f>MODEL!S2</f>
        <v>FY22</v>
      </c>
      <c r="T1" s="706" t="str">
        <f>MODEL!T2</f>
        <v>H1 23</v>
      </c>
      <c r="U1" s="706" t="str">
        <f>MODEL!U2</f>
        <v>H2 23</v>
      </c>
      <c r="V1" s="706" t="str">
        <f>MODEL!V2</f>
        <v>FY23</v>
      </c>
      <c r="W1" s="706" t="str">
        <f>MODEL!W2</f>
        <v>H1 24</v>
      </c>
      <c r="X1" s="706" t="str">
        <f>MODEL!X2</f>
        <v>H2 24</v>
      </c>
      <c r="Y1" s="706" t="str">
        <f>MODEL!Y2</f>
        <v>FY24</v>
      </c>
      <c r="Z1" s="706" t="str">
        <f>MODEL!Z2</f>
        <v>H1 25</v>
      </c>
      <c r="AA1" s="706" t="str">
        <f>MODEL!AA2</f>
        <v>H2 25</v>
      </c>
      <c r="AB1" s="823" t="str">
        <f>MODEL!AB2</f>
        <v>FY25</v>
      </c>
      <c r="AC1" s="706" t="str">
        <f>MODEL!AC2</f>
        <v>H1 26</v>
      </c>
      <c r="AD1" s="706" t="str">
        <f>MODEL!AD2</f>
        <v>H2 26e</v>
      </c>
      <c r="AE1" s="706" t="str">
        <f>MODEL!AE2</f>
        <v>FY26e</v>
      </c>
      <c r="AF1" s="706" t="str">
        <f>MODEL!AF2</f>
        <v>H1 27e</v>
      </c>
      <c r="AG1" s="706" t="str">
        <f>MODEL!AG2</f>
        <v>H2 27e</v>
      </c>
      <c r="AH1" s="706" t="str">
        <f>MODEL!AH2</f>
        <v>FY27e</v>
      </c>
      <c r="AI1" s="706" t="str">
        <f>MODEL!AI2</f>
        <v>H1 28e</v>
      </c>
      <c r="AJ1" s="706" t="str">
        <f>MODEL!AJ2</f>
        <v>H2 28e</v>
      </c>
      <c r="AK1" s="706" t="str">
        <f>MODEL!AK2</f>
        <v>FY28e</v>
      </c>
      <c r="AL1" s="706" t="str">
        <f>MODEL!AL2</f>
        <v>H1 29e</v>
      </c>
      <c r="AM1" s="706" t="str">
        <f>MODEL!AM2</f>
        <v>H2 29e</v>
      </c>
      <c r="AN1" s="706" t="str">
        <f>MODEL!AN2</f>
        <v>FY29e</v>
      </c>
      <c r="AO1" s="706" t="str">
        <f>MODEL!AO2</f>
        <v>H1 30e</v>
      </c>
      <c r="AP1" s="706" t="str">
        <f>MODEL!AP2</f>
        <v>H2 30e</v>
      </c>
      <c r="AQ1" s="706" t="str">
        <f>MODEL!AQ2</f>
        <v>FY30e</v>
      </c>
      <c r="AR1" s="706" t="str">
        <f>MODEL!AR2</f>
        <v>H1 31e</v>
      </c>
      <c r="AS1" s="706" t="str">
        <f>MODEL!AS2</f>
        <v>H2 31e</v>
      </c>
      <c r="AT1" s="706" t="str">
        <f>MODEL!AT2</f>
        <v>FY31e</v>
      </c>
      <c r="AU1" s="706" t="str">
        <f>MODEL!AU2</f>
        <v>H1 32e</v>
      </c>
      <c r="AV1" s="706" t="str">
        <f>MODEL!AV2</f>
        <v>H2 32e</v>
      </c>
      <c r="AW1" s="706" t="str">
        <f>MODEL!AW2</f>
        <v>FY32e</v>
      </c>
      <c r="AX1" s="706" t="str">
        <f>MODEL!AX2</f>
        <v>H1 33e</v>
      </c>
      <c r="AY1" s="706" t="str">
        <f>MODEL!AY2</f>
        <v>H2 33e</v>
      </c>
      <c r="AZ1" s="706" t="str">
        <f>MODEL!AZ2</f>
        <v>FY33e</v>
      </c>
      <c r="BA1" s="706" t="str">
        <f>MODEL!BA2</f>
        <v>H1 34e</v>
      </c>
      <c r="BB1" s="706" t="str">
        <f>MODEL!BB2</f>
        <v>H2 34e</v>
      </c>
      <c r="BC1" s="706" t="str">
        <f>MODEL!BC2</f>
        <v>FY34e</v>
      </c>
      <c r="BD1" s="706" t="str">
        <f>MODEL!BD2</f>
        <v>H1 35e</v>
      </c>
      <c r="BE1" s="706" t="str">
        <f>MODEL!BE2</f>
        <v>H2 35e</v>
      </c>
      <c r="BF1" s="706" t="str">
        <f>MODEL!BF2</f>
        <v>FY35e</v>
      </c>
      <c r="BG1" s="706" t="str">
        <f>MODEL!BG2</f>
        <v>H1 36e</v>
      </c>
      <c r="BH1" s="706" t="str">
        <f>MODEL!BH2</f>
        <v>H2 36e</v>
      </c>
      <c r="BI1" s="706" t="str">
        <f>MODEL!BI2</f>
        <v>FY36e</v>
      </c>
      <c r="BJ1" s="349"/>
    </row>
    <row r="2" spans="1:62" ht="15">
      <c r="A2" s="339" t="s">
        <v>1647</v>
      </c>
      <c r="B2" s="433"/>
      <c r="C2" s="433"/>
      <c r="D2" s="433"/>
      <c r="E2" s="433"/>
      <c r="F2" s="433"/>
      <c r="G2" s="433"/>
      <c r="H2" s="433"/>
      <c r="I2" s="433"/>
      <c r="J2" s="433"/>
      <c r="K2" s="433"/>
      <c r="L2" s="433"/>
      <c r="M2" s="433"/>
      <c r="N2" s="433"/>
      <c r="O2" s="433"/>
      <c r="P2" s="433"/>
      <c r="Q2" s="433"/>
      <c r="R2" s="395"/>
      <c r="S2" s="395"/>
      <c r="T2" s="395"/>
      <c r="U2" s="395"/>
      <c r="V2" s="395"/>
      <c r="W2" s="395"/>
      <c r="X2" s="395"/>
      <c r="Y2" s="395"/>
      <c r="Z2" s="395"/>
      <c r="AA2" s="395"/>
      <c r="AB2" s="824"/>
      <c r="AC2" s="395"/>
      <c r="AD2" s="395"/>
      <c r="AE2" s="395"/>
      <c r="AF2" s="395"/>
      <c r="AG2" s="395"/>
      <c r="AH2" s="395"/>
      <c r="AI2" s="395"/>
      <c r="AJ2" s="395"/>
      <c r="AK2" s="395"/>
      <c r="AL2" s="395"/>
      <c r="AM2" s="395"/>
      <c r="AN2" s="395"/>
      <c r="AO2" s="395"/>
      <c r="AP2" s="395"/>
      <c r="AQ2" s="395"/>
      <c r="AR2" s="395"/>
      <c r="AS2" s="395"/>
      <c r="AT2" s="395"/>
      <c r="AU2" s="395"/>
      <c r="AV2" s="395"/>
      <c r="AW2" s="395"/>
      <c r="AX2" s="395"/>
      <c r="AY2" s="395"/>
      <c r="AZ2" s="395"/>
      <c r="BA2" s="395"/>
      <c r="BB2" s="395"/>
      <c r="BC2" s="395"/>
      <c r="BD2" s="395"/>
      <c r="BE2" s="395"/>
      <c r="BF2" s="395"/>
      <c r="BG2" s="395"/>
      <c r="BH2" s="395"/>
      <c r="BI2" s="395"/>
      <c r="BJ2" s="350"/>
    </row>
    <row r="3" spans="1:62">
      <c r="A3" s="314" t="s">
        <v>1648</v>
      </c>
      <c r="B3" s="464">
        <f t="shared" ref="B3" si="0">B5-B4</f>
        <v>34.703417123224071</v>
      </c>
      <c r="C3" s="464">
        <f t="shared" ref="C3" si="1">C5-C4</f>
        <v>35.555999999999997</v>
      </c>
      <c r="D3" s="446">
        <v>35.555999999999997</v>
      </c>
      <c r="E3" s="464">
        <f t="shared" ref="E3" si="2">E5-E4</f>
        <v>36.543424146744854</v>
      </c>
      <c r="F3" s="464">
        <f t="shared" ref="F3" si="3">F5-F4</f>
        <v>39.695999999999998</v>
      </c>
      <c r="G3" s="446">
        <v>39.695999999999998</v>
      </c>
      <c r="H3" s="464">
        <f t="shared" ref="H3" si="4">H5-H4</f>
        <v>41.993233509870009</v>
      </c>
      <c r="I3" s="464">
        <f t="shared" ref="I3" si="5">I5-I4</f>
        <v>44.622999999999998</v>
      </c>
      <c r="J3" s="446">
        <v>44.628</v>
      </c>
      <c r="K3" s="464">
        <f t="shared" ref="K3" si="6">K5-K4</f>
        <v>48.741999999999997</v>
      </c>
      <c r="L3" s="464">
        <f t="shared" ref="L3" si="7">L5-L4</f>
        <v>50.807000000000002</v>
      </c>
      <c r="M3" s="446">
        <v>50.807000000000002</v>
      </c>
      <c r="N3" s="464">
        <f t="shared" ref="N3" si="8">N5-N4</f>
        <v>52.309999999999995</v>
      </c>
      <c r="O3" s="464">
        <f>O5-O4</f>
        <v>56.778999999999996</v>
      </c>
      <c r="P3" s="446">
        <v>56.779000000000003</v>
      </c>
      <c r="Q3" s="464">
        <f t="shared" ref="Q3:R3" si="9">Q5-Q4</f>
        <v>59.7</v>
      </c>
      <c r="R3" s="467">
        <f t="shared" si="9"/>
        <v>84.783000000000001</v>
      </c>
      <c r="S3" s="514">
        <v>97.057000000000002</v>
      </c>
      <c r="T3" s="467">
        <f t="shared" ref="T3:AT3" si="10">T5-T4</f>
        <v>113.169</v>
      </c>
      <c r="U3" s="467">
        <f t="shared" si="10"/>
        <v>104.53</v>
      </c>
      <c r="V3" s="514">
        <v>120.989</v>
      </c>
      <c r="W3" s="467">
        <f t="shared" ref="W3:X3" si="11">W5-W4</f>
        <v>120.97200000000001</v>
      </c>
      <c r="X3" s="467">
        <f t="shared" si="11"/>
        <v>144.68700000000001</v>
      </c>
      <c r="Y3" s="514">
        <v>144.17400000000001</v>
      </c>
      <c r="Z3" s="467">
        <f t="shared" si="10"/>
        <v>159.51300000000001</v>
      </c>
      <c r="AA3" s="467">
        <f t="shared" si="10"/>
        <v>191.19</v>
      </c>
      <c r="AB3" s="856">
        <v>191.47300000000001</v>
      </c>
      <c r="AC3" s="467">
        <f t="shared" ref="AC3:AD3" si="12">AC5-AC4</f>
        <v>207.16981573934839</v>
      </c>
      <c r="AD3" s="467">
        <f t="shared" si="12"/>
        <v>225.72205152433281</v>
      </c>
      <c r="AE3" s="467">
        <f t="shared" si="10"/>
        <v>225.72205152433281</v>
      </c>
      <c r="AF3" s="467">
        <f t="shared" si="10"/>
        <v>242.54836129405987</v>
      </c>
      <c r="AG3" s="467">
        <f t="shared" si="10"/>
        <v>258.90148224608367</v>
      </c>
      <c r="AH3" s="467">
        <f t="shared" si="10"/>
        <v>258.90148224608367</v>
      </c>
      <c r="AI3" s="467">
        <f t="shared" ref="AI3:AJ3" si="13">AI5-AI4</f>
        <v>276.99320373865424</v>
      </c>
      <c r="AJ3" s="467">
        <f t="shared" si="13"/>
        <v>295.14943745379765</v>
      </c>
      <c r="AK3" s="467">
        <f t="shared" si="10"/>
        <v>295.14943745379765</v>
      </c>
      <c r="AL3" s="467"/>
      <c r="AM3" s="467"/>
      <c r="AN3" s="467">
        <f t="shared" si="10"/>
        <v>335.27267301823622</v>
      </c>
      <c r="AO3" s="467"/>
      <c r="AP3" s="467"/>
      <c r="AQ3" s="467">
        <f t="shared" si="10"/>
        <v>379.60566230735549</v>
      </c>
      <c r="AR3" s="467"/>
      <c r="AS3" s="467"/>
      <c r="AT3" s="467">
        <f t="shared" si="10"/>
        <v>428.55537302937478</v>
      </c>
      <c r="AU3" s="467"/>
      <c r="AV3" s="467"/>
      <c r="AW3" s="467">
        <f t="shared" ref="AW3:AZ3" si="14">AW5-AW4</f>
        <v>482.64229864690532</v>
      </c>
      <c r="AX3" s="467"/>
      <c r="AY3" s="467"/>
      <c r="AZ3" s="467">
        <f t="shared" si="14"/>
        <v>542.4487444050294</v>
      </c>
      <c r="BA3" s="467"/>
      <c r="BB3" s="467"/>
      <c r="BC3" s="467">
        <f t="shared" ref="BC3:BF3" si="15">BC5-BC4</f>
        <v>608.62650105212845</v>
      </c>
      <c r="BD3" s="467"/>
      <c r="BE3" s="467"/>
      <c r="BF3" s="467">
        <f t="shared" si="15"/>
        <v>681.90551065949489</v>
      </c>
      <c r="BG3" s="467"/>
      <c r="BH3" s="467"/>
      <c r="BI3" s="467">
        <f t="shared" ref="BI3" si="16">BI5-BI4</f>
        <v>763.10365748397248</v>
      </c>
    </row>
    <row r="4" spans="1:62">
      <c r="A4" s="314" t="s">
        <v>1649</v>
      </c>
      <c r="B4" s="464">
        <f>C4-C11</f>
        <v>-23.363417123224071</v>
      </c>
      <c r="C4" s="464">
        <f>D4</f>
        <v>-24.85</v>
      </c>
      <c r="D4" s="446">
        <v>-24.85</v>
      </c>
      <c r="E4" s="464">
        <f>D4+E11</f>
        <v>-26.463424146744853</v>
      </c>
      <c r="F4" s="464">
        <f>G4</f>
        <v>-28.317</v>
      </c>
      <c r="G4" s="446">
        <v>-28.317</v>
      </c>
      <c r="H4" s="464">
        <f>G4+H11</f>
        <v>-30.592233509870006</v>
      </c>
      <c r="I4" s="464">
        <f>J4</f>
        <v>-32.58</v>
      </c>
      <c r="J4" s="446">
        <v>-32.58</v>
      </c>
      <c r="K4" s="464">
        <f>J4+K11</f>
        <v>-35.271999999999998</v>
      </c>
      <c r="L4" s="464">
        <f>M4</f>
        <v>-37.265999999999998</v>
      </c>
      <c r="M4" s="446">
        <v>-37.265999999999998</v>
      </c>
      <c r="N4" s="464">
        <f>M4+N11</f>
        <v>-40.125999999999998</v>
      </c>
      <c r="O4" s="464">
        <f>P4</f>
        <v>-42.344999999999999</v>
      </c>
      <c r="P4" s="446">
        <v>-42.344999999999999</v>
      </c>
      <c r="Q4" s="464">
        <f>P4+Q11</f>
        <v>-45.332000000000001</v>
      </c>
      <c r="R4" s="467">
        <f>S4</f>
        <v>-63.58</v>
      </c>
      <c r="S4" s="514">
        <v>-63.58</v>
      </c>
      <c r="T4" s="467">
        <f>S4+T11</f>
        <v>-68.137</v>
      </c>
      <c r="U4" s="467">
        <f>V4</f>
        <v>-53.195</v>
      </c>
      <c r="V4" s="514">
        <v>-53.195</v>
      </c>
      <c r="W4" s="467">
        <f>V4+W11</f>
        <v>-60.192999999999998</v>
      </c>
      <c r="X4" s="467">
        <f>Y4</f>
        <v>-81.316000000000003</v>
      </c>
      <c r="Y4" s="514">
        <v>-81.316000000000003</v>
      </c>
      <c r="Z4" s="467">
        <f>Y4+Z11</f>
        <v>-89.405000000000001</v>
      </c>
      <c r="AA4" s="467">
        <f>AB4</f>
        <v>-99.153999999999996</v>
      </c>
      <c r="AB4" s="856">
        <v>-99.153999999999996</v>
      </c>
      <c r="AC4" s="467">
        <f>AB4+AC11</f>
        <v>-109.08567912887655</v>
      </c>
      <c r="AD4" s="467">
        <f>AE4</f>
        <v>-119.51830090636004</v>
      </c>
      <c r="AE4" s="467">
        <f>AB4+AE11</f>
        <v>-119.51830090636004</v>
      </c>
      <c r="AF4" s="467">
        <f>AE4+AF11</f>
        <v>-130.72005144258674</v>
      </c>
      <c r="AG4" s="467">
        <f>AH4</f>
        <v>-141.92180197881342</v>
      </c>
      <c r="AH4" s="467">
        <f>AE4+AH11</f>
        <v>-141.92180197881342</v>
      </c>
      <c r="AI4" s="467">
        <f>AH4+AI11</f>
        <v>-153.74845422042745</v>
      </c>
      <c r="AJ4" s="467">
        <f>AK4</f>
        <v>-165.57510646204148</v>
      </c>
      <c r="AK4" s="467">
        <f>AH4+AK11</f>
        <v>-165.57510646204148</v>
      </c>
      <c r="AL4" s="467"/>
      <c r="AM4" s="467"/>
      <c r="AN4" s="467">
        <f>AK4+AN11</f>
        <v>-190.5104271736858</v>
      </c>
      <c r="AO4" s="467"/>
      <c r="AP4" s="467"/>
      <c r="AQ4" s="467">
        <f>AN4+AQ11</f>
        <v>-216.68439908684232</v>
      </c>
      <c r="AR4" s="467"/>
      <c r="AS4" s="467"/>
      <c r="AT4" s="467">
        <f>AQ4+AT11</f>
        <v>-244.06302512690704</v>
      </c>
      <c r="AU4" s="467"/>
      <c r="AV4" s="467"/>
      <c r="AW4" s="467">
        <f>AT4+AW11</f>
        <v>-274.3150059516484</v>
      </c>
      <c r="AX4" s="467"/>
      <c r="AY4" s="467"/>
      <c r="AZ4" s="467">
        <f>AW4+AZ11</f>
        <v>-307.76603740913419</v>
      </c>
      <c r="BA4" s="467"/>
      <c r="BB4" s="467"/>
      <c r="BC4" s="467">
        <f>AZ4+BC11</f>
        <v>-344.78068008395383</v>
      </c>
      <c r="BD4" s="467"/>
      <c r="BE4" s="467"/>
      <c r="BF4" s="467">
        <f>BC4+BF11</f>
        <v>-385.76720627651622</v>
      </c>
      <c r="BG4" s="467"/>
      <c r="BH4" s="467"/>
      <c r="BI4" s="467">
        <f t="shared" ref="BI4" si="17">BF4+BI11</f>
        <v>-431.18307624311063</v>
      </c>
    </row>
    <row r="5" spans="1:62">
      <c r="A5" s="315" t="s">
        <v>1650</v>
      </c>
      <c r="B5" s="465">
        <f>MODEL!B140</f>
        <v>11.34</v>
      </c>
      <c r="C5" s="465">
        <f>MODEL!C140</f>
        <v>10.706</v>
      </c>
      <c r="D5" s="381">
        <f>D3+D4</f>
        <v>10.705999999999996</v>
      </c>
      <c r="E5" s="465">
        <f>MODEL!E140</f>
        <v>10.08</v>
      </c>
      <c r="F5" s="465">
        <f>MODEL!F140</f>
        <v>11.379</v>
      </c>
      <c r="G5" s="381">
        <f>G3+G4</f>
        <v>11.378999999999998</v>
      </c>
      <c r="H5" s="465">
        <f>MODEL!H140</f>
        <v>11.401</v>
      </c>
      <c r="I5" s="465">
        <f>MODEL!I140</f>
        <v>12.042999999999999</v>
      </c>
      <c r="J5" s="381">
        <f>J3+J4</f>
        <v>12.048000000000002</v>
      </c>
      <c r="K5" s="465">
        <f>MODEL!K140</f>
        <v>13.47</v>
      </c>
      <c r="L5" s="465">
        <f>MODEL!L140</f>
        <v>13.541</v>
      </c>
      <c r="M5" s="381">
        <f>M3+M4</f>
        <v>13.541000000000004</v>
      </c>
      <c r="N5" s="465">
        <f>MODEL!N140</f>
        <v>12.183999999999999</v>
      </c>
      <c r="O5" s="465">
        <f>MODEL!O140</f>
        <v>14.433999999999999</v>
      </c>
      <c r="P5" s="381">
        <f>P3+P4</f>
        <v>14.434000000000005</v>
      </c>
      <c r="Q5" s="465">
        <f>MODEL!Q140</f>
        <v>14.368</v>
      </c>
      <c r="R5" s="471">
        <f>R13</f>
        <v>21.203000000000003</v>
      </c>
      <c r="S5" s="381">
        <f>S3+S4</f>
        <v>33.477000000000004</v>
      </c>
      <c r="T5" s="471">
        <f t="shared" ref="T5:AT5" si="18">T13</f>
        <v>45.031999999999996</v>
      </c>
      <c r="U5" s="471">
        <f t="shared" si="18"/>
        <v>51.335000000000008</v>
      </c>
      <c r="V5" s="381">
        <f>V13</f>
        <v>53.766000000000012</v>
      </c>
      <c r="W5" s="471">
        <f t="shared" ref="W5:X5" si="19">W13</f>
        <v>60.779000000000003</v>
      </c>
      <c r="X5" s="471">
        <f t="shared" si="19"/>
        <v>63.371000000000002</v>
      </c>
      <c r="Y5" s="381">
        <f t="shared" si="18"/>
        <v>62.858000000000018</v>
      </c>
      <c r="Z5" s="471">
        <f t="shared" si="18"/>
        <v>70.108000000000004</v>
      </c>
      <c r="AA5" s="471">
        <f t="shared" si="18"/>
        <v>92.036000000000016</v>
      </c>
      <c r="AB5" s="1151">
        <f t="shared" si="18"/>
        <v>92.319000000000031</v>
      </c>
      <c r="AC5" s="471">
        <f t="shared" ref="AC5:AD5" si="20">AC13</f>
        <v>98.084136610471845</v>
      </c>
      <c r="AD5" s="471">
        <f t="shared" si="20"/>
        <v>106.20375061797279</v>
      </c>
      <c r="AE5" s="471">
        <f t="shared" si="18"/>
        <v>106.20375061797279</v>
      </c>
      <c r="AF5" s="471">
        <f t="shared" si="18"/>
        <v>111.82830985147314</v>
      </c>
      <c r="AG5" s="471">
        <f t="shared" si="18"/>
        <v>116.97968026727023</v>
      </c>
      <c r="AH5" s="471">
        <f t="shared" si="18"/>
        <v>116.97968026727023</v>
      </c>
      <c r="AI5" s="471">
        <f t="shared" ref="AI5:AJ5" si="21">AI13</f>
        <v>123.2447495182268</v>
      </c>
      <c r="AJ5" s="471">
        <f t="shared" si="21"/>
        <v>129.57433099175617</v>
      </c>
      <c r="AK5" s="471">
        <f t="shared" si="18"/>
        <v>129.57433099175617</v>
      </c>
      <c r="AL5" s="471"/>
      <c r="AM5" s="471"/>
      <c r="AN5" s="471">
        <f t="shared" si="18"/>
        <v>144.76224584455042</v>
      </c>
      <c r="AO5" s="471"/>
      <c r="AP5" s="471"/>
      <c r="AQ5" s="471">
        <f t="shared" si="18"/>
        <v>162.9212632205132</v>
      </c>
      <c r="AR5" s="471"/>
      <c r="AS5" s="471"/>
      <c r="AT5" s="471">
        <f t="shared" si="18"/>
        <v>184.49234790246774</v>
      </c>
      <c r="AU5" s="471"/>
      <c r="AV5" s="471"/>
      <c r="AW5" s="471">
        <f t="shared" ref="AW5:AZ5" si="22">AW13</f>
        <v>208.32729269525692</v>
      </c>
      <c r="AX5" s="471"/>
      <c r="AY5" s="471"/>
      <c r="AZ5" s="471">
        <f t="shared" si="22"/>
        <v>234.68270699589527</v>
      </c>
      <c r="BA5" s="471"/>
      <c r="BB5" s="471"/>
      <c r="BC5" s="471">
        <f t="shared" ref="BC5:BF5" si="23">BC13</f>
        <v>263.84582096817462</v>
      </c>
      <c r="BD5" s="471"/>
      <c r="BE5" s="471"/>
      <c r="BF5" s="471">
        <f t="shared" si="23"/>
        <v>296.13830438297867</v>
      </c>
      <c r="BG5" s="471"/>
      <c r="BH5" s="471"/>
      <c r="BI5" s="471">
        <f t="shared" ref="BI5" si="24">BI13</f>
        <v>331.92058124086191</v>
      </c>
    </row>
    <row r="6" spans="1:62">
      <c r="D6" s="464"/>
      <c r="G6" s="464"/>
      <c r="J6" s="464"/>
      <c r="M6" s="464"/>
      <c r="P6" s="464"/>
    </row>
    <row r="7" spans="1:62">
      <c r="A7" s="314" t="s">
        <v>1651</v>
      </c>
      <c r="B7" s="333">
        <f>D7</f>
        <v>11.789</v>
      </c>
      <c r="C7" s="464">
        <f>B13</f>
        <v>11.34</v>
      </c>
      <c r="D7" s="446">
        <v>11.789</v>
      </c>
      <c r="E7" s="333">
        <f>G7</f>
        <v>10.706</v>
      </c>
      <c r="F7" s="464">
        <f>E13</f>
        <v>10.08</v>
      </c>
      <c r="G7" s="446">
        <v>10.706</v>
      </c>
      <c r="H7" s="333">
        <f>J7</f>
        <v>11.379</v>
      </c>
      <c r="I7" s="464">
        <f>H13</f>
        <v>11.401</v>
      </c>
      <c r="J7" s="446">
        <v>11.379</v>
      </c>
      <c r="K7" s="333">
        <f>M7</f>
        <v>12.042999999999999</v>
      </c>
      <c r="L7" s="464">
        <f>K13</f>
        <v>13.47</v>
      </c>
      <c r="M7" s="446">
        <v>12.042999999999999</v>
      </c>
      <c r="N7" s="333">
        <f>P7</f>
        <v>13.541</v>
      </c>
      <c r="O7" s="464">
        <f>N13</f>
        <v>12.183999999999999</v>
      </c>
      <c r="P7" s="446">
        <v>13.541</v>
      </c>
      <c r="Q7" s="333">
        <f>P13</f>
        <v>14.434000000000001</v>
      </c>
      <c r="R7" s="467">
        <f>Q13</f>
        <v>14.368</v>
      </c>
      <c r="S7" s="467">
        <f>P13</f>
        <v>14.434000000000001</v>
      </c>
      <c r="T7" s="467">
        <f>S13</f>
        <v>33.477000000000004</v>
      </c>
      <c r="U7" s="467">
        <f>T13</f>
        <v>45.031999999999996</v>
      </c>
      <c r="V7" s="467">
        <f>S13</f>
        <v>33.477000000000004</v>
      </c>
      <c r="W7" s="467">
        <f>V13</f>
        <v>53.766000000000012</v>
      </c>
      <c r="X7" s="467">
        <f>W13</f>
        <v>60.779000000000003</v>
      </c>
      <c r="Y7" s="467">
        <f>V13</f>
        <v>53.766000000000012</v>
      </c>
      <c r="Z7" s="467">
        <f>Y13</f>
        <v>62.858000000000018</v>
      </c>
      <c r="AA7" s="467">
        <f>Z13</f>
        <v>70.108000000000004</v>
      </c>
      <c r="AB7" s="897">
        <f>Y13</f>
        <v>62.858000000000018</v>
      </c>
      <c r="AC7" s="467">
        <f>AB13</f>
        <v>92.319000000000031</v>
      </c>
      <c r="AD7" s="467">
        <f>AC13</f>
        <v>98.084136610471845</v>
      </c>
      <c r="AE7" s="467">
        <f>AB13</f>
        <v>92.319000000000031</v>
      </c>
      <c r="AF7" s="467">
        <f>AE13</f>
        <v>106.20375061797279</v>
      </c>
      <c r="AG7" s="467">
        <f>AF13</f>
        <v>111.82830985147314</v>
      </c>
      <c r="AH7" s="467">
        <f>AE13</f>
        <v>106.20375061797279</v>
      </c>
      <c r="AI7" s="467">
        <f>AH13</f>
        <v>116.97968026727023</v>
      </c>
      <c r="AJ7" s="467">
        <f>AI13</f>
        <v>123.2447495182268</v>
      </c>
      <c r="AK7" s="467">
        <f>AH13</f>
        <v>116.97968026727023</v>
      </c>
      <c r="AL7" s="467"/>
      <c r="AM7" s="467"/>
      <c r="AN7" s="467">
        <f>AK13</f>
        <v>129.57433099175617</v>
      </c>
      <c r="AO7" s="467"/>
      <c r="AP7" s="467"/>
      <c r="AQ7" s="467">
        <f>AN13</f>
        <v>144.76224584455042</v>
      </c>
      <c r="AR7" s="467"/>
      <c r="AS7" s="467"/>
      <c r="AT7" s="467">
        <f>AQ13</f>
        <v>162.9212632205132</v>
      </c>
      <c r="AU7" s="467"/>
      <c r="AV7" s="467"/>
      <c r="AW7" s="467">
        <f>AT13</f>
        <v>184.49234790246774</v>
      </c>
      <c r="AX7" s="467"/>
      <c r="AY7" s="467"/>
      <c r="AZ7" s="467">
        <f>AW13</f>
        <v>208.32729269525692</v>
      </c>
      <c r="BA7" s="467"/>
      <c r="BB7" s="467"/>
      <c r="BC7" s="467">
        <f>AZ13</f>
        <v>234.68270699589527</v>
      </c>
      <c r="BD7" s="467"/>
      <c r="BE7" s="467"/>
      <c r="BF7" s="467">
        <f>BC13</f>
        <v>263.84582096817462</v>
      </c>
      <c r="BG7" s="467"/>
      <c r="BH7" s="467"/>
      <c r="BI7" s="467">
        <f t="shared" ref="BI7" si="25">BF13</f>
        <v>296.13830438297867</v>
      </c>
    </row>
    <row r="8" spans="1:62">
      <c r="A8" s="314" t="s">
        <v>1652</v>
      </c>
      <c r="B8" s="464">
        <f>-MODEL!B96</f>
        <v>0.56699999999999995</v>
      </c>
      <c r="C8" s="464">
        <f>D8-B8</f>
        <v>1.26</v>
      </c>
      <c r="D8" s="446">
        <v>1.827</v>
      </c>
      <c r="E8" s="464">
        <f>-MODEL!E96</f>
        <v>0.90500000000000003</v>
      </c>
      <c r="F8" s="464">
        <f>G8-E8</f>
        <v>3.1029999999999998</v>
      </c>
      <c r="G8" s="446">
        <v>4.008</v>
      </c>
      <c r="H8" s="464">
        <f>-MODEL!H96</f>
        <v>2.375</v>
      </c>
      <c r="I8" s="464">
        <f>J8-H8</f>
        <v>2.9969999999999999</v>
      </c>
      <c r="J8" s="446">
        <v>5.3719999999999999</v>
      </c>
      <c r="K8" s="464">
        <f>-MODEL!K96</f>
        <v>4.1710000000000003</v>
      </c>
      <c r="L8" s="464">
        <f>M8-K8</f>
        <v>3</v>
      </c>
      <c r="M8" s="446">
        <v>7.1710000000000003</v>
      </c>
      <c r="N8" s="464">
        <f>-MODEL!N96</f>
        <v>1.956</v>
      </c>
      <c r="O8" s="464">
        <f>P8-N8</f>
        <v>4.8759999999999994</v>
      </c>
      <c r="P8" s="446">
        <v>6.8319999999999999</v>
      </c>
      <c r="Q8" s="464">
        <f>-MODEL!Q96</f>
        <v>2.8759999999999999</v>
      </c>
      <c r="R8" s="467">
        <f>S8-Q8</f>
        <v>13.674000000000001</v>
      </c>
      <c r="S8" s="514">
        <f>16.55</f>
        <v>16.55</v>
      </c>
      <c r="T8" s="467">
        <f>-T58</f>
        <v>8.11</v>
      </c>
      <c r="U8" s="467">
        <f t="shared" ref="U8" si="26">-U58</f>
        <v>12.369</v>
      </c>
      <c r="V8" s="514">
        <v>20.478999999999999</v>
      </c>
      <c r="W8" s="467">
        <f>-W58</f>
        <v>14.602</v>
      </c>
      <c r="X8" s="467">
        <f t="shared" ref="X8" si="27">-X58</f>
        <v>10.323</v>
      </c>
      <c r="Y8" s="514">
        <v>24.925000000000001</v>
      </c>
      <c r="Z8" s="467">
        <f>-Z58</f>
        <v>14.250999999999999</v>
      </c>
      <c r="AA8" s="467">
        <f t="shared" ref="AA8" si="28">-AA58</f>
        <v>30.425000000000004</v>
      </c>
      <c r="AB8" s="856">
        <v>44.676000000000002</v>
      </c>
      <c r="AC8" s="467">
        <f>-AC58</f>
        <v>15.696815739348374</v>
      </c>
      <c r="AD8" s="467">
        <f t="shared" ref="AD8" si="29">-AD58</f>
        <v>18.552235784984425</v>
      </c>
      <c r="AE8" s="467">
        <f>-AE58</f>
        <v>34.249051524332799</v>
      </c>
      <c r="AF8" s="467">
        <f>-AF58</f>
        <v>16.826309769727029</v>
      </c>
      <c r="AG8" s="467">
        <f t="shared" ref="AG8" si="30">-AG58</f>
        <v>16.353120952023769</v>
      </c>
      <c r="AH8" s="467">
        <f t="shared" ref="AH8:AT8" si="31">-AH58</f>
        <v>33.179430721750798</v>
      </c>
      <c r="AI8" s="467">
        <f>-AI58</f>
        <v>18.091721492570592</v>
      </c>
      <c r="AJ8" s="467">
        <f t="shared" ref="AJ8" si="32">-AJ58</f>
        <v>18.156233715143408</v>
      </c>
      <c r="AK8" s="467">
        <f t="shared" si="31"/>
        <v>36.247955207714</v>
      </c>
      <c r="AL8" s="467"/>
      <c r="AM8" s="467"/>
      <c r="AN8" s="467">
        <f t="shared" si="31"/>
        <v>40.123235564438566</v>
      </c>
      <c r="AO8" s="467"/>
      <c r="AP8" s="467"/>
      <c r="AQ8" s="467">
        <f t="shared" si="31"/>
        <v>44.332989289119304</v>
      </c>
      <c r="AR8" s="467"/>
      <c r="AS8" s="467"/>
      <c r="AT8" s="467">
        <f t="shared" si="31"/>
        <v>48.949710722019262</v>
      </c>
      <c r="AU8" s="467"/>
      <c r="AV8" s="467"/>
      <c r="AW8" s="467">
        <f t="shared" ref="AW8:AZ8" si="33">-AW58</f>
        <v>54.086925617530532</v>
      </c>
      <c r="AX8" s="467"/>
      <c r="AY8" s="467"/>
      <c r="AZ8" s="467">
        <f t="shared" si="33"/>
        <v>59.806445758124127</v>
      </c>
      <c r="BA8" s="467"/>
      <c r="BB8" s="467"/>
      <c r="BC8" s="467">
        <f t="shared" ref="BC8:BF8" si="34">-BC58</f>
        <v>66.177756647099002</v>
      </c>
      <c r="BD8" s="467"/>
      <c r="BE8" s="467"/>
      <c r="BF8" s="467">
        <f t="shared" si="34"/>
        <v>73.279009607366461</v>
      </c>
      <c r="BG8" s="467"/>
      <c r="BH8" s="467"/>
      <c r="BI8" s="467">
        <f t="shared" ref="BI8" si="35">-BI58</f>
        <v>81.198146824477618</v>
      </c>
    </row>
    <row r="9" spans="1:62">
      <c r="A9" s="314" t="s">
        <v>1653</v>
      </c>
      <c r="C9" s="464">
        <f t="shared" ref="C9" si="36">D9-B9</f>
        <v>0</v>
      </c>
      <c r="D9" s="446">
        <v>0</v>
      </c>
      <c r="F9" s="464">
        <f t="shared" ref="F9" si="37">G9-E9</f>
        <v>0</v>
      </c>
      <c r="G9" s="446">
        <v>0</v>
      </c>
      <c r="I9" s="464">
        <f t="shared" ref="I9" si="38">J9-H9</f>
        <v>0</v>
      </c>
      <c r="J9" s="446">
        <v>0</v>
      </c>
      <c r="L9" s="464">
        <f t="shared" ref="L9" si="39">M9-K9</f>
        <v>0.16800000000000001</v>
      </c>
      <c r="M9" s="446">
        <v>0.16800000000000001</v>
      </c>
      <c r="O9" s="464">
        <f t="shared" ref="O9" si="40">P9-N9</f>
        <v>1.4999999999999999E-2</v>
      </c>
      <c r="P9" s="446">
        <v>1.4999999999999999E-2</v>
      </c>
      <c r="S9" s="514">
        <v>0</v>
      </c>
      <c r="T9" s="1192">
        <v>8.0020000000000007</v>
      </c>
      <c r="U9" s="1193">
        <v>0</v>
      </c>
      <c r="V9" s="514">
        <v>8.0020000000000007</v>
      </c>
      <c r="W9" s="1192"/>
      <c r="X9" s="467"/>
      <c r="Y9" s="514"/>
      <c r="Z9" s="1192"/>
      <c r="AA9" s="467"/>
      <c r="AB9" s="856"/>
      <c r="AC9" s="701"/>
      <c r="AF9" s="701"/>
      <c r="AH9" s="1194"/>
      <c r="AI9" s="701"/>
    </row>
    <row r="10" spans="1:62">
      <c r="A10" s="314" t="s">
        <v>1654</v>
      </c>
      <c r="C10" s="464">
        <f>D10-B10</f>
        <v>-6.6000000000000003E-2</v>
      </c>
      <c r="D10" s="446">
        <f>-0.025-0.041</f>
        <v>-6.6000000000000003E-2</v>
      </c>
      <c r="F10" s="464">
        <f>G10-E10</f>
        <v>0</v>
      </c>
      <c r="G10" s="446">
        <v>0</v>
      </c>
      <c r="I10" s="464">
        <f>J10-H10</f>
        <v>-0.28000000000000003</v>
      </c>
      <c r="J10" s="446">
        <f>-0.18-0.1</f>
        <v>-0.28000000000000003</v>
      </c>
      <c r="L10" s="464">
        <f>M10-K10</f>
        <v>-0.27100000000000002</v>
      </c>
      <c r="M10" s="446">
        <v>-0.27100000000000002</v>
      </c>
      <c r="O10" s="464">
        <f>P10-N10</f>
        <v>-4.3999999999999997E-2</v>
      </c>
      <c r="P10" s="446">
        <v>-4.3999999999999997E-2</v>
      </c>
      <c r="S10" s="514">
        <v>-0.14399999999999999</v>
      </c>
      <c r="T10" s="467"/>
      <c r="U10" s="467"/>
      <c r="V10" s="514">
        <v>-0.157</v>
      </c>
      <c r="W10" s="467"/>
      <c r="X10" s="467"/>
      <c r="Y10" s="514">
        <v>-0.28000000000000003</v>
      </c>
      <c r="Z10" s="467"/>
      <c r="AA10" s="467"/>
      <c r="AB10" s="856">
        <v>-0.16600000000000001</v>
      </c>
    </row>
    <row r="11" spans="1:62">
      <c r="A11" s="314" t="s">
        <v>408</v>
      </c>
      <c r="B11" s="464">
        <f>MODEL!B251</f>
        <v>-1.3304171232240694</v>
      </c>
      <c r="C11" s="464">
        <f>MODEL!C251</f>
        <v>-1.4865828767759308</v>
      </c>
      <c r="D11" s="446">
        <v>-2.8170000000000002</v>
      </c>
      <c r="E11" s="464">
        <f>MODEL!E251</f>
        <v>-1.6134241467448505</v>
      </c>
      <c r="F11" s="464">
        <f>MODEL!F251</f>
        <v>-1.7845758532551497</v>
      </c>
      <c r="G11" s="446">
        <v>-3.3980000000000001</v>
      </c>
      <c r="H11" s="464">
        <f>MODEL!H251</f>
        <v>-2.2752335098700049</v>
      </c>
      <c r="I11" s="464">
        <f>MODEL!I251</f>
        <v>-2.3577664901299951</v>
      </c>
      <c r="J11" s="446">
        <v>-4.633</v>
      </c>
      <c r="K11" s="464">
        <f>MODEL!K251</f>
        <v>-2.6920000000000002</v>
      </c>
      <c r="L11" s="464">
        <f>MODEL!L251</f>
        <v>-2.8819999999999997</v>
      </c>
      <c r="M11" s="446">
        <v>-5.5739999999999998</v>
      </c>
      <c r="N11" s="464">
        <f>MODEL!N251</f>
        <v>-2.86</v>
      </c>
      <c r="O11" s="464">
        <f>MODEL!O251</f>
        <v>-2.8580000000000001</v>
      </c>
      <c r="P11" s="446">
        <v>-5.718</v>
      </c>
      <c r="Q11" s="464">
        <f>MODEL!Q251</f>
        <v>-2.9870000000000001</v>
      </c>
      <c r="R11" s="467">
        <f>S11-Q11</f>
        <v>-6.8390000000000004</v>
      </c>
      <c r="S11" s="514">
        <v>-9.8260000000000005</v>
      </c>
      <c r="T11" s="467">
        <f>T13-SUM(T7:T10)</f>
        <v>-4.5570000000000093</v>
      </c>
      <c r="U11" s="467">
        <f>V11-T11</f>
        <v>-6.0659999999999901</v>
      </c>
      <c r="V11" s="514">
        <v>-10.622999999999999</v>
      </c>
      <c r="W11" s="514">
        <v>-6.9980000000000002</v>
      </c>
      <c r="X11" s="467">
        <f>Y11-W11</f>
        <v>-7.730999999999999</v>
      </c>
      <c r="Y11" s="514">
        <v>-14.728999999999999</v>
      </c>
      <c r="Z11" s="514">
        <v>-8.0890000000000004</v>
      </c>
      <c r="AA11" s="467">
        <f>AB11-Z11</f>
        <v>-8.4969999999999981</v>
      </c>
      <c r="AB11" s="856">
        <v>-16.585999999999999</v>
      </c>
      <c r="AC11" s="467">
        <f>Z11/AB11*AE11</f>
        <v>-9.9316791288765476</v>
      </c>
      <c r="AD11" s="467">
        <f>AE11-AC11</f>
        <v>-10.432621777483496</v>
      </c>
      <c r="AE11" s="467">
        <f>AE65*MODEL!AE5</f>
        <v>-20.364300906360043</v>
      </c>
      <c r="AF11" s="467">
        <f>AH11/2</f>
        <v>-11.201750536226685</v>
      </c>
      <c r="AG11" s="467">
        <f>AH11-AF11</f>
        <v>-11.201750536226685</v>
      </c>
      <c r="AH11" s="467">
        <f>AH65*MODEL!AH5</f>
        <v>-22.40350107245337</v>
      </c>
      <c r="AI11" s="467">
        <f>AK11/2</f>
        <v>-11.826652241614022</v>
      </c>
      <c r="AJ11" s="467">
        <f>AK11-AI11</f>
        <v>-11.826652241614022</v>
      </c>
      <c r="AK11" s="467">
        <f>AK65*MODEL!AK5</f>
        <v>-23.653304483228045</v>
      </c>
      <c r="AL11" s="467"/>
      <c r="AM11" s="467"/>
      <c r="AN11" s="467">
        <f>AN65*MODEL!AN5</f>
        <v>-24.935320711644312</v>
      </c>
      <c r="AO11" s="467"/>
      <c r="AP11" s="467"/>
      <c r="AQ11" s="467">
        <f>AQ65*MODEL!AQ5</f>
        <v>-26.173971913156524</v>
      </c>
      <c r="AR11" s="467"/>
      <c r="AS11" s="467"/>
      <c r="AT11" s="467">
        <f>AT65*MODEL!AT5</f>
        <v>-27.378626040064706</v>
      </c>
      <c r="AU11" s="467"/>
      <c r="AV11" s="467"/>
      <c r="AW11" s="467">
        <f>AW65*MODEL!AW5</f>
        <v>-30.251980824741381</v>
      </c>
      <c r="AX11" s="467"/>
      <c r="AY11" s="467"/>
      <c r="AZ11" s="467">
        <f>AZ65*MODEL!AZ5</f>
        <v>-33.451031457485769</v>
      </c>
      <c r="BA11" s="467"/>
      <c r="BB11" s="467"/>
      <c r="BC11" s="467">
        <f>BC65*MODEL!BC5</f>
        <v>-37.014642674819626</v>
      </c>
      <c r="BD11" s="467"/>
      <c r="BE11" s="467"/>
      <c r="BF11" s="467">
        <f>BF65*MODEL!BF5</f>
        <v>-40.986526192562408</v>
      </c>
      <c r="BG11" s="467"/>
      <c r="BH11" s="467"/>
      <c r="BI11" s="467">
        <f>BI65*MODEL!BI5</f>
        <v>-45.415869966594435</v>
      </c>
    </row>
    <row r="12" spans="1:62">
      <c r="A12" s="314" t="s">
        <v>1876</v>
      </c>
      <c r="B12" s="464">
        <f>B13-SUM(B7:B11)</f>
        <v>0.31441712322406978</v>
      </c>
      <c r="C12" s="464">
        <f>C13-SUM(C7:C11)</f>
        <v>-0.34141712322406903</v>
      </c>
      <c r="D12" s="446">
        <v>-2.7E-2</v>
      </c>
      <c r="E12" s="464">
        <f>E13-SUM(E7:E11)</f>
        <v>8.2424146744852322E-2</v>
      </c>
      <c r="F12" s="464">
        <f>F13-SUM(F7:F11)</f>
        <v>-1.9424146744849935E-2</v>
      </c>
      <c r="G12" s="446">
        <v>6.3E-2</v>
      </c>
      <c r="H12" s="464">
        <f>H13-SUM(H7:H11)</f>
        <v>-7.7766490129995702E-2</v>
      </c>
      <c r="I12" s="464">
        <f>I13-SUM(I7:I11)</f>
        <v>0.282766490129994</v>
      </c>
      <c r="J12" s="446">
        <v>0.115</v>
      </c>
      <c r="K12" s="464">
        <f>K13-SUM(K7:K11)</f>
        <v>-5.1999999999997826E-2</v>
      </c>
      <c r="L12" s="464">
        <f>L13-SUM(L7:L11)</f>
        <v>5.6000000000002714E-2</v>
      </c>
      <c r="M12" s="446">
        <v>4.0000000000000001E-3</v>
      </c>
      <c r="N12" s="464">
        <f>N13-SUM(N7:N11)</f>
        <v>-0.45300000000000118</v>
      </c>
      <c r="O12" s="464">
        <f>O13-SUM(O7:O11)</f>
        <v>0.26100000000000101</v>
      </c>
      <c r="P12" s="446">
        <v>-0.192</v>
      </c>
      <c r="Q12" s="464">
        <f>Q13-SUM(Q7:Q11)</f>
        <v>4.4999999999998153E-2</v>
      </c>
      <c r="S12" s="514">
        <f>0.101+26.796-S7</f>
        <v>12.462999999999997</v>
      </c>
      <c r="T12" s="467"/>
      <c r="V12" s="514">
        <v>2.5880000000000001</v>
      </c>
      <c r="W12" s="467">
        <f>W13-SUM(W7:W11)</f>
        <v>-0.59100000000000819</v>
      </c>
      <c r="Y12" s="514">
        <v>-0.82399999999999995</v>
      </c>
      <c r="Z12" s="467">
        <f>Z13-SUM(Z7:Z11)</f>
        <v>1.0879999999999797</v>
      </c>
      <c r="AB12" s="856">
        <v>1.5369999999999999</v>
      </c>
      <c r="AC12" s="467"/>
      <c r="AF12" s="467"/>
      <c r="AI12" s="467"/>
    </row>
    <row r="13" spans="1:62">
      <c r="A13" s="315" t="s">
        <v>1656</v>
      </c>
      <c r="B13" s="465">
        <f>B5</f>
        <v>11.34</v>
      </c>
      <c r="C13" s="465">
        <f>C5</f>
        <v>10.706</v>
      </c>
      <c r="D13" s="381">
        <f>SUM(D7:D12)</f>
        <v>10.706</v>
      </c>
      <c r="E13" s="465">
        <f>E5</f>
        <v>10.08</v>
      </c>
      <c r="F13" s="465">
        <f>F5</f>
        <v>11.379</v>
      </c>
      <c r="G13" s="381">
        <f>SUM(G7:G12)</f>
        <v>11.379</v>
      </c>
      <c r="H13" s="465">
        <f>H5</f>
        <v>11.401</v>
      </c>
      <c r="I13" s="465">
        <f>I5</f>
        <v>12.042999999999999</v>
      </c>
      <c r="J13" s="381">
        <f>SUM(J7:J12)</f>
        <v>11.952999999999998</v>
      </c>
      <c r="K13" s="465">
        <f>K5</f>
        <v>13.47</v>
      </c>
      <c r="L13" s="465">
        <f>L5</f>
        <v>13.541</v>
      </c>
      <c r="M13" s="381">
        <f>SUM(M7:M12)</f>
        <v>13.540999999999997</v>
      </c>
      <c r="N13" s="465">
        <f>N5</f>
        <v>12.183999999999999</v>
      </c>
      <c r="O13" s="465">
        <f>O5</f>
        <v>14.433999999999999</v>
      </c>
      <c r="P13" s="381">
        <f>SUM(P7:P12)</f>
        <v>14.434000000000001</v>
      </c>
      <c r="Q13" s="465">
        <f>Q5</f>
        <v>14.368</v>
      </c>
      <c r="R13" s="467">
        <f t="shared" ref="R13:AW13" si="41">SUM(R7:R12)</f>
        <v>21.203000000000003</v>
      </c>
      <c r="S13" s="381">
        <f t="shared" si="41"/>
        <v>33.477000000000004</v>
      </c>
      <c r="T13" s="467">
        <f>MODEL!T140</f>
        <v>45.031999999999996</v>
      </c>
      <c r="U13" s="467">
        <f t="shared" si="41"/>
        <v>51.335000000000008</v>
      </c>
      <c r="V13" s="381">
        <f t="shared" si="41"/>
        <v>53.766000000000012</v>
      </c>
      <c r="W13" s="467">
        <f>MODEL!W140</f>
        <v>60.779000000000003</v>
      </c>
      <c r="X13" s="467">
        <f t="shared" si="41"/>
        <v>63.371000000000002</v>
      </c>
      <c r="Y13" s="381">
        <f t="shared" si="41"/>
        <v>62.858000000000018</v>
      </c>
      <c r="Z13" s="467">
        <f>MODEL!Z140</f>
        <v>70.108000000000004</v>
      </c>
      <c r="AA13" s="467">
        <f t="shared" ref="AA13" si="42">SUM(AA7:AA12)</f>
        <v>92.036000000000016</v>
      </c>
      <c r="AB13" s="1151">
        <f t="shared" si="41"/>
        <v>92.319000000000031</v>
      </c>
      <c r="AC13" s="467">
        <f t="shared" si="41"/>
        <v>98.084136610471845</v>
      </c>
      <c r="AD13" s="467">
        <f t="shared" si="41"/>
        <v>106.20375061797279</v>
      </c>
      <c r="AE13" s="467">
        <f t="shared" si="41"/>
        <v>106.20375061797279</v>
      </c>
      <c r="AF13" s="467">
        <f t="shared" ref="AF13:AG13" si="43">SUM(AF7:AF12)</f>
        <v>111.82830985147314</v>
      </c>
      <c r="AG13" s="467">
        <f t="shared" si="43"/>
        <v>116.97968026727023</v>
      </c>
      <c r="AH13" s="467">
        <f t="shared" si="41"/>
        <v>116.97968026727023</v>
      </c>
      <c r="AI13" s="467">
        <f t="shared" si="41"/>
        <v>123.2447495182268</v>
      </c>
      <c r="AJ13" s="467">
        <f t="shared" si="41"/>
        <v>129.57433099175617</v>
      </c>
      <c r="AK13" s="467">
        <f t="shared" si="41"/>
        <v>129.57433099175617</v>
      </c>
      <c r="AL13" s="467"/>
      <c r="AM13" s="467"/>
      <c r="AN13" s="467">
        <f t="shared" si="41"/>
        <v>144.76224584455042</v>
      </c>
      <c r="AO13" s="467"/>
      <c r="AP13" s="467"/>
      <c r="AQ13" s="467">
        <f t="shared" si="41"/>
        <v>162.9212632205132</v>
      </c>
      <c r="AR13" s="467"/>
      <c r="AS13" s="467"/>
      <c r="AT13" s="467">
        <f t="shared" si="41"/>
        <v>184.49234790246774</v>
      </c>
      <c r="AU13" s="467"/>
      <c r="AV13" s="467"/>
      <c r="AW13" s="467">
        <f t="shared" si="41"/>
        <v>208.32729269525692</v>
      </c>
      <c r="AX13" s="467"/>
      <c r="AY13" s="467"/>
      <c r="AZ13" s="467">
        <f t="shared" ref="AZ13:BC13" si="44">SUM(AZ7:AZ12)</f>
        <v>234.68270699589527</v>
      </c>
      <c r="BA13" s="467"/>
      <c r="BB13" s="467"/>
      <c r="BC13" s="467">
        <f t="shared" si="44"/>
        <v>263.84582096817462</v>
      </c>
      <c r="BD13" s="467"/>
      <c r="BE13" s="467"/>
      <c r="BF13" s="467">
        <f t="shared" ref="BF13" si="45">SUM(BF7:BF12)</f>
        <v>296.13830438297867</v>
      </c>
      <c r="BG13" s="467"/>
      <c r="BH13" s="467"/>
      <c r="BI13" s="467">
        <f t="shared" ref="BI13" si="46">SUM(BI7:BI12)</f>
        <v>331.92058124086191</v>
      </c>
    </row>
    <row r="15" spans="1:62" ht="15">
      <c r="A15" s="339" t="s">
        <v>1658</v>
      </c>
      <c r="B15" s="433"/>
      <c r="C15" s="433"/>
      <c r="D15" s="433"/>
      <c r="E15" s="433"/>
      <c r="F15" s="433"/>
      <c r="G15" s="433"/>
      <c r="H15" s="433"/>
      <c r="I15" s="433"/>
      <c r="J15" s="433"/>
      <c r="K15" s="433"/>
      <c r="L15" s="433"/>
      <c r="M15" s="433"/>
      <c r="N15" s="433"/>
      <c r="O15" s="433"/>
      <c r="P15" s="433"/>
      <c r="Q15" s="433"/>
      <c r="R15" s="395"/>
      <c r="S15" s="395"/>
      <c r="T15" s="395"/>
      <c r="U15" s="395"/>
      <c r="V15" s="395"/>
      <c r="W15" s="395"/>
      <c r="X15" s="395"/>
      <c r="Y15" s="395"/>
      <c r="Z15" s="395"/>
      <c r="AA15" s="395"/>
      <c r="AB15" s="824"/>
      <c r="AC15" s="395"/>
      <c r="AD15" s="395"/>
      <c r="AE15" s="395"/>
      <c r="AF15" s="395"/>
      <c r="AG15" s="395"/>
      <c r="AH15" s="395"/>
      <c r="AI15" s="395"/>
      <c r="AJ15" s="395"/>
      <c r="AK15" s="395"/>
      <c r="AL15" s="395"/>
      <c r="AM15" s="395"/>
      <c r="AN15" s="395"/>
      <c r="AO15" s="395"/>
      <c r="AP15" s="395"/>
      <c r="AQ15" s="395"/>
      <c r="AR15" s="395"/>
      <c r="AS15" s="395"/>
      <c r="AT15" s="395"/>
      <c r="AU15" s="395"/>
      <c r="AV15" s="395"/>
      <c r="AW15" s="395"/>
      <c r="AX15" s="395"/>
      <c r="AY15" s="395"/>
      <c r="AZ15" s="395"/>
      <c r="BA15" s="395"/>
      <c r="BB15" s="395"/>
      <c r="BC15" s="395"/>
      <c r="BD15" s="395"/>
      <c r="BE15" s="395"/>
      <c r="BF15" s="395"/>
      <c r="BG15" s="395"/>
      <c r="BH15" s="395"/>
      <c r="BI15" s="395"/>
      <c r="BJ15" s="350"/>
    </row>
    <row r="16" spans="1:62">
      <c r="A16" s="314" t="s">
        <v>1648</v>
      </c>
      <c r="B16" s="464">
        <f t="shared" ref="B16" si="47">B18-B17</f>
        <v>62.069000000000003</v>
      </c>
      <c r="C16" s="464">
        <f t="shared" ref="C16" si="48">C18-C17</f>
        <v>62.069000000000003</v>
      </c>
      <c r="D16" s="446">
        <f>30.494+31.575</f>
        <v>62.069000000000003</v>
      </c>
      <c r="E16" s="464">
        <f t="shared" ref="E16" si="49">E18-E17</f>
        <v>62.069000000000003</v>
      </c>
      <c r="F16" s="464">
        <f t="shared" ref="F16" si="50">F18-F17</f>
        <v>70.152000000000001</v>
      </c>
      <c r="G16" s="446">
        <f>38.577+31.575</f>
        <v>70.152000000000001</v>
      </c>
      <c r="H16" s="464">
        <f t="shared" ref="H16" si="51">H18-H17</f>
        <v>70.152000000000001</v>
      </c>
      <c r="I16" s="464">
        <f t="shared" ref="I16" si="52">I18-I17</f>
        <v>70.177999999999997</v>
      </c>
      <c r="J16" s="446">
        <f>38.603+31.575</f>
        <v>70.177999999999997</v>
      </c>
      <c r="K16" s="464">
        <f>M16</f>
        <v>98.192999999999998</v>
      </c>
      <c r="L16" s="464">
        <f t="shared" ref="L16" si="53">L18-L17</f>
        <v>98.192999999999998</v>
      </c>
      <c r="M16" s="446">
        <v>98.192999999999998</v>
      </c>
      <c r="N16" s="464">
        <f>N18-N17</f>
        <v>145.19299999999998</v>
      </c>
      <c r="O16" s="464">
        <f t="shared" ref="O16" si="54">O18-O17</f>
        <v>175.05600000000001</v>
      </c>
      <c r="P16" s="446">
        <v>175.05600000000001</v>
      </c>
      <c r="Q16" s="464">
        <f>Q18-Q17</f>
        <v>175.05600000000001</v>
      </c>
      <c r="R16" s="467">
        <f t="shared" ref="R16" si="55">R18-R17</f>
        <v>175.05600000000001</v>
      </c>
      <c r="S16" s="514">
        <v>184.40199999999999</v>
      </c>
      <c r="T16" s="467">
        <f t="shared" ref="T16" si="56">T18-T17</f>
        <v>287.01499999999999</v>
      </c>
      <c r="U16" s="467">
        <f t="shared" ref="U16" si="57">U18-U17</f>
        <v>314.33499999999998</v>
      </c>
      <c r="V16" s="514">
        <v>325.94799999999998</v>
      </c>
      <c r="W16" s="467">
        <f t="shared" ref="W16:X16" si="58">W18-W17</f>
        <v>325.94800000000004</v>
      </c>
      <c r="X16" s="467">
        <f t="shared" si="58"/>
        <v>325.94800000000004</v>
      </c>
      <c r="Y16" s="514">
        <v>323.67500000000001</v>
      </c>
      <c r="Z16" s="467">
        <f t="shared" ref="Z16:AA16" si="59">Z18-Z17</f>
        <v>323.67500000000001</v>
      </c>
      <c r="AA16" s="467">
        <f t="shared" si="59"/>
        <v>323.67500000000001</v>
      </c>
      <c r="AB16" s="856">
        <v>347.94299999999998</v>
      </c>
      <c r="AC16" s="467">
        <f t="shared" ref="AC16:AD16" si="60">AC18-AC17</f>
        <v>347.94300000000004</v>
      </c>
      <c r="AD16" s="467">
        <f t="shared" si="60"/>
        <v>347.94300000000004</v>
      </c>
      <c r="AE16" s="467">
        <f t="shared" ref="AE16:AG16" si="61">AE18-AE17</f>
        <v>347.94300000000004</v>
      </c>
      <c r="AF16" s="467">
        <f t="shared" si="61"/>
        <v>347.94300000000004</v>
      </c>
      <c r="AG16" s="467">
        <f t="shared" si="61"/>
        <v>347.94300000000004</v>
      </c>
      <c r="AH16" s="467">
        <f t="shared" ref="AH16:AJ16" si="62">AH18-AH17</f>
        <v>347.94300000000004</v>
      </c>
      <c r="AI16" s="467">
        <f t="shared" si="62"/>
        <v>347.94300000000004</v>
      </c>
      <c r="AJ16" s="467">
        <f t="shared" si="62"/>
        <v>347.94300000000004</v>
      </c>
      <c r="AK16" s="467">
        <f t="shared" ref="AK16" si="63">AK18-AK17</f>
        <v>347.94300000000004</v>
      </c>
      <c r="AL16" s="467"/>
      <c r="AM16" s="467"/>
      <c r="AN16" s="467">
        <f t="shared" ref="AN16" si="64">AN18-AN17</f>
        <v>347.94300000000004</v>
      </c>
      <c r="AO16" s="467"/>
      <c r="AP16" s="467"/>
      <c r="AQ16" s="467">
        <f t="shared" ref="AQ16" si="65">AQ18-AQ17</f>
        <v>347.94300000000004</v>
      </c>
      <c r="AR16" s="467"/>
      <c r="AS16" s="467"/>
      <c r="AT16" s="467">
        <f t="shared" ref="AT16" si="66">AT18-AT17</f>
        <v>347.94300000000004</v>
      </c>
      <c r="AU16" s="467"/>
      <c r="AV16" s="467"/>
      <c r="AW16" s="467">
        <f t="shared" ref="AW16:AZ16" si="67">AW18-AW17</f>
        <v>347.94300000000004</v>
      </c>
      <c r="AX16" s="467"/>
      <c r="AY16" s="467"/>
      <c r="AZ16" s="467">
        <f t="shared" si="67"/>
        <v>347.94300000000004</v>
      </c>
      <c r="BA16" s="467"/>
      <c r="BB16" s="467"/>
      <c r="BC16" s="467">
        <f t="shared" ref="BC16:BF16" si="68">BC18-BC17</f>
        <v>347.94300000000004</v>
      </c>
      <c r="BD16" s="467"/>
      <c r="BE16" s="467"/>
      <c r="BF16" s="467">
        <f t="shared" si="68"/>
        <v>347.94300000000004</v>
      </c>
      <c r="BG16" s="467"/>
      <c r="BH16" s="467"/>
      <c r="BI16" s="467">
        <f t="shared" ref="BI16" si="69">BI18-BI17</f>
        <v>347.94300000000004</v>
      </c>
    </row>
    <row r="17" spans="1:62">
      <c r="A17" s="314" t="s">
        <v>1649</v>
      </c>
      <c r="B17" s="464">
        <v>0</v>
      </c>
      <c r="C17" s="464">
        <v>0</v>
      </c>
      <c r="D17" s="446">
        <v>0</v>
      </c>
      <c r="E17" s="464">
        <v>0</v>
      </c>
      <c r="F17" s="464">
        <v>0</v>
      </c>
      <c r="G17" s="446">
        <v>0</v>
      </c>
      <c r="H17" s="464">
        <v>0</v>
      </c>
      <c r="I17" s="464">
        <v>0</v>
      </c>
      <c r="J17" s="446">
        <v>0</v>
      </c>
      <c r="K17" s="464">
        <v>0</v>
      </c>
      <c r="L17" s="464">
        <v>0</v>
      </c>
      <c r="M17" s="446">
        <v>0</v>
      </c>
      <c r="N17" s="464">
        <v>0</v>
      </c>
      <c r="O17" s="464">
        <v>0</v>
      </c>
      <c r="P17" s="446">
        <v>0</v>
      </c>
      <c r="Q17" s="464">
        <v>0</v>
      </c>
      <c r="R17" s="467">
        <f>S17</f>
        <v>0</v>
      </c>
      <c r="S17" s="467">
        <f>P17+S24</f>
        <v>0</v>
      </c>
      <c r="T17" s="467">
        <f>S17+T24</f>
        <v>0</v>
      </c>
      <c r="U17" s="467">
        <f>V17</f>
        <v>0</v>
      </c>
      <c r="V17" s="467">
        <f>S17+V24</f>
        <v>0</v>
      </c>
      <c r="W17" s="467">
        <f>V17+W24</f>
        <v>0</v>
      </c>
      <c r="X17" s="467">
        <f>Y17</f>
        <v>0</v>
      </c>
      <c r="Y17" s="467">
        <f>V17+Y24</f>
        <v>0</v>
      </c>
      <c r="Z17" s="467">
        <f>Y17+Z24</f>
        <v>0</v>
      </c>
      <c r="AA17" s="467">
        <f>AB17</f>
        <v>0</v>
      </c>
      <c r="AB17" s="897">
        <f>Y17+AB24</f>
        <v>0</v>
      </c>
      <c r="AC17" s="467">
        <f>AB17+AC24</f>
        <v>0</v>
      </c>
      <c r="AD17" s="467">
        <f>AE17</f>
        <v>0</v>
      </c>
      <c r="AE17" s="467">
        <f>AB17+AE24</f>
        <v>0</v>
      </c>
      <c r="AF17" s="467">
        <f>AE17+AF24</f>
        <v>0</v>
      </c>
      <c r="AG17" s="467">
        <f>AH17</f>
        <v>0</v>
      </c>
      <c r="AH17" s="467">
        <f>AE17+AH24</f>
        <v>0</v>
      </c>
      <c r="AI17" s="467">
        <f>AH17+AI24</f>
        <v>0</v>
      </c>
      <c r="AJ17" s="467">
        <f>AK17</f>
        <v>0</v>
      </c>
      <c r="AK17" s="467">
        <f>AH17+AK24</f>
        <v>0</v>
      </c>
      <c r="AL17" s="467"/>
      <c r="AM17" s="467"/>
      <c r="AN17" s="467">
        <f>AK17+AN24</f>
        <v>0</v>
      </c>
      <c r="AO17" s="467"/>
      <c r="AP17" s="467"/>
      <c r="AQ17" s="467">
        <f>AN17+AQ24</f>
        <v>0</v>
      </c>
      <c r="AR17" s="467"/>
      <c r="AS17" s="467"/>
      <c r="AT17" s="467">
        <f>AQ17+AT24</f>
        <v>0</v>
      </c>
      <c r="AU17" s="467"/>
      <c r="AV17" s="467"/>
      <c r="AW17" s="467">
        <f>AT17+AW24</f>
        <v>0</v>
      </c>
      <c r="AX17" s="467"/>
      <c r="AY17" s="467"/>
      <c r="AZ17" s="467">
        <f>AW17+AZ24</f>
        <v>0</v>
      </c>
      <c r="BA17" s="467"/>
      <c r="BB17" s="467"/>
      <c r="BC17" s="467">
        <f>AZ17+BC24</f>
        <v>0</v>
      </c>
      <c r="BD17" s="467"/>
      <c r="BE17" s="467"/>
      <c r="BF17" s="467">
        <f>BC17+BF24</f>
        <v>0</v>
      </c>
      <c r="BG17" s="467"/>
      <c r="BH17" s="467"/>
      <c r="BI17" s="467">
        <f t="shared" ref="BI17" si="70">BF17+BI24</f>
        <v>0</v>
      </c>
    </row>
    <row r="18" spans="1:62">
      <c r="A18" s="315" t="s">
        <v>1650</v>
      </c>
      <c r="B18" s="465">
        <f>C18</f>
        <v>62.069000000000003</v>
      </c>
      <c r="C18" s="465">
        <f>D18</f>
        <v>62.069000000000003</v>
      </c>
      <c r="D18" s="381">
        <f>D16+D17</f>
        <v>62.069000000000003</v>
      </c>
      <c r="E18" s="465">
        <f t="shared" ref="E18" si="71">D18</f>
        <v>62.069000000000003</v>
      </c>
      <c r="F18" s="465">
        <f>G18</f>
        <v>70.152000000000001</v>
      </c>
      <c r="G18" s="381">
        <f>G16+G17</f>
        <v>70.152000000000001</v>
      </c>
      <c r="H18" s="465">
        <f t="shared" ref="H18" si="72">G18</f>
        <v>70.152000000000001</v>
      </c>
      <c r="I18" s="465">
        <f>J18</f>
        <v>70.177999999999997</v>
      </c>
      <c r="J18" s="381">
        <f>J16+J17</f>
        <v>70.177999999999997</v>
      </c>
      <c r="K18" s="465">
        <f>M18</f>
        <v>98.192999999999998</v>
      </c>
      <c r="L18" s="465">
        <f>M18</f>
        <v>98.192999999999998</v>
      </c>
      <c r="M18" s="381">
        <f>M16+M17</f>
        <v>98.192999999999998</v>
      </c>
      <c r="N18" s="465">
        <f>MODEL!N142</f>
        <v>145.19299999999998</v>
      </c>
      <c r="O18" s="465">
        <f>MODEL!O142</f>
        <v>175.05600000000001</v>
      </c>
      <c r="P18" s="381">
        <f>P16+P17</f>
        <v>175.05600000000001</v>
      </c>
      <c r="Q18" s="465">
        <f>MODEL!Q142</f>
        <v>175.05600000000001</v>
      </c>
      <c r="R18" s="471">
        <f>R26</f>
        <v>175.05600000000001</v>
      </c>
      <c r="S18" s="381">
        <f>S16+S17</f>
        <v>184.40199999999999</v>
      </c>
      <c r="T18" s="471">
        <f t="shared" ref="T18:AT18" si="73">T26</f>
        <v>287.01499999999999</v>
      </c>
      <c r="U18" s="471">
        <f t="shared" si="73"/>
        <v>314.33499999999998</v>
      </c>
      <c r="V18" s="381">
        <f t="shared" si="73"/>
        <v>325.94800000000004</v>
      </c>
      <c r="W18" s="471">
        <f t="shared" ref="W18:X18" si="74">W26</f>
        <v>325.94800000000004</v>
      </c>
      <c r="X18" s="471">
        <f t="shared" si="74"/>
        <v>325.94800000000004</v>
      </c>
      <c r="Y18" s="381">
        <f>Y16</f>
        <v>323.67500000000001</v>
      </c>
      <c r="Z18" s="471">
        <f t="shared" si="73"/>
        <v>323.67500000000001</v>
      </c>
      <c r="AA18" s="471">
        <f t="shared" si="73"/>
        <v>323.67500000000001</v>
      </c>
      <c r="AB18" s="1151">
        <f>AB16</f>
        <v>347.94299999999998</v>
      </c>
      <c r="AC18" s="471">
        <f t="shared" ref="AC18:AD18" si="75">AC26</f>
        <v>347.94300000000004</v>
      </c>
      <c r="AD18" s="471">
        <f t="shared" si="75"/>
        <v>347.94300000000004</v>
      </c>
      <c r="AE18" s="471">
        <f t="shared" si="73"/>
        <v>347.94300000000004</v>
      </c>
      <c r="AF18" s="471">
        <f t="shared" si="73"/>
        <v>347.94300000000004</v>
      </c>
      <c r="AG18" s="471">
        <f t="shared" si="73"/>
        <v>347.94300000000004</v>
      </c>
      <c r="AH18" s="471">
        <f t="shared" si="73"/>
        <v>347.94300000000004</v>
      </c>
      <c r="AI18" s="471">
        <f t="shared" ref="AI18:AJ18" si="76">AI26</f>
        <v>347.94300000000004</v>
      </c>
      <c r="AJ18" s="471">
        <f t="shared" si="76"/>
        <v>347.94300000000004</v>
      </c>
      <c r="AK18" s="471">
        <f t="shared" si="73"/>
        <v>347.94300000000004</v>
      </c>
      <c r="AL18" s="471"/>
      <c r="AM18" s="471"/>
      <c r="AN18" s="471">
        <f t="shared" si="73"/>
        <v>347.94300000000004</v>
      </c>
      <c r="AO18" s="471"/>
      <c r="AP18" s="471"/>
      <c r="AQ18" s="471">
        <f t="shared" si="73"/>
        <v>347.94300000000004</v>
      </c>
      <c r="AR18" s="471"/>
      <c r="AS18" s="471"/>
      <c r="AT18" s="471">
        <f t="shared" si="73"/>
        <v>347.94300000000004</v>
      </c>
      <c r="AU18" s="471"/>
      <c r="AV18" s="471"/>
      <c r="AW18" s="471">
        <f t="shared" ref="AW18:AZ18" si="77">AW26</f>
        <v>347.94300000000004</v>
      </c>
      <c r="AX18" s="471"/>
      <c r="AY18" s="471"/>
      <c r="AZ18" s="471">
        <f t="shared" si="77"/>
        <v>347.94300000000004</v>
      </c>
      <c r="BA18" s="471"/>
      <c r="BB18" s="471"/>
      <c r="BC18" s="471">
        <f t="shared" ref="BC18:BF18" si="78">BC26</f>
        <v>347.94300000000004</v>
      </c>
      <c r="BD18" s="471"/>
      <c r="BE18" s="471"/>
      <c r="BF18" s="471">
        <f t="shared" si="78"/>
        <v>347.94300000000004</v>
      </c>
      <c r="BG18" s="471"/>
      <c r="BH18" s="471"/>
      <c r="BI18" s="471">
        <f t="shared" ref="BI18" si="79">BI26</f>
        <v>347.94300000000004</v>
      </c>
    </row>
    <row r="19" spans="1:62">
      <c r="D19" s="464"/>
      <c r="G19" s="464"/>
      <c r="J19" s="464"/>
      <c r="M19" s="464"/>
      <c r="P19" s="464"/>
    </row>
    <row r="20" spans="1:62">
      <c r="A20" s="314" t="s">
        <v>1651</v>
      </c>
      <c r="B20" s="333">
        <f>D20</f>
        <v>62.069000000000003</v>
      </c>
      <c r="C20" s="333">
        <f>B26</f>
        <v>62.069000000000003</v>
      </c>
      <c r="D20" s="446">
        <f>30.494+31.575</f>
        <v>62.069000000000003</v>
      </c>
      <c r="E20" s="333">
        <f>G20</f>
        <v>62.069000000000003</v>
      </c>
      <c r="F20" s="333">
        <f>E26</f>
        <v>62.069000000000003</v>
      </c>
      <c r="G20" s="446">
        <f>30.494+31.575</f>
        <v>62.069000000000003</v>
      </c>
      <c r="H20" s="333">
        <f>J20</f>
        <v>70.152000000000001</v>
      </c>
      <c r="I20" s="333">
        <f>H26</f>
        <v>70.152000000000001</v>
      </c>
      <c r="J20" s="446">
        <f>38.577+31.575</f>
        <v>70.152000000000001</v>
      </c>
      <c r="K20" s="333">
        <f>M20</f>
        <v>70.179000000000002</v>
      </c>
      <c r="L20" s="333">
        <f>K26</f>
        <v>98.192999999999998</v>
      </c>
      <c r="M20" s="446">
        <v>70.179000000000002</v>
      </c>
      <c r="N20" s="333">
        <f>P20</f>
        <v>98.192999999999998</v>
      </c>
      <c r="O20" s="333">
        <f>N26</f>
        <v>145.19299999999998</v>
      </c>
      <c r="P20" s="446">
        <v>98.192999999999998</v>
      </c>
      <c r="Q20" s="333">
        <f>P26</f>
        <v>175.05600000000001</v>
      </c>
      <c r="R20" s="467">
        <f>Q26</f>
        <v>175.05600000000001</v>
      </c>
      <c r="S20" s="467">
        <f>P26</f>
        <v>175.05600000000001</v>
      </c>
      <c r="T20" s="467">
        <f>S26</f>
        <v>184.40200000000002</v>
      </c>
      <c r="U20" s="467">
        <f>T26</f>
        <v>287.01499999999999</v>
      </c>
      <c r="V20" s="467">
        <f>S26</f>
        <v>184.40200000000002</v>
      </c>
      <c r="W20" s="467">
        <f>V26</f>
        <v>325.94800000000004</v>
      </c>
      <c r="X20" s="467">
        <f>W26</f>
        <v>325.94800000000004</v>
      </c>
      <c r="Y20" s="467">
        <f>V26</f>
        <v>325.94800000000004</v>
      </c>
      <c r="Z20" s="467">
        <f>Y26</f>
        <v>323.67500000000001</v>
      </c>
      <c r="AA20" s="467">
        <f>Z26</f>
        <v>323.67500000000001</v>
      </c>
      <c r="AB20" s="897">
        <f>Y26</f>
        <v>323.67500000000001</v>
      </c>
      <c r="AC20" s="467">
        <f>AB26</f>
        <v>347.94300000000004</v>
      </c>
      <c r="AD20" s="467">
        <f>AC26</f>
        <v>347.94300000000004</v>
      </c>
      <c r="AE20" s="467">
        <f>AB26</f>
        <v>347.94300000000004</v>
      </c>
      <c r="AF20" s="467">
        <f>AE26</f>
        <v>347.94300000000004</v>
      </c>
      <c r="AG20" s="467">
        <f>AF26</f>
        <v>347.94300000000004</v>
      </c>
      <c r="AH20" s="467">
        <f>AE26</f>
        <v>347.94300000000004</v>
      </c>
      <c r="AI20" s="467">
        <f>AH26</f>
        <v>347.94300000000004</v>
      </c>
      <c r="AJ20" s="467">
        <f>AI26</f>
        <v>347.94300000000004</v>
      </c>
      <c r="AK20" s="467">
        <f>AH26</f>
        <v>347.94300000000004</v>
      </c>
      <c r="AL20" s="467"/>
      <c r="AM20" s="467"/>
      <c r="AN20" s="467">
        <f>AK26</f>
        <v>347.94300000000004</v>
      </c>
      <c r="AO20" s="467"/>
      <c r="AP20" s="467"/>
      <c r="AQ20" s="467">
        <f>AN26</f>
        <v>347.94300000000004</v>
      </c>
      <c r="AR20" s="467"/>
      <c r="AS20" s="467"/>
      <c r="AT20" s="467">
        <f>AQ26</f>
        <v>347.94300000000004</v>
      </c>
      <c r="AU20" s="467"/>
      <c r="AV20" s="467"/>
      <c r="AW20" s="467">
        <f>AT26</f>
        <v>347.94300000000004</v>
      </c>
      <c r="AX20" s="467"/>
      <c r="AY20" s="467"/>
      <c r="AZ20" s="467">
        <f>AW26</f>
        <v>347.94300000000004</v>
      </c>
      <c r="BA20" s="467"/>
      <c r="BB20" s="467"/>
      <c r="BC20" s="467">
        <f>AZ26</f>
        <v>347.94300000000004</v>
      </c>
      <c r="BD20" s="467"/>
      <c r="BE20" s="467"/>
      <c r="BF20" s="467">
        <f>BC26</f>
        <v>347.94300000000004</v>
      </c>
      <c r="BG20" s="467"/>
      <c r="BH20" s="467"/>
      <c r="BI20" s="467">
        <f t="shared" ref="BI20" si="80">BF26</f>
        <v>347.94300000000004</v>
      </c>
    </row>
    <row r="21" spans="1:62">
      <c r="A21" s="314" t="s">
        <v>1652</v>
      </c>
      <c r="D21" s="446">
        <v>0</v>
      </c>
      <c r="F21" s="464">
        <f>G21-E21</f>
        <v>8.0830000000000002</v>
      </c>
      <c r="G21" s="446">
        <v>8.0830000000000002</v>
      </c>
      <c r="J21" s="446">
        <v>2.5999999999999999E-2</v>
      </c>
      <c r="L21" s="464">
        <f>M21-K21</f>
        <v>0</v>
      </c>
      <c r="M21" s="446">
        <v>0</v>
      </c>
      <c r="O21" s="464">
        <f>P21-N21</f>
        <v>0.65600000000000003</v>
      </c>
      <c r="P21" s="446">
        <v>0.65600000000000003</v>
      </c>
      <c r="AB21" s="856">
        <v>12.848000000000001</v>
      </c>
    </row>
    <row r="22" spans="1:62">
      <c r="A22" s="314" t="s">
        <v>1653</v>
      </c>
      <c r="D22" s="446">
        <v>0</v>
      </c>
      <c r="G22" s="446">
        <v>0</v>
      </c>
      <c r="J22" s="446">
        <v>0</v>
      </c>
      <c r="K22" s="464">
        <f>M22</f>
        <v>28.013999999999999</v>
      </c>
      <c r="L22" s="464">
        <f t="shared" ref="L22:L24" si="81">M22-K22</f>
        <v>0</v>
      </c>
      <c r="M22" s="446">
        <v>28.013999999999999</v>
      </c>
      <c r="N22" s="464">
        <f>N26-N20-N25</f>
        <v>49.674999999999983</v>
      </c>
      <c r="O22" s="464">
        <f t="shared" ref="O22:O24" si="82">P22-N22</f>
        <v>31.882000000000019</v>
      </c>
      <c r="P22" s="446">
        <v>81.557000000000002</v>
      </c>
      <c r="Q22" s="464">
        <f>Q26-Q20-Q25</f>
        <v>-4.673</v>
      </c>
      <c r="T22" s="818">
        <v>102.613</v>
      </c>
      <c r="U22" s="430">
        <f>V22-T22</f>
        <v>27.319999999999993</v>
      </c>
      <c r="V22" s="430">
        <v>129.93299999999999</v>
      </c>
      <c r="W22" s="818"/>
      <c r="Z22" s="818"/>
    </row>
    <row r="23" spans="1:62">
      <c r="A23" s="314" t="s">
        <v>1654</v>
      </c>
      <c r="D23" s="446">
        <v>0</v>
      </c>
      <c r="G23" s="446">
        <v>0</v>
      </c>
      <c r="J23" s="446">
        <v>0</v>
      </c>
      <c r="L23" s="464">
        <f t="shared" si="81"/>
        <v>0</v>
      </c>
      <c r="M23" s="446">
        <v>0</v>
      </c>
      <c r="O23" s="464">
        <f t="shared" si="82"/>
        <v>0</v>
      </c>
      <c r="P23" s="446">
        <v>0</v>
      </c>
    </row>
    <row r="24" spans="1:62">
      <c r="A24" s="314" t="s">
        <v>1640</v>
      </c>
      <c r="D24" s="446">
        <v>0</v>
      </c>
      <c r="G24" s="446">
        <v>0</v>
      </c>
      <c r="J24" s="446">
        <v>0</v>
      </c>
      <c r="L24" s="464">
        <f t="shared" si="81"/>
        <v>0</v>
      </c>
      <c r="M24" s="446">
        <v>0</v>
      </c>
      <c r="O24" s="464">
        <f t="shared" si="82"/>
        <v>0</v>
      </c>
      <c r="P24" s="446">
        <v>0</v>
      </c>
    </row>
    <row r="25" spans="1:62">
      <c r="A25" s="314" t="s">
        <v>1655</v>
      </c>
      <c r="B25" s="464">
        <f>B26-SUM(B20:B24)</f>
        <v>0</v>
      </c>
      <c r="C25" s="464">
        <f t="shared" ref="C25" si="83">C26-SUM(C20:C24)</f>
        <v>0</v>
      </c>
      <c r="D25" s="446">
        <v>0</v>
      </c>
      <c r="E25" s="464">
        <f>E26-SUM(E20:E24)</f>
        <v>0</v>
      </c>
      <c r="F25" s="464">
        <f t="shared" ref="F25" si="84">F26-SUM(F20:F24)</f>
        <v>0</v>
      </c>
      <c r="G25" s="446">
        <v>0</v>
      </c>
      <c r="H25" s="464">
        <f>H26-SUM(H20:H24)</f>
        <v>0</v>
      </c>
      <c r="I25" s="464">
        <f t="shared" ref="I25" si="85">I26-SUM(I20:I24)</f>
        <v>2.5999999999996248E-2</v>
      </c>
      <c r="J25" s="446">
        <v>0</v>
      </c>
      <c r="K25" s="464">
        <f>K26-SUM(K20:K24)</f>
        <v>0</v>
      </c>
      <c r="L25" s="464">
        <f t="shared" ref="L25" si="86">L26-SUM(L20:L24)</f>
        <v>0</v>
      </c>
      <c r="M25" s="446">
        <v>0</v>
      </c>
      <c r="N25" s="448">
        <f>P25/2</f>
        <v>-2.6749999999999998</v>
      </c>
      <c r="O25" s="464">
        <f t="shared" ref="O25" si="87">O26-SUM(O20:O24)</f>
        <v>-2.6749999999999829</v>
      </c>
      <c r="P25" s="446">
        <v>-5.35</v>
      </c>
      <c r="Q25" s="448">
        <f>S25/2</f>
        <v>4.673</v>
      </c>
      <c r="S25" s="818">
        <v>9.3460000000000001</v>
      </c>
      <c r="V25" s="818">
        <v>11.613</v>
      </c>
      <c r="Y25" s="818">
        <v>-2.2730000000000001</v>
      </c>
      <c r="AB25" s="856">
        <v>11.42</v>
      </c>
    </row>
    <row r="26" spans="1:62" s="315" customFormat="1">
      <c r="A26" s="315" t="s">
        <v>1656</v>
      </c>
      <c r="B26" s="465">
        <f>B18</f>
        <v>62.069000000000003</v>
      </c>
      <c r="C26" s="465">
        <f t="shared" ref="C26" si="88">C18</f>
        <v>62.069000000000003</v>
      </c>
      <c r="D26" s="381">
        <f>SUM(D20:D25)</f>
        <v>62.069000000000003</v>
      </c>
      <c r="E26" s="465">
        <f>E18</f>
        <v>62.069000000000003</v>
      </c>
      <c r="F26" s="465">
        <f t="shared" ref="F26" si="89">F18</f>
        <v>70.152000000000001</v>
      </c>
      <c r="G26" s="381">
        <f>SUM(G20:G25)</f>
        <v>70.152000000000001</v>
      </c>
      <c r="H26" s="465">
        <f>H18</f>
        <v>70.152000000000001</v>
      </c>
      <c r="I26" s="465">
        <f t="shared" ref="I26" si="90">I18</f>
        <v>70.177999999999997</v>
      </c>
      <c r="J26" s="381">
        <f>SUM(J20:J25)</f>
        <v>70.177999999999997</v>
      </c>
      <c r="K26" s="465">
        <f>K18</f>
        <v>98.192999999999998</v>
      </c>
      <c r="L26" s="465">
        <f t="shared" ref="L26" si="91">L18</f>
        <v>98.192999999999998</v>
      </c>
      <c r="M26" s="381">
        <f>SUM(M20:M25)</f>
        <v>98.192999999999998</v>
      </c>
      <c r="N26" s="465">
        <f>N18</f>
        <v>145.19299999999998</v>
      </c>
      <c r="O26" s="465">
        <f t="shared" ref="O26" si="92">O18</f>
        <v>175.05600000000001</v>
      </c>
      <c r="P26" s="381">
        <f>SUM(P20:P25)</f>
        <v>175.05600000000001</v>
      </c>
      <c r="Q26" s="465">
        <f>Q18</f>
        <v>175.05600000000001</v>
      </c>
      <c r="R26" s="471">
        <f>SUM(R20:R25)</f>
        <v>175.05600000000001</v>
      </c>
      <c r="S26" s="471">
        <f t="shared" ref="S26:AT26" si="93">SUM(S20:S25)</f>
        <v>184.40200000000002</v>
      </c>
      <c r="T26" s="471">
        <f t="shared" si="93"/>
        <v>287.01499999999999</v>
      </c>
      <c r="U26" s="471">
        <f t="shared" si="93"/>
        <v>314.33499999999998</v>
      </c>
      <c r="V26" s="471">
        <f>SUM(V20:V25)</f>
        <v>325.94800000000004</v>
      </c>
      <c r="W26" s="471">
        <f t="shared" ref="W26:X26" si="94">SUM(W20:W25)</f>
        <v>325.94800000000004</v>
      </c>
      <c r="X26" s="471">
        <f t="shared" si="94"/>
        <v>325.94800000000004</v>
      </c>
      <c r="Y26" s="471">
        <f t="shared" si="93"/>
        <v>323.67500000000001</v>
      </c>
      <c r="Z26" s="471">
        <f t="shared" si="93"/>
        <v>323.67500000000001</v>
      </c>
      <c r="AA26" s="471">
        <f t="shared" si="93"/>
        <v>323.67500000000001</v>
      </c>
      <c r="AB26" s="898">
        <f t="shared" si="93"/>
        <v>347.94300000000004</v>
      </c>
      <c r="AC26" s="471">
        <f t="shared" ref="AC26:AD26" si="95">SUM(AC20:AC25)</f>
        <v>347.94300000000004</v>
      </c>
      <c r="AD26" s="471">
        <f t="shared" si="95"/>
        <v>347.94300000000004</v>
      </c>
      <c r="AE26" s="471">
        <f t="shared" si="93"/>
        <v>347.94300000000004</v>
      </c>
      <c r="AF26" s="471">
        <f t="shared" si="93"/>
        <v>347.94300000000004</v>
      </c>
      <c r="AG26" s="471">
        <f t="shared" si="93"/>
        <v>347.94300000000004</v>
      </c>
      <c r="AH26" s="471">
        <f t="shared" si="93"/>
        <v>347.94300000000004</v>
      </c>
      <c r="AI26" s="471">
        <f t="shared" ref="AI26:AJ26" si="96">SUM(AI20:AI25)</f>
        <v>347.94300000000004</v>
      </c>
      <c r="AJ26" s="471">
        <f t="shared" si="96"/>
        <v>347.94300000000004</v>
      </c>
      <c r="AK26" s="471">
        <f t="shared" si="93"/>
        <v>347.94300000000004</v>
      </c>
      <c r="AL26" s="471"/>
      <c r="AM26" s="471"/>
      <c r="AN26" s="471">
        <f t="shared" si="93"/>
        <v>347.94300000000004</v>
      </c>
      <c r="AO26" s="471"/>
      <c r="AP26" s="471"/>
      <c r="AQ26" s="471">
        <f t="shared" si="93"/>
        <v>347.94300000000004</v>
      </c>
      <c r="AR26" s="471"/>
      <c r="AS26" s="471"/>
      <c r="AT26" s="471">
        <f t="shared" si="93"/>
        <v>347.94300000000004</v>
      </c>
      <c r="AU26" s="471"/>
      <c r="AV26" s="471"/>
      <c r="AW26" s="471">
        <f t="shared" ref="AW26:AZ26" si="97">SUM(AW20:AW25)</f>
        <v>347.94300000000004</v>
      </c>
      <c r="AX26" s="471"/>
      <c r="AY26" s="471"/>
      <c r="AZ26" s="471">
        <f t="shared" si="97"/>
        <v>347.94300000000004</v>
      </c>
      <c r="BA26" s="471"/>
      <c r="BB26" s="471"/>
      <c r="BC26" s="471">
        <f t="shared" ref="BC26:BF26" si="98">SUM(BC20:BC25)</f>
        <v>347.94300000000004</v>
      </c>
      <c r="BD26" s="471"/>
      <c r="BE26" s="471"/>
      <c r="BF26" s="471">
        <f t="shared" si="98"/>
        <v>347.94300000000004</v>
      </c>
      <c r="BG26" s="471"/>
      <c r="BH26" s="471"/>
      <c r="BI26" s="471">
        <f t="shared" ref="BI26" si="99">SUM(BI20:BI25)</f>
        <v>347.94300000000004</v>
      </c>
      <c r="BJ26" s="466"/>
    </row>
    <row r="28" spans="1:62" ht="15">
      <c r="A28" s="339" t="s">
        <v>1657</v>
      </c>
      <c r="B28" s="433"/>
      <c r="C28" s="433"/>
      <c r="D28" s="433"/>
      <c r="E28" s="433"/>
      <c r="F28" s="433"/>
      <c r="G28" s="433"/>
      <c r="H28" s="433"/>
      <c r="I28" s="433"/>
      <c r="J28" s="433"/>
      <c r="K28" s="433"/>
      <c r="L28" s="433"/>
      <c r="M28" s="433"/>
      <c r="N28" s="433"/>
      <c r="O28" s="433"/>
      <c r="P28" s="433"/>
      <c r="Q28" s="433"/>
      <c r="R28" s="395"/>
      <c r="S28" s="395"/>
      <c r="T28" s="395"/>
      <c r="U28" s="395"/>
      <c r="V28" s="395"/>
      <c r="W28" s="395"/>
      <c r="X28" s="395"/>
      <c r="Y28" s="395"/>
      <c r="Z28" s="395"/>
      <c r="AA28" s="395"/>
      <c r="AB28" s="824"/>
      <c r="AC28" s="395"/>
      <c r="AD28" s="395"/>
      <c r="AE28" s="395"/>
      <c r="AF28" s="395"/>
      <c r="AG28" s="395"/>
      <c r="AH28" s="395"/>
      <c r="AI28" s="395"/>
      <c r="AJ28" s="395"/>
      <c r="AK28" s="395"/>
      <c r="AL28" s="395"/>
      <c r="AM28" s="395"/>
      <c r="AN28" s="395"/>
      <c r="AO28" s="395"/>
      <c r="AP28" s="395"/>
      <c r="AQ28" s="395"/>
      <c r="AR28" s="395"/>
      <c r="AS28" s="395"/>
      <c r="AT28" s="395"/>
      <c r="AU28" s="395"/>
      <c r="AV28" s="395"/>
      <c r="AW28" s="395"/>
      <c r="AX28" s="395"/>
      <c r="AY28" s="395"/>
      <c r="AZ28" s="395"/>
      <c r="BA28" s="395"/>
      <c r="BB28" s="395"/>
      <c r="BC28" s="395"/>
      <c r="BD28" s="395"/>
      <c r="BE28" s="395"/>
      <c r="BF28" s="395"/>
      <c r="BG28" s="395"/>
      <c r="BH28" s="395"/>
      <c r="BI28" s="395"/>
      <c r="BJ28" s="350"/>
    </row>
    <row r="29" spans="1:62">
      <c r="A29" s="314" t="s">
        <v>1648</v>
      </c>
      <c r="B29" s="464">
        <f t="shared" ref="B29" si="100">B31-B30</f>
        <v>78.082417123224062</v>
      </c>
      <c r="C29" s="464">
        <f>C31-C30</f>
        <v>85.433999999999997</v>
      </c>
      <c r="D29" s="446">
        <f>147.503-D16</f>
        <v>85.433999999999983</v>
      </c>
      <c r="E29" s="464">
        <f t="shared" ref="E29" si="101">E31-E30</f>
        <v>98.027575853255144</v>
      </c>
      <c r="F29" s="464">
        <f>F31-F30</f>
        <v>99.524999999999991</v>
      </c>
      <c r="G29" s="446">
        <f>169.677-G16</f>
        <v>99.524999999999991</v>
      </c>
      <c r="H29" s="464">
        <f t="shared" ref="H29" si="102">H31-H30</f>
        <v>107.99976649012999</v>
      </c>
      <c r="I29" s="464">
        <f>I31-I30</f>
        <v>122.30900000000001</v>
      </c>
      <c r="J29" s="446">
        <f>192.487-J16</f>
        <v>122.309</v>
      </c>
      <c r="K29" s="464">
        <f t="shared" ref="K29" si="103">K31-K30</f>
        <v>128.654</v>
      </c>
      <c r="L29" s="464">
        <f>L31-L30</f>
        <v>154.32</v>
      </c>
      <c r="M29" s="446">
        <f>252.513-M16</f>
        <v>154.32</v>
      </c>
      <c r="N29" s="464">
        <f>M29+N34</f>
        <v>178.62</v>
      </c>
      <c r="O29" s="464">
        <f>P29</f>
        <v>150.81499999999997</v>
      </c>
      <c r="P29" s="446">
        <f>325.871-P16</f>
        <v>150.81499999999997</v>
      </c>
      <c r="Q29" s="464">
        <f>P29+Q34</f>
        <v>162.81499999999997</v>
      </c>
      <c r="R29" s="467">
        <f t="shared" ref="R29" si="104">R31-R30</f>
        <v>171.10425857702049</v>
      </c>
      <c r="S29" s="446">
        <f>337.331-S16</f>
        <v>152.92900000000003</v>
      </c>
      <c r="T29" s="467">
        <f t="shared" ref="T29" si="105">T31-T30</f>
        <v>205.10399999999998</v>
      </c>
      <c r="U29" s="467">
        <f t="shared" ref="U29" si="106">U31-U30</f>
        <v>224.363</v>
      </c>
      <c r="V29" s="446">
        <f>514.783-V16</f>
        <v>188.83500000000004</v>
      </c>
      <c r="W29" s="467">
        <f t="shared" ref="W29:X29" si="107">W31-W30</f>
        <v>200.78699999999998</v>
      </c>
      <c r="X29" s="467">
        <f t="shared" si="107"/>
        <v>220.93699999999998</v>
      </c>
      <c r="Y29" s="446">
        <f>548.908-Y16</f>
        <v>225.233</v>
      </c>
      <c r="Z29" s="467">
        <f t="shared" ref="Z29:AA29" si="108">Z31-Z30</f>
        <v>266.25099999999998</v>
      </c>
      <c r="AA29" s="467">
        <f t="shared" si="108"/>
        <v>280.11599999999999</v>
      </c>
      <c r="AB29" s="1152">
        <f>617.014-AB16</f>
        <v>269.07100000000003</v>
      </c>
      <c r="AC29" s="467">
        <f t="shared" ref="AC29:AD29" si="109">AC31-AC30</f>
        <v>300.84463298245612</v>
      </c>
      <c r="AD29" s="467">
        <f t="shared" si="109"/>
        <v>315.86225327394004</v>
      </c>
      <c r="AE29" s="467">
        <f t="shared" ref="AE29:AG29" si="110">AE31-AE30</f>
        <v>315.86225327394004</v>
      </c>
      <c r="AF29" s="467">
        <f t="shared" si="110"/>
        <v>349.92221804324151</v>
      </c>
      <c r="AG29" s="467">
        <f t="shared" si="110"/>
        <v>367.13532851316495</v>
      </c>
      <c r="AH29" s="467">
        <f t="shared" ref="AH29:AJ29" si="111">AH31-AH30</f>
        <v>367.13532851316489</v>
      </c>
      <c r="AI29" s="467">
        <f t="shared" si="111"/>
        <v>403.63011769829575</v>
      </c>
      <c r="AJ29" s="467">
        <f t="shared" si="111"/>
        <v>423.62123875194897</v>
      </c>
      <c r="AK29" s="467">
        <f t="shared" ref="AK29" si="112">AK31-AK30</f>
        <v>423.62123875194897</v>
      </c>
      <c r="AL29" s="467"/>
      <c r="AM29" s="467"/>
      <c r="AN29" s="467">
        <f t="shared" ref="AN29" si="113">AN31-AN30</f>
        <v>485.398015899879</v>
      </c>
      <c r="AO29" s="467"/>
      <c r="AP29" s="467"/>
      <c r="AQ29" s="467">
        <f t="shared" ref="AQ29" si="114">AQ31-AQ30</f>
        <v>552.82990274483132</v>
      </c>
      <c r="AR29" s="467"/>
      <c r="AS29" s="467"/>
      <c r="AT29" s="467">
        <f t="shared" ref="AT29" si="115">AT31-AT30</f>
        <v>626.3713488691144</v>
      </c>
      <c r="AU29" s="467"/>
      <c r="AV29" s="467"/>
      <c r="AW29" s="467">
        <f t="shared" ref="AW29:AZ29" si="116">AW31-AW30</f>
        <v>706.62248439948269</v>
      </c>
      <c r="AX29" s="467"/>
      <c r="AY29" s="467"/>
      <c r="AZ29" s="467">
        <f t="shared" si="116"/>
        <v>794.24488756512096</v>
      </c>
      <c r="BA29" s="467"/>
      <c r="BB29" s="467"/>
      <c r="BC29" s="467">
        <f t="shared" ref="BC29:BF29" si="117">BC31-BC30</f>
        <v>889.96807470623844</v>
      </c>
      <c r="BD29" s="467"/>
      <c r="BE29" s="467"/>
      <c r="BF29" s="467">
        <f t="shared" si="117"/>
        <v>994.59669146658757</v>
      </c>
      <c r="BG29" s="467"/>
      <c r="BH29" s="467"/>
      <c r="BI29" s="467">
        <f t="shared" ref="BI29" si="118">BI31-BI30</f>
        <v>1109.0184815301773</v>
      </c>
    </row>
    <row r="30" spans="1:62">
      <c r="A30" s="314" t="s">
        <v>1649</v>
      </c>
      <c r="B30" s="464">
        <f>C30-B37</f>
        <v>-43.687417123224066</v>
      </c>
      <c r="C30" s="464">
        <f>D30</f>
        <v>-47.442999999999998</v>
      </c>
      <c r="D30" s="446">
        <v>-47.442999999999998</v>
      </c>
      <c r="E30" s="464">
        <f>D30+E37</f>
        <v>-52.145575853255146</v>
      </c>
      <c r="F30" s="464">
        <f>G30</f>
        <v>-57.088999999999999</v>
      </c>
      <c r="G30" s="446">
        <v>-57.088999999999999</v>
      </c>
      <c r="H30" s="464">
        <f>G30+H37</f>
        <v>-62.973766490129996</v>
      </c>
      <c r="I30" s="464">
        <f>J30</f>
        <v>-69.072999999999993</v>
      </c>
      <c r="J30" s="446">
        <v>-69.072999999999993</v>
      </c>
      <c r="K30" s="464">
        <f>J30+K37</f>
        <v>-75.417999999999992</v>
      </c>
      <c r="L30" s="464">
        <f>M30</f>
        <v>-92.334000000000003</v>
      </c>
      <c r="M30" s="446">
        <v>-92.334000000000003</v>
      </c>
      <c r="N30" s="464">
        <f>N31-N29</f>
        <v>-86.728999999999985</v>
      </c>
      <c r="O30" s="464">
        <f t="shared" ref="O30" si="119">O31-O29</f>
        <v>-96.066999999999979</v>
      </c>
      <c r="P30" s="446">
        <v>-96.066999999999993</v>
      </c>
      <c r="Q30" s="464">
        <f>Q31-Q29</f>
        <v>-96.059999999999974</v>
      </c>
      <c r="R30" s="467">
        <f>S30</f>
        <v>-96.284000000000006</v>
      </c>
      <c r="S30" s="446">
        <v>-96.284000000000006</v>
      </c>
      <c r="T30" s="467">
        <f>S30+T37</f>
        <v>-103.955</v>
      </c>
      <c r="U30" s="467">
        <f>V30</f>
        <v>-115.755</v>
      </c>
      <c r="V30" s="446">
        <v>-115.755</v>
      </c>
      <c r="W30" s="467">
        <f>V30+W37</f>
        <v>-125.964</v>
      </c>
      <c r="X30" s="467">
        <f>Y30</f>
        <v>-138.62</v>
      </c>
      <c r="Y30" s="446">
        <v>-138.62</v>
      </c>
      <c r="Z30" s="467">
        <f>Y30+Z37</f>
        <v>-151.62700000000001</v>
      </c>
      <c r="AA30" s="467">
        <f>AB30</f>
        <v>-166.273</v>
      </c>
      <c r="AB30" s="1152">
        <v>-166.273</v>
      </c>
      <c r="AC30" s="467">
        <f>AB30+AC37</f>
        <v>-179.86054983101627</v>
      </c>
      <c r="AD30" s="467">
        <f>AE30</f>
        <v>-195.33575266000645</v>
      </c>
      <c r="AE30" s="467">
        <f>AB30+AE37</f>
        <v>-195.33575266000645</v>
      </c>
      <c r="AF30" s="467">
        <f>AE30+AF37</f>
        <v>-211.01674098141299</v>
      </c>
      <c r="AG30" s="467">
        <f>AH30</f>
        <v>-226.69772930281957</v>
      </c>
      <c r="AH30" s="467">
        <f>AE30+AH37</f>
        <v>-226.69772930281957</v>
      </c>
      <c r="AI30" s="467">
        <f>AH30+AI37</f>
        <v>-244.04186838694525</v>
      </c>
      <c r="AJ30" s="467">
        <f>AK30</f>
        <v>-261.38600747107091</v>
      </c>
      <c r="AK30" s="467">
        <f>AH30+AK37</f>
        <v>-261.38600747107091</v>
      </c>
      <c r="AL30" s="467"/>
      <c r="AM30" s="467"/>
      <c r="AN30" s="467">
        <f>AK30+AN37</f>
        <v>-299.78282043042174</v>
      </c>
      <c r="AO30" s="467"/>
      <c r="AP30" s="467"/>
      <c r="AQ30" s="467">
        <f>AN30+AQ37</f>
        <v>-342.20824982854151</v>
      </c>
      <c r="AR30" s="467"/>
      <c r="AS30" s="467"/>
      <c r="AT30" s="467">
        <f>AQ30+AT37</f>
        <v>-389.05175236684443</v>
      </c>
      <c r="AU30" s="467"/>
      <c r="AV30" s="467"/>
      <c r="AW30" s="467">
        <f>AT30+AW37</f>
        <v>-440.81142571490534</v>
      </c>
      <c r="AX30" s="467"/>
      <c r="AY30" s="467"/>
      <c r="AZ30" s="467">
        <f>AW30+AZ37</f>
        <v>-498.04451968735515</v>
      </c>
      <c r="BA30" s="467"/>
      <c r="BB30" s="467"/>
      <c r="BC30" s="467">
        <f>AZ30+BC37</f>
        <v>-561.37477977984406</v>
      </c>
      <c r="BD30" s="467"/>
      <c r="BE30" s="467"/>
      <c r="BF30" s="467">
        <f>BC30+BF37</f>
        <v>-631.50074011576226</v>
      </c>
      <c r="BG30" s="467"/>
      <c r="BH30" s="467"/>
      <c r="BI30" s="467">
        <f t="shared" ref="BI30" si="120">BF30+BI37</f>
        <v>-709.20509302763583</v>
      </c>
    </row>
    <row r="31" spans="1:62">
      <c r="A31" s="315" t="s">
        <v>1650</v>
      </c>
      <c r="B31" s="465">
        <f>MODEL!B144+MODEL!B142-PPE_and_intangibles!B18</f>
        <v>34.394999999999996</v>
      </c>
      <c r="C31" s="465">
        <f>MODEL!C144+MODEL!C142-PPE_and_intangibles!C18</f>
        <v>37.991</v>
      </c>
      <c r="D31" s="381">
        <f>SUM(D29:D30)</f>
        <v>37.990999999999985</v>
      </c>
      <c r="E31" s="465">
        <f>MODEL!E144+MODEL!E142-PPE_and_intangibles!E18</f>
        <v>45.881999999999991</v>
      </c>
      <c r="F31" s="465">
        <f>MODEL!F144+MODEL!F142-PPE_and_intangibles!F18</f>
        <v>42.435999999999993</v>
      </c>
      <c r="G31" s="381">
        <f>SUM(G29:G30)</f>
        <v>42.435999999999993</v>
      </c>
      <c r="H31" s="465">
        <f>MODEL!H144+MODEL!H142-PPE_and_intangibles!H18</f>
        <v>45.025999999999996</v>
      </c>
      <c r="I31" s="465">
        <f>MODEL!I144+MODEL!I142-PPE_and_intangibles!I18</f>
        <v>53.236000000000018</v>
      </c>
      <c r="J31" s="381">
        <f>SUM(J29:J30)</f>
        <v>53.236000000000004</v>
      </c>
      <c r="K31" s="465">
        <f>J31</f>
        <v>53.236000000000004</v>
      </c>
      <c r="L31" s="465">
        <f>M31</f>
        <v>61.98599999999999</v>
      </c>
      <c r="M31" s="381">
        <f>SUM(M29:M30)</f>
        <v>61.98599999999999</v>
      </c>
      <c r="N31" s="465">
        <f>MODEL!N144+MODEL!N142-PPE_and_intangibles!N18</f>
        <v>91.89100000000002</v>
      </c>
      <c r="O31" s="465">
        <f>MODEL!O144+MODEL!O142-PPE_and_intangibles!O18</f>
        <v>54.74799999999999</v>
      </c>
      <c r="P31" s="381">
        <f>SUM(P29:P30)</f>
        <v>54.747999999999976</v>
      </c>
      <c r="Q31" s="465">
        <f>MODEL!Q144+MODEL!Q142-PPE_and_intangibles!Q18</f>
        <v>66.754999999999995</v>
      </c>
      <c r="R31" s="471">
        <f>R39</f>
        <v>74.820258577020482</v>
      </c>
      <c r="S31" s="381">
        <f>SUM(S29:S30)</f>
        <v>56.645000000000024</v>
      </c>
      <c r="T31" s="471">
        <f t="shared" ref="T31:AT31" si="121">T39</f>
        <v>101.149</v>
      </c>
      <c r="U31" s="471">
        <f t="shared" si="121"/>
        <v>108.608</v>
      </c>
      <c r="V31" s="381">
        <f t="shared" si="121"/>
        <v>73.079999999999984</v>
      </c>
      <c r="W31" s="471">
        <f t="shared" ref="W31:X31" si="122">W39</f>
        <v>74.822999999999979</v>
      </c>
      <c r="X31" s="471">
        <f t="shared" si="122"/>
        <v>82.316999999999979</v>
      </c>
      <c r="Y31" s="381">
        <f t="shared" si="121"/>
        <v>86.612999999999985</v>
      </c>
      <c r="Z31" s="471">
        <f t="shared" si="121"/>
        <v>114.62399999999997</v>
      </c>
      <c r="AA31" s="471">
        <f t="shared" si="121"/>
        <v>113.84299999999998</v>
      </c>
      <c r="AB31" s="1151">
        <f t="shared" si="121"/>
        <v>102.798</v>
      </c>
      <c r="AC31" s="471">
        <f t="shared" ref="AC31:AD31" si="123">AC39</f>
        <v>120.98408315143988</v>
      </c>
      <c r="AD31" s="471">
        <f t="shared" si="123"/>
        <v>120.52650061393359</v>
      </c>
      <c r="AE31" s="471">
        <f t="shared" si="121"/>
        <v>120.52650061393359</v>
      </c>
      <c r="AF31" s="471">
        <f t="shared" si="121"/>
        <v>138.90547706182855</v>
      </c>
      <c r="AG31" s="471">
        <f t="shared" si="121"/>
        <v>140.43759921034535</v>
      </c>
      <c r="AH31" s="471">
        <f t="shared" si="121"/>
        <v>140.43759921034533</v>
      </c>
      <c r="AI31" s="471">
        <f t="shared" ref="AI31:AJ31" si="124">AI39</f>
        <v>159.58824931135052</v>
      </c>
      <c r="AJ31" s="471">
        <f t="shared" si="124"/>
        <v>162.23523128087805</v>
      </c>
      <c r="AK31" s="471">
        <f t="shared" si="121"/>
        <v>162.23523128087805</v>
      </c>
      <c r="AL31" s="471"/>
      <c r="AM31" s="471"/>
      <c r="AN31" s="471">
        <f t="shared" si="121"/>
        <v>185.61519546945726</v>
      </c>
      <c r="AO31" s="471"/>
      <c r="AP31" s="471"/>
      <c r="AQ31" s="471">
        <f>AQ39</f>
        <v>210.6216529162898</v>
      </c>
      <c r="AR31" s="471"/>
      <c r="AS31" s="471"/>
      <c r="AT31" s="471">
        <f t="shared" si="121"/>
        <v>237.31959650227</v>
      </c>
      <c r="AU31" s="471"/>
      <c r="AV31" s="471"/>
      <c r="AW31" s="471">
        <f t="shared" ref="AW31:AZ31" si="125">AW39</f>
        <v>265.81105868457735</v>
      </c>
      <c r="AX31" s="471"/>
      <c r="AY31" s="471"/>
      <c r="AZ31" s="471">
        <f t="shared" si="125"/>
        <v>296.20036787776581</v>
      </c>
      <c r="BA31" s="471"/>
      <c r="BB31" s="471"/>
      <c r="BC31" s="471">
        <f t="shared" ref="BC31:BF31" si="126">BC39</f>
        <v>328.59329492639438</v>
      </c>
      <c r="BD31" s="471"/>
      <c r="BE31" s="471"/>
      <c r="BF31" s="471">
        <f t="shared" si="126"/>
        <v>363.09595135082537</v>
      </c>
      <c r="BG31" s="471"/>
      <c r="BH31" s="471"/>
      <c r="BI31" s="471">
        <f t="shared" ref="BI31" si="127">BI39</f>
        <v>399.81338850254156</v>
      </c>
    </row>
    <row r="32" spans="1:62">
      <c r="D32" s="464"/>
      <c r="G32" s="464"/>
      <c r="J32" s="464"/>
      <c r="M32" s="464"/>
      <c r="P32" s="464"/>
    </row>
    <row r="33" spans="1:62">
      <c r="A33" s="314" t="s">
        <v>1651</v>
      </c>
      <c r="B33" s="333">
        <f>D33</f>
        <v>30.066000000000003</v>
      </c>
      <c r="C33" s="464">
        <f>B39</f>
        <v>34.394999999999996</v>
      </c>
      <c r="D33" s="446">
        <f>92.135-D20</f>
        <v>30.066000000000003</v>
      </c>
      <c r="E33" s="464">
        <f>D39</f>
        <v>37.991000000000007</v>
      </c>
      <c r="F33" s="464">
        <f>E39</f>
        <v>45.881999999999991</v>
      </c>
      <c r="G33" s="446">
        <f>100.06-G20</f>
        <v>37.991</v>
      </c>
      <c r="H33" s="464">
        <f>G39</f>
        <v>42.436</v>
      </c>
      <c r="I33" s="464">
        <f>H39</f>
        <v>45.025999999999996</v>
      </c>
      <c r="J33" s="446">
        <f>112.588-J20</f>
        <v>42.435999999999993</v>
      </c>
      <c r="K33" s="464">
        <f>J39</f>
        <v>53.235999999999997</v>
      </c>
      <c r="L33" s="464">
        <f>K39</f>
        <v>61.958000000000013</v>
      </c>
      <c r="M33" s="446">
        <f>123.414-M20</f>
        <v>53.234999999999999</v>
      </c>
      <c r="N33" s="464">
        <f>M39</f>
        <v>61.985999999999997</v>
      </c>
      <c r="O33" s="464">
        <f>N39</f>
        <v>91.89100000000002</v>
      </c>
      <c r="P33" s="446">
        <f>M39</f>
        <v>61.985999999999997</v>
      </c>
      <c r="Q33" s="464">
        <f>P39</f>
        <v>54.748000000000012</v>
      </c>
      <c r="R33" s="467">
        <f>Q39</f>
        <v>66.754999999999995</v>
      </c>
      <c r="S33" s="446">
        <f>P39</f>
        <v>54.748000000000012</v>
      </c>
      <c r="T33" s="467">
        <f>S39</f>
        <v>56.644999999999989</v>
      </c>
      <c r="U33" s="467">
        <f>T39</f>
        <v>101.149</v>
      </c>
      <c r="V33" s="446">
        <f>S39</f>
        <v>56.644999999999989</v>
      </c>
      <c r="W33" s="467">
        <f>V39</f>
        <v>73.079999999999984</v>
      </c>
      <c r="X33" s="467">
        <f>W39</f>
        <v>74.822999999999979</v>
      </c>
      <c r="Y33" s="446">
        <f>V39</f>
        <v>73.079999999999984</v>
      </c>
      <c r="Z33" s="467">
        <f>Y39</f>
        <v>86.612999999999985</v>
      </c>
      <c r="AA33" s="467">
        <f>Z39</f>
        <v>114.62399999999997</v>
      </c>
      <c r="AB33" s="1152">
        <f>Y39</f>
        <v>86.612999999999985</v>
      </c>
      <c r="AC33" s="467">
        <f>AB39</f>
        <v>102.798</v>
      </c>
      <c r="AD33" s="467">
        <f>AC39</f>
        <v>120.98408315143988</v>
      </c>
      <c r="AE33" s="467">
        <f>AB39</f>
        <v>102.798</v>
      </c>
      <c r="AF33" s="467">
        <f>AE39</f>
        <v>120.52650061393359</v>
      </c>
      <c r="AG33" s="467">
        <f>AF39</f>
        <v>138.90547706182855</v>
      </c>
      <c r="AH33" s="467">
        <f>AE39</f>
        <v>120.52650061393359</v>
      </c>
      <c r="AI33" s="467">
        <f>AH39</f>
        <v>140.43759921034533</v>
      </c>
      <c r="AJ33" s="467">
        <f>AI39</f>
        <v>159.58824931135052</v>
      </c>
      <c r="AK33" s="467">
        <f>AH39</f>
        <v>140.43759921034533</v>
      </c>
      <c r="AL33" s="467"/>
      <c r="AM33" s="467"/>
      <c r="AN33" s="467">
        <f>AK39</f>
        <v>162.23523128087805</v>
      </c>
      <c r="AO33" s="467"/>
      <c r="AP33" s="467"/>
      <c r="AQ33" s="467">
        <f>AN39</f>
        <v>185.61519546945726</v>
      </c>
      <c r="AR33" s="467"/>
      <c r="AS33" s="467"/>
      <c r="AT33" s="467">
        <f>AQ39</f>
        <v>210.6216529162898</v>
      </c>
      <c r="AU33" s="467"/>
      <c r="AV33" s="467"/>
      <c r="AW33" s="467">
        <f>AT39</f>
        <v>237.31959650227</v>
      </c>
      <c r="AX33" s="467"/>
      <c r="AY33" s="467"/>
      <c r="AZ33" s="467">
        <f>AW39</f>
        <v>265.81105868457735</v>
      </c>
      <c r="BA33" s="467"/>
      <c r="BB33" s="467"/>
      <c r="BC33" s="467">
        <f>AZ39</f>
        <v>296.20036787776581</v>
      </c>
      <c r="BD33" s="467"/>
      <c r="BE33" s="467"/>
      <c r="BF33" s="467">
        <f>BC39</f>
        <v>328.59329492639438</v>
      </c>
      <c r="BG33" s="467"/>
      <c r="BH33" s="467"/>
      <c r="BI33" s="467">
        <f t="shared" ref="BI33" si="128">BF39</f>
        <v>363.09595135082537</v>
      </c>
    </row>
    <row r="34" spans="1:62">
      <c r="A34" s="314" t="s">
        <v>1652</v>
      </c>
      <c r="B34" s="447">
        <v>8.1</v>
      </c>
      <c r="C34" s="464">
        <f>D34-B34</f>
        <v>7.7700000000000014</v>
      </c>
      <c r="D34" s="446">
        <f>15.82+0.05</f>
        <v>15.870000000000001</v>
      </c>
      <c r="E34" s="447">
        <v>12.6</v>
      </c>
      <c r="F34" s="464">
        <f>G34-E34</f>
        <v>2.3039999999999985</v>
      </c>
      <c r="G34" s="446">
        <f>22.987-G21</f>
        <v>14.903999999999998</v>
      </c>
      <c r="H34" s="447">
        <v>8.5</v>
      </c>
      <c r="I34" s="464">
        <f>J34-H34</f>
        <v>14.271000000000001</v>
      </c>
      <c r="J34" s="446">
        <f>22.797-J21</f>
        <v>22.771000000000001</v>
      </c>
      <c r="K34" s="447">
        <v>15.1</v>
      </c>
      <c r="L34" s="464">
        <f>M34-K34</f>
        <v>16.288000000000004</v>
      </c>
      <c r="M34" s="446">
        <f>31.388-M21</f>
        <v>31.388000000000002</v>
      </c>
      <c r="N34" s="447">
        <v>24.3</v>
      </c>
      <c r="O34" s="464">
        <f>P34-N34</f>
        <v>-1.0999999999999233E-2</v>
      </c>
      <c r="P34" s="446">
        <f>24.945-P21</f>
        <v>24.289000000000001</v>
      </c>
      <c r="Q34" s="447">
        <v>12</v>
      </c>
      <c r="R34" s="467">
        <f>S34-Q34</f>
        <v>14.141999999999999</v>
      </c>
      <c r="S34" s="446">
        <f>26.142-S21</f>
        <v>26.141999999999999</v>
      </c>
      <c r="T34" s="467">
        <f>-T59</f>
        <v>15.696</v>
      </c>
      <c r="U34" s="467">
        <f>V34-T34</f>
        <v>17.068000000000005</v>
      </c>
      <c r="V34" s="446">
        <v>32.764000000000003</v>
      </c>
      <c r="W34" s="467">
        <f>-W59</f>
        <v>16.768000000000001</v>
      </c>
      <c r="X34" s="467">
        <f>Y34-W34</f>
        <v>20.426000000000002</v>
      </c>
      <c r="Y34" s="446">
        <v>37.194000000000003</v>
      </c>
      <c r="Z34" s="467">
        <f>-Z59</f>
        <v>28.847000000000001</v>
      </c>
      <c r="AA34" s="467">
        <f>AB34-Z34</f>
        <v>14.033000000000001</v>
      </c>
      <c r="AB34" s="1152">
        <f>55.728-AB21</f>
        <v>42.88</v>
      </c>
      <c r="AC34" s="467">
        <f>-AC59</f>
        <v>31.773632982456146</v>
      </c>
      <c r="AD34" s="467">
        <f>AE34-AC34</f>
        <v>15.017620291483897</v>
      </c>
      <c r="AE34" s="467">
        <f>-AE59</f>
        <v>46.791253273940043</v>
      </c>
      <c r="AF34" s="467">
        <f>-AF59</f>
        <v>34.059964769301494</v>
      </c>
      <c r="AG34" s="467">
        <f>AH34-AF34</f>
        <v>17.213110469923343</v>
      </c>
      <c r="AH34" s="467">
        <f t="shared" ref="AH34:AT34" si="129">-AH59</f>
        <v>51.273075239224838</v>
      </c>
      <c r="AI34" s="467">
        <f>-AI59</f>
        <v>36.49478918513087</v>
      </c>
      <c r="AJ34" s="467">
        <f>AK34-AI34</f>
        <v>19.991121053653231</v>
      </c>
      <c r="AK34" s="467">
        <f t="shared" si="129"/>
        <v>56.485910238784101</v>
      </c>
      <c r="AL34" s="467"/>
      <c r="AM34" s="467"/>
      <c r="AN34" s="467">
        <f t="shared" si="129"/>
        <v>61.776777147930005</v>
      </c>
      <c r="AO34" s="467"/>
      <c r="AP34" s="467"/>
      <c r="AQ34" s="467">
        <f>-AQ59</f>
        <v>67.431886844952331</v>
      </c>
      <c r="AR34" s="467"/>
      <c r="AS34" s="467"/>
      <c r="AT34" s="467">
        <f t="shared" si="129"/>
        <v>73.541446124283084</v>
      </c>
      <c r="AU34" s="467"/>
      <c r="AV34" s="467"/>
      <c r="AW34" s="467">
        <f t="shared" ref="AW34:AZ34" si="130">-AW59</f>
        <v>80.251135530368273</v>
      </c>
      <c r="AX34" s="467"/>
      <c r="AY34" s="467"/>
      <c r="AZ34" s="467">
        <f t="shared" si="130"/>
        <v>87.622403165638246</v>
      </c>
      <c r="BA34" s="467"/>
      <c r="BB34" s="467"/>
      <c r="BC34" s="467">
        <f t="shared" ref="BC34:BF34" si="131">-BC59</f>
        <v>95.723187141117464</v>
      </c>
      <c r="BD34" s="467"/>
      <c r="BE34" s="467"/>
      <c r="BF34" s="467">
        <f t="shared" si="131"/>
        <v>104.62861676034919</v>
      </c>
      <c r="BG34" s="467"/>
      <c r="BH34" s="467"/>
      <c r="BI34" s="467">
        <f t="shared" ref="BI34" si="132">-BI59</f>
        <v>114.42179006358981</v>
      </c>
    </row>
    <row r="35" spans="1:62">
      <c r="A35" s="314" t="s">
        <v>1653</v>
      </c>
      <c r="D35" s="446">
        <v>0</v>
      </c>
      <c r="G35" s="446">
        <v>0</v>
      </c>
      <c r="J35" s="446">
        <v>0.01</v>
      </c>
      <c r="L35" s="464">
        <f>M35</f>
        <v>0.71699999999999997</v>
      </c>
      <c r="M35" s="446">
        <v>0.71699999999999997</v>
      </c>
      <c r="O35" s="464"/>
      <c r="P35" s="446">
        <v>0</v>
      </c>
      <c r="S35" s="446">
        <v>0</v>
      </c>
      <c r="T35" s="497">
        <v>30.196000000000002</v>
      </c>
      <c r="V35" s="446">
        <f>131.504-129.933</f>
        <v>1.570999999999998</v>
      </c>
      <c r="W35" s="497"/>
      <c r="Y35" s="446"/>
      <c r="Z35" s="497"/>
      <c r="AB35" s="1152"/>
    </row>
    <row r="36" spans="1:62">
      <c r="A36" s="314" t="s">
        <v>1654</v>
      </c>
      <c r="D36" s="446">
        <v>0</v>
      </c>
      <c r="G36" s="446">
        <v>0</v>
      </c>
      <c r="J36" s="446">
        <v>0</v>
      </c>
      <c r="L36" s="464">
        <f>M36</f>
        <v>-9.6440000000000001</v>
      </c>
      <c r="M36" s="446">
        <v>-9.6440000000000001</v>
      </c>
      <c r="O36" s="464"/>
      <c r="P36" s="446">
        <v>0</v>
      </c>
      <c r="S36" s="446"/>
      <c r="V36" s="446">
        <v>-8.1000000000000003E-2</v>
      </c>
      <c r="Y36" s="446"/>
      <c r="AB36" s="1152"/>
    </row>
    <row r="37" spans="1:62">
      <c r="A37" s="314" t="s">
        <v>1640</v>
      </c>
      <c r="B37" s="464">
        <f>MODEL!B252</f>
        <v>-3.7555828767759309</v>
      </c>
      <c r="C37" s="464">
        <f>D37-B37</f>
        <v>-4.1964171232240695</v>
      </c>
      <c r="D37" s="446">
        <v>-7.952</v>
      </c>
      <c r="E37" s="464">
        <f>MODEL!E252</f>
        <v>-4.7025758532551496</v>
      </c>
      <c r="F37" s="464">
        <f>G37-E37</f>
        <v>-5.7554241467448506</v>
      </c>
      <c r="G37" s="446">
        <f>-9.904-0.554</f>
        <v>-10.458</v>
      </c>
      <c r="H37" s="464">
        <f>MODEL!H252</f>
        <v>-5.8847664901299952</v>
      </c>
      <c r="I37" s="464">
        <f>J37-H37</f>
        <v>-6.0982335098700053</v>
      </c>
      <c r="J37" s="446">
        <v>-11.983000000000001</v>
      </c>
      <c r="K37" s="464">
        <f>MODEL!K252</f>
        <v>-6.3450000000000006</v>
      </c>
      <c r="L37" s="464">
        <f>M37-K37</f>
        <v>-7.2859999999999996</v>
      </c>
      <c r="M37" s="446">
        <v>-13.631</v>
      </c>
      <c r="N37" s="464">
        <f>MODEL!N252</f>
        <v>-11.777895694220586</v>
      </c>
      <c r="O37" s="464">
        <f>P37-N37</f>
        <v>-3.2861043057794141</v>
      </c>
      <c r="P37" s="446">
        <v>-15.064</v>
      </c>
      <c r="Q37" s="464">
        <f>MODEL!Q252</f>
        <v>-6.6852585770204929</v>
      </c>
      <c r="R37" s="467">
        <f>S37-Q37</f>
        <v>-6.0767414229795076</v>
      </c>
      <c r="S37" s="446">
        <v>-12.762</v>
      </c>
      <c r="T37" s="700">
        <f>-20.778-T11-T44</f>
        <v>-7.6709999999999887</v>
      </c>
      <c r="U37" s="467">
        <f>V37-T37</f>
        <v>-9.6090000000000124</v>
      </c>
      <c r="V37" s="446">
        <v>-17.28</v>
      </c>
      <c r="W37" s="983">
        <v>-10.209</v>
      </c>
      <c r="X37" s="467">
        <f>Y37-W37</f>
        <v>-12.931999999999999</v>
      </c>
      <c r="Y37" s="446">
        <v>-23.140999999999998</v>
      </c>
      <c r="Z37" s="983">
        <v>-13.007</v>
      </c>
      <c r="AA37" s="467">
        <f>AB37-Z37</f>
        <v>-14.814000000000002</v>
      </c>
      <c r="AB37" s="1152">
        <v>-27.821000000000002</v>
      </c>
      <c r="AC37" s="467">
        <f>Z37/AB37*AE37</f>
        <v>-13.587549831016281</v>
      </c>
      <c r="AD37" s="467">
        <f>AE37-AC37</f>
        <v>-15.475202828990176</v>
      </c>
      <c r="AE37" s="467">
        <f>AE66*MODEL!AE5</f>
        <v>-29.062752660006456</v>
      </c>
      <c r="AF37" s="467">
        <f>AH37/2</f>
        <v>-15.680988321406558</v>
      </c>
      <c r="AG37" s="467">
        <f>AH37-AF37</f>
        <v>-15.680988321406558</v>
      </c>
      <c r="AH37" s="467">
        <f>AH66*MODEL!AH5</f>
        <v>-31.361976642813115</v>
      </c>
      <c r="AI37" s="467">
        <f>AK37/2</f>
        <v>-17.344139084125679</v>
      </c>
      <c r="AJ37" s="467">
        <f>AK37-AI37</f>
        <v>-17.344139084125679</v>
      </c>
      <c r="AK37" s="467">
        <f>AK66*MODEL!AK5</f>
        <v>-34.688278168251358</v>
      </c>
      <c r="AL37" s="467"/>
      <c r="AM37" s="467"/>
      <c r="AN37" s="467">
        <f>AN66*MODEL!AN5</f>
        <v>-38.396812959350811</v>
      </c>
      <c r="AO37" s="467"/>
      <c r="AP37" s="467"/>
      <c r="AQ37" s="467">
        <f>AQ66*MODEL!AQ5</f>
        <v>-42.425429398119782</v>
      </c>
      <c r="AR37" s="467"/>
      <c r="AS37" s="467"/>
      <c r="AT37" s="467">
        <f>AT66*MODEL!AT5</f>
        <v>-46.843502538302886</v>
      </c>
      <c r="AU37" s="467"/>
      <c r="AV37" s="467"/>
      <c r="AW37" s="467">
        <f>AW66*MODEL!AW5</f>
        <v>-51.759673348060893</v>
      </c>
      <c r="AX37" s="467"/>
      <c r="AY37" s="467"/>
      <c r="AZ37" s="467">
        <f>AZ66*MODEL!AZ5</f>
        <v>-57.233093972449794</v>
      </c>
      <c r="BA37" s="467"/>
      <c r="BB37" s="467"/>
      <c r="BC37" s="467">
        <f>BC66*MODEL!BC5</f>
        <v>-63.330260092488906</v>
      </c>
      <c r="BD37" s="467"/>
      <c r="BE37" s="467"/>
      <c r="BF37" s="467">
        <f>BF66*MODEL!BF5</f>
        <v>-70.125960335918208</v>
      </c>
      <c r="BG37" s="467"/>
      <c r="BH37" s="467"/>
      <c r="BI37" s="467">
        <f>BI66*MODEL!BI5</f>
        <v>-77.704352911873599</v>
      </c>
    </row>
    <row r="38" spans="1:62">
      <c r="A38" s="314" t="s">
        <v>1655</v>
      </c>
      <c r="B38" s="464">
        <f>B39-SUM(B33:B37)</f>
        <v>-1.5417123224075624E-2</v>
      </c>
      <c r="C38" s="464">
        <f>C39-SUM(C33:C37)</f>
        <v>2.2417123224073521E-2</v>
      </c>
      <c r="D38" s="446">
        <v>7.0000000000000001E-3</v>
      </c>
      <c r="E38" s="464">
        <f>E39-SUM(E33:E37)</f>
        <v>-6.4241467448695744E-3</v>
      </c>
      <c r="F38" s="464">
        <f>F39-SUM(F33:F37)</f>
        <v>5.4241467448505887E-3</v>
      </c>
      <c r="G38" s="446">
        <v>-1E-3</v>
      </c>
      <c r="H38" s="464">
        <f>H39-SUM(H33:H37)</f>
        <v>-2.5233509870005832E-2</v>
      </c>
      <c r="I38" s="464">
        <f>I39-SUM(I33:I37)</f>
        <v>3.7233509870027603E-2</v>
      </c>
      <c r="J38" s="446">
        <v>2E-3</v>
      </c>
      <c r="K38" s="464">
        <f>K39-SUM(K33:K37)</f>
        <v>-3.299999999998704E-2</v>
      </c>
      <c r="L38" s="464">
        <f>L39-SUM(L33:L37)</f>
        <v>-4.6999999999997044E-2</v>
      </c>
      <c r="M38" s="446">
        <v>-7.9000000000000001E-2</v>
      </c>
      <c r="N38" s="464">
        <f>N39-SUM(N33:N37)</f>
        <v>17.382895694220608</v>
      </c>
      <c r="O38" s="464">
        <f>O39-SUM(O33:O37)</f>
        <v>-33.845895694220616</v>
      </c>
      <c r="P38" s="446">
        <f>-5.646-P25-16.167</f>
        <v>-16.463000000000001</v>
      </c>
      <c r="Q38" s="464">
        <f>Q39-SUM(Q33:Q37)</f>
        <v>6.6922585770204677</v>
      </c>
      <c r="S38" s="446">
        <f>10.225-S25-(S33-217.442+175.056)</f>
        <v>-11.483000000000024</v>
      </c>
      <c r="T38" s="467">
        <f>T39-SUM(T33:T37)</f>
        <v>6.2830000000000013</v>
      </c>
      <c r="V38" s="446">
        <f>11.074-11.613</f>
        <v>-0.5389999999999997</v>
      </c>
      <c r="W38" s="467">
        <f>W39-SUM(W33:W37)</f>
        <v>-4.8160000000000025</v>
      </c>
      <c r="Y38" s="446">
        <f>-0.252-0.042-0.226</f>
        <v>-0.52</v>
      </c>
      <c r="Z38" s="467">
        <f>Z39-SUM(Z33:Z37)</f>
        <v>12.170999999999992</v>
      </c>
      <c r="AB38" s="1152">
        <f>0.035+0.014+1.077</f>
        <v>1.1259999999999999</v>
      </c>
    </row>
    <row r="39" spans="1:62" s="315" customFormat="1">
      <c r="A39" s="315" t="s">
        <v>1656</v>
      </c>
      <c r="B39" s="465">
        <f>MODEL!B144+MODEL!B142-PPE_and_intangibles!B26</f>
        <v>34.394999999999996</v>
      </c>
      <c r="C39" s="465">
        <f>MODEL!C144+MODEL!C142-PPE_and_intangibles!C26</f>
        <v>37.991</v>
      </c>
      <c r="D39" s="381">
        <f>SUM(D33:D38)</f>
        <v>37.991000000000007</v>
      </c>
      <c r="E39" s="465">
        <f>MODEL!E144+MODEL!E142-PPE_and_intangibles!E26</f>
        <v>45.881999999999991</v>
      </c>
      <c r="F39" s="465">
        <f>MODEL!F144+MODEL!F142-PPE_and_intangibles!F26</f>
        <v>42.435999999999993</v>
      </c>
      <c r="G39" s="381">
        <f>SUM(G33:G38)</f>
        <v>42.436</v>
      </c>
      <c r="H39" s="465">
        <f>MODEL!H144+MODEL!H142-PPE_and_intangibles!H26</f>
        <v>45.025999999999996</v>
      </c>
      <c r="I39" s="465">
        <f>MODEL!I144+MODEL!I142-PPE_and_intangibles!I26</f>
        <v>53.236000000000018</v>
      </c>
      <c r="J39" s="381">
        <f>SUM(J33:J38)</f>
        <v>53.235999999999997</v>
      </c>
      <c r="K39" s="465">
        <f>MODEL!K144+MODEL!K142-PPE_and_intangibles!K26</f>
        <v>61.958000000000013</v>
      </c>
      <c r="L39" s="465">
        <f>MODEL!L144+MODEL!L142-PPE_and_intangibles!L26</f>
        <v>61.986000000000004</v>
      </c>
      <c r="M39" s="381">
        <f>SUM(M33:M38)</f>
        <v>61.985999999999997</v>
      </c>
      <c r="N39" s="465">
        <f>MODEL!N144+MODEL!N142-PPE_and_intangibles!N26</f>
        <v>91.89100000000002</v>
      </c>
      <c r="O39" s="465">
        <f>MODEL!O144+MODEL!O142-PPE_and_intangibles!O26</f>
        <v>54.74799999999999</v>
      </c>
      <c r="P39" s="381">
        <f>SUM(P33:P38)</f>
        <v>54.748000000000012</v>
      </c>
      <c r="Q39" s="465">
        <f>MODEL!Q144+MODEL!Q142-PPE_and_intangibles!Q26</f>
        <v>66.754999999999995</v>
      </c>
      <c r="R39" s="471">
        <f>SUM(R33:R38)</f>
        <v>74.820258577020482</v>
      </c>
      <c r="S39" s="471">
        <f t="shared" ref="S39" si="133">SUM(S33:S38)</f>
        <v>56.644999999999989</v>
      </c>
      <c r="T39" s="471">
        <f>MODEL!T144</f>
        <v>101.149</v>
      </c>
      <c r="U39" s="471">
        <f t="shared" ref="U39" si="134">SUM(U33:U38)</f>
        <v>108.608</v>
      </c>
      <c r="V39" s="471">
        <f>SUM(V33:V38)</f>
        <v>73.079999999999984</v>
      </c>
      <c r="W39" s="471">
        <f>MODEL!W144</f>
        <v>74.822999999999979</v>
      </c>
      <c r="X39" s="471">
        <f t="shared" ref="X39" si="135">SUM(X33:X38)</f>
        <v>82.316999999999979</v>
      </c>
      <c r="Y39" s="471">
        <f>SUM(Y33:Y38)</f>
        <v>86.612999999999985</v>
      </c>
      <c r="Z39" s="471">
        <f>MODEL!Z144</f>
        <v>114.62399999999997</v>
      </c>
      <c r="AA39" s="471">
        <f t="shared" ref="AA39" si="136">SUM(AA33:AA38)</f>
        <v>113.84299999999998</v>
      </c>
      <c r="AB39" s="898">
        <f>SUM(AB33:AB38)</f>
        <v>102.798</v>
      </c>
      <c r="AC39" s="471">
        <f t="shared" ref="AC39:AD39" si="137">SUM(AC33:AC38)</f>
        <v>120.98408315143988</v>
      </c>
      <c r="AD39" s="471">
        <f t="shared" si="137"/>
        <v>120.52650061393359</v>
      </c>
      <c r="AE39" s="471">
        <f t="shared" ref="AE39:AG39" si="138">SUM(AE33:AE38)</f>
        <v>120.52650061393359</v>
      </c>
      <c r="AF39" s="471">
        <f t="shared" si="138"/>
        <v>138.90547706182855</v>
      </c>
      <c r="AG39" s="471">
        <f t="shared" si="138"/>
        <v>140.43759921034535</v>
      </c>
      <c r="AH39" s="471">
        <f t="shared" ref="AH39:AJ39" si="139">SUM(AH33:AH38)</f>
        <v>140.43759921034533</v>
      </c>
      <c r="AI39" s="471">
        <f t="shared" si="139"/>
        <v>159.58824931135052</v>
      </c>
      <c r="AJ39" s="471">
        <f t="shared" si="139"/>
        <v>162.23523128087805</v>
      </c>
      <c r="AK39" s="471">
        <f t="shared" ref="AK39" si="140">SUM(AK33:AK38)</f>
        <v>162.23523128087805</v>
      </c>
      <c r="AL39" s="471"/>
      <c r="AM39" s="471"/>
      <c r="AN39" s="471">
        <f t="shared" ref="AN39" si="141">SUM(AN33:AN38)</f>
        <v>185.61519546945726</v>
      </c>
      <c r="AO39" s="471"/>
      <c r="AP39" s="471"/>
      <c r="AQ39" s="471">
        <f t="shared" ref="AQ39:BF39" si="142">SUM(AQ33:AQ38)</f>
        <v>210.6216529162898</v>
      </c>
      <c r="AR39" s="471"/>
      <c r="AS39" s="471"/>
      <c r="AT39" s="471">
        <f t="shared" si="142"/>
        <v>237.31959650227</v>
      </c>
      <c r="AU39" s="471"/>
      <c r="AV39" s="471"/>
      <c r="AW39" s="471">
        <f t="shared" si="142"/>
        <v>265.81105868457735</v>
      </c>
      <c r="AX39" s="471"/>
      <c r="AY39" s="471"/>
      <c r="AZ39" s="471">
        <f t="shared" si="142"/>
        <v>296.20036787776581</v>
      </c>
      <c r="BA39" s="471"/>
      <c r="BB39" s="471"/>
      <c r="BC39" s="471">
        <f t="shared" si="142"/>
        <v>328.59329492639438</v>
      </c>
      <c r="BD39" s="471"/>
      <c r="BE39" s="471"/>
      <c r="BF39" s="471">
        <f t="shared" si="142"/>
        <v>363.09595135082537</v>
      </c>
      <c r="BG39" s="471"/>
      <c r="BH39" s="471"/>
      <c r="BI39" s="471">
        <f t="shared" ref="BI39" si="143">SUM(BI33:BI38)</f>
        <v>399.81338850254156</v>
      </c>
      <c r="BJ39" s="466"/>
    </row>
    <row r="40" spans="1:62">
      <c r="U40" s="467"/>
      <c r="V40" s="467"/>
      <c r="Y40" s="467"/>
      <c r="AB40" s="897"/>
    </row>
    <row r="41" spans="1:62" ht="15">
      <c r="A41" s="339" t="s">
        <v>1660</v>
      </c>
      <c r="B41" s="433"/>
      <c r="C41" s="433"/>
      <c r="D41" s="433"/>
      <c r="E41" s="433"/>
      <c r="F41" s="433"/>
      <c r="G41" s="433"/>
      <c r="H41" s="433"/>
      <c r="I41" s="433"/>
      <c r="J41" s="433"/>
      <c r="K41" s="433"/>
      <c r="L41" s="433"/>
      <c r="M41" s="433"/>
      <c r="N41" s="433"/>
      <c r="O41" s="433"/>
      <c r="P41" s="433"/>
      <c r="Q41" s="433"/>
      <c r="R41" s="395"/>
      <c r="S41" s="395"/>
      <c r="T41" s="395"/>
      <c r="U41" s="395"/>
      <c r="V41" s="395"/>
      <c r="W41" s="395"/>
      <c r="X41" s="395"/>
      <c r="Y41" s="395"/>
      <c r="Z41" s="395"/>
      <c r="AA41" s="395"/>
      <c r="AB41" s="824"/>
      <c r="AC41" s="395"/>
      <c r="AD41" s="395"/>
      <c r="AE41" s="395"/>
      <c r="AF41" s="395"/>
      <c r="AG41" s="395"/>
      <c r="AH41" s="395"/>
      <c r="AI41" s="395"/>
      <c r="AJ41" s="395"/>
      <c r="AK41" s="395"/>
      <c r="AL41" s="395"/>
      <c r="AM41" s="395"/>
      <c r="AN41" s="395"/>
      <c r="AO41" s="395"/>
      <c r="AP41" s="395"/>
      <c r="AQ41" s="395"/>
      <c r="AR41" s="395"/>
      <c r="AS41" s="395"/>
      <c r="AT41" s="395"/>
      <c r="AU41" s="395"/>
      <c r="AV41" s="395"/>
      <c r="AW41" s="395"/>
      <c r="AX41" s="395"/>
      <c r="AY41" s="395"/>
      <c r="AZ41" s="395"/>
      <c r="BA41" s="395"/>
      <c r="BB41" s="395"/>
      <c r="BC41" s="395"/>
      <c r="BD41" s="395"/>
      <c r="BE41" s="395"/>
      <c r="BF41" s="395"/>
      <c r="BG41" s="395"/>
      <c r="BH41" s="395"/>
      <c r="BI41" s="395"/>
      <c r="BJ41" s="350"/>
    </row>
    <row r="42" spans="1:62">
      <c r="A42" s="314" t="s">
        <v>1661</v>
      </c>
      <c r="K42" s="464">
        <f>M42</f>
        <v>19.545999999999999</v>
      </c>
      <c r="L42" s="464">
        <f>K45</f>
        <v>19.308</v>
      </c>
      <c r="M42" s="464">
        <f>M45-M44-M43</f>
        <v>19.545999999999999</v>
      </c>
      <c r="N42" s="464">
        <f>M45</f>
        <v>17.198</v>
      </c>
      <c r="O42" s="464">
        <f>N45</f>
        <v>14.353</v>
      </c>
      <c r="P42" s="464">
        <f>M45</f>
        <v>17.198</v>
      </c>
      <c r="Q42" s="464">
        <f>P45</f>
        <v>33.186</v>
      </c>
      <c r="R42" s="467">
        <f>Q45</f>
        <v>31.31</v>
      </c>
      <c r="S42" s="464">
        <f>P45</f>
        <v>33.186</v>
      </c>
      <c r="T42" s="467">
        <f>S45</f>
        <v>44.655999999999999</v>
      </c>
      <c r="U42" s="467">
        <f>T45</f>
        <v>73.861000000000004</v>
      </c>
      <c r="V42" s="464">
        <f>S45</f>
        <v>44.655999999999999</v>
      </c>
      <c r="W42" s="467">
        <f>V45</f>
        <v>69.968000000000004</v>
      </c>
      <c r="X42" s="467">
        <f>W45</f>
        <v>71.361000000000004</v>
      </c>
      <c r="Y42" s="464">
        <f>V45</f>
        <v>69.968000000000004</v>
      </c>
      <c r="Z42" s="467">
        <f>Y45</f>
        <v>65.430999999999997</v>
      </c>
      <c r="AA42" s="467">
        <f>Z45</f>
        <v>66.117000000000004</v>
      </c>
      <c r="AB42" s="1149">
        <f>Y45</f>
        <v>65.430999999999997</v>
      </c>
      <c r="AC42" s="467">
        <f>AB45</f>
        <v>55.435000000000002</v>
      </c>
      <c r="AD42" s="467">
        <f>AC45</f>
        <v>56.193715775577509</v>
      </c>
      <c r="AE42" s="467">
        <f>AB45</f>
        <v>55.435000000000002</v>
      </c>
      <c r="AF42" s="467">
        <f>AE45</f>
        <v>56.86048664118826</v>
      </c>
      <c r="AG42" s="467">
        <f>AF45</f>
        <v>57.676221824072258</v>
      </c>
      <c r="AH42" s="467">
        <f>AE45</f>
        <v>56.86048664118826</v>
      </c>
      <c r="AI42" s="467">
        <f>AH45</f>
        <v>58.39310220472165</v>
      </c>
      <c r="AJ42" s="467">
        <f>AI45</f>
        <v>59.295355568971701</v>
      </c>
      <c r="AK42" s="467">
        <f>AH45</f>
        <v>58.39310220472165</v>
      </c>
      <c r="AL42" s="467"/>
      <c r="AM42" s="467"/>
      <c r="AN42" s="467">
        <f>AK45</f>
        <v>60.088269432168097</v>
      </c>
      <c r="AO42" s="467"/>
      <c r="AP42" s="467"/>
      <c r="AQ42" s="467">
        <f>AN45</f>
        <v>61.964667524093436</v>
      </c>
      <c r="AR42" s="467"/>
      <c r="AS42" s="467"/>
      <c r="AT42" s="467">
        <f>AQ45</f>
        <v>64.037938419155012</v>
      </c>
      <c r="AU42" s="467"/>
      <c r="AV42" s="467"/>
      <c r="AW42" s="467">
        <f>AT45</f>
        <v>66.327114317035523</v>
      </c>
      <c r="AX42" s="467"/>
      <c r="AY42" s="467"/>
      <c r="AZ42" s="467">
        <f>AW45</f>
        <v>68.856536548297271</v>
      </c>
      <c r="BA42" s="467"/>
      <c r="BB42" s="467"/>
      <c r="BC42" s="467">
        <f>AZ45</f>
        <v>71.653437125399364</v>
      </c>
      <c r="BD42" s="467"/>
      <c r="BE42" s="467"/>
      <c r="BF42" s="467">
        <f>BC45</f>
        <v>74.748297610942416</v>
      </c>
      <c r="BG42" s="467"/>
      <c r="BH42" s="467"/>
      <c r="BI42" s="467">
        <f t="shared" ref="BI42" si="144">BF45</f>
        <v>78.175254382277913</v>
      </c>
    </row>
    <row r="43" spans="1:62">
      <c r="A43" s="314" t="s">
        <v>1652</v>
      </c>
      <c r="K43" s="464">
        <f>K45-K44-K42</f>
        <v>2.8880000000000017</v>
      </c>
      <c r="L43" s="464">
        <f>M43-K43</f>
        <v>1.1409999999999982</v>
      </c>
      <c r="M43" s="446">
        <v>4.0289999999999999</v>
      </c>
      <c r="N43" s="464">
        <f>N45-N44-N42</f>
        <v>0.33210430577941352</v>
      </c>
      <c r="O43" s="464">
        <f>P43-N43</f>
        <v>21.741895694220585</v>
      </c>
      <c r="P43" s="464">
        <f>P45-P44-P42</f>
        <v>22.073999999999998</v>
      </c>
      <c r="Q43" s="464">
        <f>Q45-Q44-Q42</f>
        <v>2.259999999999998</v>
      </c>
      <c r="R43" s="467">
        <f>S43-Q43</f>
        <v>15.688057977683194</v>
      </c>
      <c r="S43" s="464">
        <f>S45-S44-S42</f>
        <v>17.948057977683192</v>
      </c>
      <c r="T43" s="862">
        <f>T45-T42-T44</f>
        <v>37.75500000000001</v>
      </c>
      <c r="U43" s="862">
        <f>V43-T43</f>
        <v>5.7959999999999923</v>
      </c>
      <c r="V43" s="464">
        <f>V45-V42-V44</f>
        <v>43.551000000000002</v>
      </c>
      <c r="W43" s="467">
        <f>W45-W42-W44</f>
        <v>12.3505</v>
      </c>
      <c r="X43" s="467">
        <f>Y43-W43</f>
        <v>5.0274999999999928</v>
      </c>
      <c r="Y43" s="464">
        <f>Y45-Y42-Y44</f>
        <v>17.377999999999993</v>
      </c>
      <c r="Z43" s="467">
        <f>Z45-Z42-Z44</f>
        <v>12.146500000000007</v>
      </c>
      <c r="AA43" s="467">
        <f>AB43-Z43</f>
        <v>0.77849999999999753</v>
      </c>
      <c r="AB43" s="1149">
        <f>AB45-AB42-AB44</f>
        <v>12.925000000000004</v>
      </c>
      <c r="AC43" s="467">
        <f>-AC44*(1+AC55)</f>
        <v>12.986877996100272</v>
      </c>
      <c r="AD43" s="467">
        <f>AE43-AC43</f>
        <v>12.89493308613352</v>
      </c>
      <c r="AE43" s="467">
        <f t="shared" ref="AE43:AT43" si="145">-AE44*(1+AE55)</f>
        <v>25.881811082233792</v>
      </c>
      <c r="AF43" s="467">
        <f>-AF44*(1+AF55)</f>
        <v>13.962874686739456</v>
      </c>
      <c r="AG43" s="467">
        <f>AH43-AF43</f>
        <v>13.864019884504861</v>
      </c>
      <c r="AH43" s="467">
        <f>-AH44*(1+AH55)</f>
        <v>27.826894571244317</v>
      </c>
      <c r="AI43" s="467">
        <f>-AI44*(1+AI55)</f>
        <v>15.443799562711764</v>
      </c>
      <c r="AJ43" s="467">
        <f>AK43-AI43</f>
        <v>15.334460061658124</v>
      </c>
      <c r="AK43" s="467">
        <f t="shared" si="145"/>
        <v>30.778259624369888</v>
      </c>
      <c r="AL43" s="467"/>
      <c r="AM43" s="467"/>
      <c r="AN43" s="467">
        <f t="shared" si="145"/>
        <v>34.068773096178262</v>
      </c>
      <c r="AO43" s="467"/>
      <c r="AP43" s="467"/>
      <c r="AQ43" s="467">
        <f t="shared" si="145"/>
        <v>37.643289019915336</v>
      </c>
      <c r="AR43" s="467"/>
      <c r="AS43" s="467"/>
      <c r="AT43" s="467">
        <f t="shared" si="145"/>
        <v>41.563362581608231</v>
      </c>
      <c r="AU43" s="467"/>
      <c r="AV43" s="467"/>
      <c r="AW43" s="467">
        <f t="shared" ref="AW43:AZ43" si="146">-AW44*(1+AW55)</f>
        <v>45.925388877827487</v>
      </c>
      <c r="AX43" s="467"/>
      <c r="AY43" s="467"/>
      <c r="AZ43" s="467">
        <f t="shared" si="146"/>
        <v>50.781852499161339</v>
      </c>
      <c r="BA43" s="467"/>
      <c r="BB43" s="467"/>
      <c r="BC43" s="467">
        <f t="shared" ref="BC43:BF43" si="147">-BC44*(1+BC55)</f>
        <v>56.191753818138686</v>
      </c>
      <c r="BD43" s="467"/>
      <c r="BE43" s="467"/>
      <c r="BF43" s="467">
        <f t="shared" si="147"/>
        <v>62.221451383614713</v>
      </c>
      <c r="BG43" s="467"/>
      <c r="BH43" s="467"/>
      <c r="BI43" s="467">
        <f t="shared" ref="BI43" si="148">-BI44*(1+BI55)</f>
        <v>68.945617198556647</v>
      </c>
    </row>
    <row r="44" spans="1:62">
      <c r="A44" s="314" t="s">
        <v>408</v>
      </c>
      <c r="K44" s="464">
        <f>MODEL!K253</f>
        <v>-3.1259999999999999</v>
      </c>
      <c r="L44" s="464">
        <f>MODEL!L253</f>
        <v>-3.2509999999999999</v>
      </c>
      <c r="M44" s="446">
        <v>-6.3769999999999998</v>
      </c>
      <c r="N44" s="464">
        <f>MODEL!N253</f>
        <v>-3.177104305779415</v>
      </c>
      <c r="O44" s="464">
        <f>MODEL!O253</f>
        <v>-2.9088956942205852</v>
      </c>
      <c r="P44" s="464">
        <f>MODEL!P253</f>
        <v>-6.0860000000000003</v>
      </c>
      <c r="Q44" s="464">
        <v>-4.1360000000000001</v>
      </c>
      <c r="R44" s="467">
        <f>S44-Q44</f>
        <v>-2.3420579776831945</v>
      </c>
      <c r="S44" s="464">
        <f>MODEL!S253</f>
        <v>-6.4780579776831946</v>
      </c>
      <c r="T44" s="467">
        <v>-8.5500000000000007</v>
      </c>
      <c r="U44" s="467">
        <f t="shared" ref="U44" si="149">V44-T44</f>
        <v>-9.6890000000000001</v>
      </c>
      <c r="V44" s="446">
        <v>-18.239000000000001</v>
      </c>
      <c r="W44" s="467">
        <f>Y44/2</f>
        <v>-10.9575</v>
      </c>
      <c r="X44" s="467">
        <f t="shared" ref="X44" si="150">Y44-W44</f>
        <v>-10.9575</v>
      </c>
      <c r="Y44" s="446">
        <v>-21.914999999999999</v>
      </c>
      <c r="Z44" s="467">
        <f>AB44/2</f>
        <v>-11.4605</v>
      </c>
      <c r="AA44" s="467">
        <f t="shared" ref="AA44" si="151">AB44-Z44</f>
        <v>-11.4605</v>
      </c>
      <c r="AB44" s="1152">
        <v>-22.920999999999999</v>
      </c>
      <c r="AC44" s="467">
        <f>AE44/2</f>
        <v>-12.228162220522771</v>
      </c>
      <c r="AD44" s="467">
        <f t="shared" ref="AD44" si="152">AE44-AC44</f>
        <v>-12.228162220522771</v>
      </c>
      <c r="AE44" s="467">
        <f>AE67*MODEL!AE5</f>
        <v>-24.456324441045542</v>
      </c>
      <c r="AF44" s="467">
        <f>AH44/2</f>
        <v>-13.14713950385546</v>
      </c>
      <c r="AG44" s="467">
        <f t="shared" ref="AG44" si="153">AH44-AF44</f>
        <v>-13.14713950385546</v>
      </c>
      <c r="AH44" s="467">
        <f>AH67*MODEL!AH5</f>
        <v>-26.294279007710919</v>
      </c>
      <c r="AI44" s="467">
        <f>AK44/2</f>
        <v>-14.54154619846172</v>
      </c>
      <c r="AJ44" s="467">
        <f t="shared" ref="AJ44" si="154">AK44-AI44</f>
        <v>-14.54154619846172</v>
      </c>
      <c r="AK44" s="467">
        <f>AK67*MODEL!AK5</f>
        <v>-29.083092396923441</v>
      </c>
      <c r="AL44" s="467"/>
      <c r="AM44" s="467"/>
      <c r="AN44" s="467">
        <f>AN67*MODEL!AN5</f>
        <v>-32.192375004252916</v>
      </c>
      <c r="AO44" s="467"/>
      <c r="AP44" s="467"/>
      <c r="AQ44" s="467">
        <f>AQ67*MODEL!AQ5</f>
        <v>-35.570018124853753</v>
      </c>
      <c r="AR44" s="467"/>
      <c r="AS44" s="467"/>
      <c r="AT44" s="467">
        <f>AT67*MODEL!AT5</f>
        <v>-39.274186683727727</v>
      </c>
      <c r="AU44" s="467"/>
      <c r="AV44" s="467"/>
      <c r="AW44" s="467">
        <f>AW67*MODEL!AW5</f>
        <v>-43.395966646565746</v>
      </c>
      <c r="AX44" s="467"/>
      <c r="AY44" s="467"/>
      <c r="AZ44" s="467">
        <f>AZ67*MODEL!AZ5</f>
        <v>-47.98495192205926</v>
      </c>
      <c r="BA44" s="467"/>
      <c r="BB44" s="467"/>
      <c r="BC44" s="467">
        <f>BC67*MODEL!BC5</f>
        <v>-53.096893332595634</v>
      </c>
      <c r="BD44" s="467"/>
      <c r="BE44" s="467"/>
      <c r="BF44" s="467">
        <f>BF67*MODEL!BF5</f>
        <v>-58.794494612279223</v>
      </c>
      <c r="BG44" s="467"/>
      <c r="BH44" s="467"/>
      <c r="BI44" s="467">
        <f>BI67*MODEL!BI5</f>
        <v>-65.148315071099077</v>
      </c>
    </row>
    <row r="45" spans="1:62">
      <c r="A45" s="314" t="s">
        <v>1662</v>
      </c>
      <c r="K45" s="464">
        <f>MODEL!K148</f>
        <v>19.308</v>
      </c>
      <c r="L45" s="464">
        <f>SUM(L42:L44)</f>
        <v>17.197999999999997</v>
      </c>
      <c r="M45" s="446">
        <v>17.198</v>
      </c>
      <c r="N45" s="464">
        <f>MODEL!N148</f>
        <v>14.353</v>
      </c>
      <c r="O45" s="464">
        <f>P45</f>
        <v>33.186</v>
      </c>
      <c r="P45" s="464">
        <f>MODEL!P148</f>
        <v>33.186</v>
      </c>
      <c r="Q45" s="464">
        <f>MODEL!Q148</f>
        <v>31.31</v>
      </c>
      <c r="R45" s="467">
        <f>SUM(R42:R44)</f>
        <v>44.655999999999992</v>
      </c>
      <c r="S45" s="464">
        <f>MODEL!S148</f>
        <v>44.655999999999999</v>
      </c>
      <c r="T45" s="467">
        <f>MODEL!T148</f>
        <v>73.861000000000004</v>
      </c>
      <c r="U45" s="467">
        <f t="shared" ref="U45:AT45" si="155">SUM(U42:U44)</f>
        <v>69.967999999999989</v>
      </c>
      <c r="V45" s="446">
        <v>69.968000000000004</v>
      </c>
      <c r="W45" s="467">
        <f>MODEL!W148</f>
        <v>71.361000000000004</v>
      </c>
      <c r="X45" s="467">
        <f t="shared" ref="X45" si="156">SUM(X42:X44)</f>
        <v>65.430999999999997</v>
      </c>
      <c r="Y45" s="446">
        <v>65.430999999999997</v>
      </c>
      <c r="Z45" s="467">
        <f>MODEL!Z148</f>
        <v>66.117000000000004</v>
      </c>
      <c r="AA45" s="467">
        <f t="shared" ref="AA45" si="157">SUM(AA42:AA44)</f>
        <v>55.435000000000002</v>
      </c>
      <c r="AB45" s="1152">
        <v>55.435000000000002</v>
      </c>
      <c r="AC45" s="467">
        <f t="shared" ref="AC45:AD45" si="158">SUM(AC42:AC44)</f>
        <v>56.193715775577509</v>
      </c>
      <c r="AD45" s="467">
        <f t="shared" si="158"/>
        <v>56.860486641188253</v>
      </c>
      <c r="AE45" s="467">
        <f t="shared" si="155"/>
        <v>56.86048664118826</v>
      </c>
      <c r="AF45" s="467">
        <f t="shared" si="155"/>
        <v>57.676221824072258</v>
      </c>
      <c r="AG45" s="467">
        <f t="shared" si="155"/>
        <v>58.393102204721657</v>
      </c>
      <c r="AH45" s="467">
        <f t="shared" si="155"/>
        <v>58.39310220472165</v>
      </c>
      <c r="AI45" s="467">
        <f t="shared" ref="AI45:AJ45" si="159">SUM(AI42:AI44)</f>
        <v>59.295355568971701</v>
      </c>
      <c r="AJ45" s="467">
        <f t="shared" si="159"/>
        <v>60.088269432168104</v>
      </c>
      <c r="AK45" s="467">
        <f t="shared" si="155"/>
        <v>60.088269432168097</v>
      </c>
      <c r="AL45" s="467"/>
      <c r="AM45" s="467"/>
      <c r="AN45" s="467">
        <f t="shared" si="155"/>
        <v>61.964667524093436</v>
      </c>
      <c r="AO45" s="467"/>
      <c r="AP45" s="467"/>
      <c r="AQ45" s="467">
        <f t="shared" si="155"/>
        <v>64.037938419155012</v>
      </c>
      <c r="AR45" s="467"/>
      <c r="AS45" s="467"/>
      <c r="AT45" s="467">
        <f t="shared" si="155"/>
        <v>66.327114317035523</v>
      </c>
      <c r="AU45" s="467"/>
      <c r="AV45" s="467"/>
      <c r="AW45" s="467">
        <f t="shared" ref="AW45:AZ45" si="160">SUM(AW42:AW44)</f>
        <v>68.856536548297271</v>
      </c>
      <c r="AX45" s="467"/>
      <c r="AY45" s="467"/>
      <c r="AZ45" s="467">
        <f t="shared" si="160"/>
        <v>71.653437125399364</v>
      </c>
      <c r="BA45" s="467"/>
      <c r="BB45" s="467"/>
      <c r="BC45" s="467">
        <f t="shared" ref="BC45:BF45" si="161">SUM(BC42:BC44)</f>
        <v>74.748297610942416</v>
      </c>
      <c r="BD45" s="467"/>
      <c r="BE45" s="467"/>
      <c r="BF45" s="467">
        <f t="shared" si="161"/>
        <v>78.175254382277913</v>
      </c>
      <c r="BG45" s="467"/>
      <c r="BH45" s="467"/>
      <c r="BI45" s="467">
        <f t="shared" ref="BI45" si="162">SUM(BI42:BI44)</f>
        <v>81.972556509735469</v>
      </c>
    </row>
    <row r="47" spans="1:62" ht="15">
      <c r="A47" s="339" t="s">
        <v>435</v>
      </c>
      <c r="B47" s="433"/>
      <c r="C47" s="433"/>
      <c r="D47" s="433"/>
      <c r="E47" s="433"/>
      <c r="F47" s="433"/>
      <c r="G47" s="433"/>
      <c r="H47" s="433"/>
      <c r="I47" s="433"/>
      <c r="J47" s="433"/>
      <c r="K47" s="433"/>
      <c r="L47" s="433"/>
      <c r="M47" s="433"/>
      <c r="N47" s="433"/>
      <c r="O47" s="433"/>
      <c r="P47" s="433"/>
      <c r="Q47" s="433"/>
      <c r="R47" s="395"/>
      <c r="S47" s="395"/>
      <c r="T47" s="395"/>
      <c r="U47" s="395"/>
      <c r="V47" s="395"/>
      <c r="W47" s="395"/>
      <c r="X47" s="395"/>
      <c r="Y47" s="395"/>
      <c r="Z47" s="395"/>
      <c r="AA47" s="395"/>
      <c r="AB47" s="824"/>
      <c r="AC47" s="395"/>
      <c r="AD47" s="395"/>
      <c r="AE47" s="395"/>
      <c r="AF47" s="395"/>
      <c r="AG47" s="395"/>
      <c r="AH47" s="395"/>
      <c r="AI47" s="395"/>
      <c r="AJ47" s="395"/>
      <c r="AK47" s="395"/>
      <c r="AL47" s="395"/>
      <c r="AM47" s="395"/>
      <c r="AN47" s="395"/>
      <c r="AO47" s="395"/>
      <c r="AP47" s="395"/>
      <c r="AQ47" s="395"/>
      <c r="AR47" s="395"/>
      <c r="AS47" s="395"/>
      <c r="AT47" s="395"/>
      <c r="AU47" s="395"/>
      <c r="AV47" s="395"/>
      <c r="AW47" s="395"/>
      <c r="AX47" s="395"/>
      <c r="AY47" s="395"/>
      <c r="AZ47" s="395"/>
      <c r="BA47" s="395"/>
      <c r="BB47" s="395"/>
      <c r="BC47" s="395"/>
      <c r="BD47" s="395"/>
      <c r="BE47" s="395"/>
      <c r="BF47" s="395"/>
      <c r="BG47" s="395"/>
      <c r="BH47" s="395"/>
      <c r="BI47" s="395"/>
      <c r="BJ47" s="350"/>
    </row>
    <row r="48" spans="1:62">
      <c r="A48" s="314" t="s">
        <v>1661</v>
      </c>
      <c r="K48" s="464">
        <f>M48</f>
        <v>27.641999999999999</v>
      </c>
      <c r="L48" s="464">
        <f>K51</f>
        <v>26.948</v>
      </c>
      <c r="M48" s="464">
        <f>M51-M50-M49</f>
        <v>27.641999999999999</v>
      </c>
      <c r="N48" s="464">
        <f>M51</f>
        <v>24.346</v>
      </c>
      <c r="O48" s="464">
        <f>N51</f>
        <v>20.661000000000001</v>
      </c>
      <c r="P48" s="464">
        <f>M51</f>
        <v>24.346</v>
      </c>
      <c r="Q48" s="464">
        <f>P51</f>
        <v>38.716000000000001</v>
      </c>
      <c r="R48" s="467">
        <f>Q51</f>
        <v>35.872</v>
      </c>
      <c r="S48" s="464">
        <f>P51</f>
        <v>38.716000000000001</v>
      </c>
      <c r="T48" s="467">
        <f>S51</f>
        <v>49.814999999999998</v>
      </c>
      <c r="U48" s="467">
        <f>T51</f>
        <v>78.695999999999998</v>
      </c>
      <c r="V48" s="464">
        <f>S51</f>
        <v>49.814999999999998</v>
      </c>
      <c r="W48" s="467">
        <f>V51</f>
        <v>75.049000000000007</v>
      </c>
      <c r="X48" s="467">
        <f>W51</f>
        <v>76.977000000000004</v>
      </c>
      <c r="Y48" s="464">
        <f>V51</f>
        <v>75.049000000000007</v>
      </c>
      <c r="Z48" s="467">
        <f>Y51</f>
        <v>71.816999999999993</v>
      </c>
      <c r="AA48" s="467">
        <f>Z51</f>
        <v>71.972999999999999</v>
      </c>
      <c r="AB48" s="1149">
        <f>Y51</f>
        <v>71.816999999999993</v>
      </c>
      <c r="AC48" s="467">
        <f>AB51</f>
        <v>61.180999999999997</v>
      </c>
      <c r="AD48" s="467">
        <f>AC51</f>
        <v>62.200991027629939</v>
      </c>
      <c r="AE48" s="467">
        <f>AB51</f>
        <v>61.180999999999997</v>
      </c>
      <c r="AF48" s="467">
        <f>AE51</f>
        <v>67.637756262344354</v>
      </c>
      <c r="AG48" s="467">
        <f>AF51</f>
        <v>68.370814764444432</v>
      </c>
      <c r="AH48" s="467">
        <f>AE51</f>
        <v>67.637756262344354</v>
      </c>
      <c r="AI48" s="467">
        <f>AH51</f>
        <v>73.989566685072646</v>
      </c>
      <c r="AJ48" s="467">
        <f>AI51</f>
        <v>74.961148053142878</v>
      </c>
      <c r="AK48" s="467">
        <f>AH51</f>
        <v>73.989566685072646</v>
      </c>
      <c r="AL48" s="467"/>
      <c r="AM48" s="467"/>
      <c r="AN48" s="467">
        <f>AK51</f>
        <v>81.276033286160768</v>
      </c>
      <c r="AO48" s="467"/>
      <c r="AP48" s="467"/>
      <c r="AQ48" s="467">
        <f>AN51</f>
        <v>89.539549813684843</v>
      </c>
      <c r="AR48" s="467"/>
      <c r="AS48" s="467"/>
      <c r="AT48" s="467">
        <f>AQ51</f>
        <v>98.753903973446711</v>
      </c>
      <c r="AU48" s="467"/>
      <c r="AV48" s="467"/>
      <c r="AW48" s="467">
        <f>AT51</f>
        <v>108.96276109809445</v>
      </c>
      <c r="AX48" s="467"/>
      <c r="AY48" s="467"/>
      <c r="AZ48" s="467">
        <f>AW51</f>
        <v>120.29231781141004</v>
      </c>
      <c r="BA48" s="467"/>
      <c r="BB48" s="467"/>
      <c r="BC48" s="467">
        <f>AZ51</f>
        <v>132.88118771960029</v>
      </c>
      <c r="BD48" s="467"/>
      <c r="BE48" s="467"/>
      <c r="BF48" s="467">
        <f>BC51</f>
        <v>146.88297478359544</v>
      </c>
      <c r="BG48" s="467"/>
      <c r="BH48" s="467"/>
      <c r="BI48" s="467">
        <f t="shared" ref="BI48" si="163">BF51</f>
        <v>162.46887203635615</v>
      </c>
    </row>
    <row r="49" spans="1:62">
      <c r="A49" s="314" t="s">
        <v>1652</v>
      </c>
      <c r="K49" s="464">
        <f>K51-K50-K48</f>
        <v>2.8350000000000009</v>
      </c>
      <c r="L49" s="464">
        <f>M49-K49</f>
        <v>1.1939999999999991</v>
      </c>
      <c r="M49" s="464">
        <f>M43</f>
        <v>4.0289999999999999</v>
      </c>
      <c r="N49" s="464">
        <f>N51-N50-N48</f>
        <v>7.3000000000000398E-2</v>
      </c>
      <c r="O49" s="464">
        <f>P49-N49</f>
        <v>21.776</v>
      </c>
      <c r="P49" s="464">
        <f>P51-P50-P48</f>
        <v>21.849</v>
      </c>
      <c r="Q49" s="464">
        <f>Q51-Q50-Q48</f>
        <v>1.2920000000000016</v>
      </c>
      <c r="R49" s="467">
        <f>S49-Q49</f>
        <v>17.480999999999995</v>
      </c>
      <c r="S49" s="464">
        <f>S51-S50-S48</f>
        <v>18.772999999999996</v>
      </c>
      <c r="T49" s="467">
        <f>T51-T48-T50</f>
        <v>33.017000000000003</v>
      </c>
      <c r="U49" s="467">
        <f>V49-T49</f>
        <v>10.533999999999999</v>
      </c>
      <c r="V49" s="464">
        <f>V43</f>
        <v>43.551000000000002</v>
      </c>
      <c r="W49" s="467">
        <f>W51-W48-W50</f>
        <v>16.082451219512194</v>
      </c>
      <c r="X49" s="467">
        <f>Y49-W49</f>
        <v>1.232548780487793</v>
      </c>
      <c r="Y49" s="464">
        <f>Y51-Y48-Y50</f>
        <v>17.314999999999987</v>
      </c>
      <c r="Z49" s="467">
        <f>Z51-Z48-Z50</f>
        <v>14.203268292682933</v>
      </c>
      <c r="AA49" s="467">
        <f>AB49-Z49</f>
        <v>-2.0372682926829295</v>
      </c>
      <c r="AB49" s="1149">
        <f>AB51-AB48-AB50</f>
        <v>12.166000000000004</v>
      </c>
      <c r="AC49" s="467">
        <f>AC43</f>
        <v>12.986877996100272</v>
      </c>
      <c r="AD49" s="467">
        <f>AE49-AC49</f>
        <v>12.89493308613352</v>
      </c>
      <c r="AE49" s="467">
        <f t="shared" ref="AE49:AT49" si="164">AE43</f>
        <v>25.881811082233792</v>
      </c>
      <c r="AF49" s="467">
        <f>AF43</f>
        <v>13.962874686739456</v>
      </c>
      <c r="AG49" s="467">
        <f>AH49-AF49</f>
        <v>13.864019884504861</v>
      </c>
      <c r="AH49" s="467">
        <f>AH43</f>
        <v>27.826894571244317</v>
      </c>
      <c r="AI49" s="467">
        <f>AI43</f>
        <v>15.443799562711764</v>
      </c>
      <c r="AJ49" s="467">
        <f>AK49-AI49</f>
        <v>15.334460061658124</v>
      </c>
      <c r="AK49" s="467">
        <f t="shared" si="164"/>
        <v>30.778259624369888</v>
      </c>
      <c r="AL49" s="467"/>
      <c r="AM49" s="467"/>
      <c r="AN49" s="467">
        <f t="shared" si="164"/>
        <v>34.068773096178262</v>
      </c>
      <c r="AO49" s="467"/>
      <c r="AP49" s="467"/>
      <c r="AQ49" s="467">
        <f t="shared" si="164"/>
        <v>37.643289019915336</v>
      </c>
      <c r="AR49" s="467"/>
      <c r="AS49" s="467"/>
      <c r="AT49" s="467">
        <f t="shared" si="164"/>
        <v>41.563362581608231</v>
      </c>
      <c r="AU49" s="467"/>
      <c r="AV49" s="467"/>
      <c r="AW49" s="467">
        <f t="shared" ref="AW49:AZ49" si="165">AW43</f>
        <v>45.925388877827487</v>
      </c>
      <c r="AX49" s="467"/>
      <c r="AY49" s="467"/>
      <c r="AZ49" s="467">
        <f t="shared" si="165"/>
        <v>50.781852499161339</v>
      </c>
      <c r="BA49" s="467"/>
      <c r="BB49" s="467"/>
      <c r="BC49" s="467">
        <f t="shared" ref="BC49:BF49" si="166">BC43</f>
        <v>56.191753818138686</v>
      </c>
      <c r="BD49" s="467"/>
      <c r="BE49" s="467"/>
      <c r="BF49" s="467">
        <f t="shared" si="166"/>
        <v>62.221451383614713</v>
      </c>
      <c r="BG49" s="467"/>
      <c r="BH49" s="467"/>
      <c r="BI49" s="467">
        <f>BI43</f>
        <v>68.945617198556647</v>
      </c>
    </row>
    <row r="50" spans="1:62">
      <c r="A50" s="314" t="s">
        <v>1663</v>
      </c>
      <c r="K50" s="464">
        <f>MODEL!K106</f>
        <v>-3.5289999999999999</v>
      </c>
      <c r="L50" s="464">
        <f>MODEL!L106</f>
        <v>-3.7960000000000003</v>
      </c>
      <c r="M50" s="464">
        <f>MODEL!M106</f>
        <v>-7.3250000000000002</v>
      </c>
      <c r="N50" s="464">
        <f>MODEL!N106</f>
        <v>-3.758</v>
      </c>
      <c r="O50" s="464">
        <f>MODEL!O106</f>
        <v>-3.7210000000000001</v>
      </c>
      <c r="P50" s="464">
        <f>MODEL!P106</f>
        <v>-7.4790000000000001</v>
      </c>
      <c r="Q50" s="464">
        <f>MODEL!Q106</f>
        <v>-4.1360000000000001</v>
      </c>
      <c r="R50" s="467">
        <f>S50-Q50</f>
        <v>-3.5380000000000003</v>
      </c>
      <c r="S50" s="464">
        <f>MODEL!S106</f>
        <v>-7.6740000000000004</v>
      </c>
      <c r="T50" s="467">
        <f>Q50/Q54*T54</f>
        <v>-4.1360000000000001</v>
      </c>
      <c r="U50" s="467">
        <f>V50-T50</f>
        <v>-14.167000000000002</v>
      </c>
      <c r="V50" s="446">
        <f>-18.303</f>
        <v>-18.303000000000001</v>
      </c>
      <c r="W50" s="467">
        <f>T50/T54*W54</f>
        <v>-14.154451219512195</v>
      </c>
      <c r="X50" s="467">
        <f>Y50-W50</f>
        <v>-6.3925487804878056</v>
      </c>
      <c r="Y50" s="446">
        <v>-20.547000000000001</v>
      </c>
      <c r="Z50" s="467">
        <f>W50/W54*Z54</f>
        <v>-14.047268292682928</v>
      </c>
      <c r="AA50" s="467">
        <f>AB50-Z50</f>
        <v>-8.7547317073170721</v>
      </c>
      <c r="AB50" s="1152">
        <v>-22.802</v>
      </c>
      <c r="AC50" s="467">
        <f>Z50/Z54*AC54</f>
        <v>-11.966886968470337</v>
      </c>
      <c r="AD50" s="467">
        <f>AE50-AC50</f>
        <v>-7.4581678514191054</v>
      </c>
      <c r="AE50" s="467">
        <f>AB50/AB54*AE54</f>
        <v>-19.425054819889443</v>
      </c>
      <c r="AF50" s="467">
        <f>AC50/AC54*AF54</f>
        <v>-13.229816184639377</v>
      </c>
      <c r="AG50" s="467">
        <f>AH50-AF50</f>
        <v>-8.2452679638766586</v>
      </c>
      <c r="AH50" s="467">
        <f>AE50/AE54*AH54</f>
        <v>-21.475084148516036</v>
      </c>
      <c r="AI50" s="467">
        <f>AF50/AF54*AI54</f>
        <v>-14.472218194641522</v>
      </c>
      <c r="AJ50" s="467">
        <f>AK50-AI50</f>
        <v>-9.0195748286402466</v>
      </c>
      <c r="AK50" s="467">
        <f>AH50/AH54*AK54</f>
        <v>-23.491793023281769</v>
      </c>
      <c r="AL50" s="467"/>
      <c r="AM50" s="467"/>
      <c r="AN50" s="467">
        <f>AK50/AK54*AN54</f>
        <v>-25.80525656865419</v>
      </c>
      <c r="AO50" s="467"/>
      <c r="AP50" s="467"/>
      <c r="AQ50" s="467">
        <f>AN50/AN54*AQ54</f>
        <v>-28.428934860153472</v>
      </c>
      <c r="AR50" s="467"/>
      <c r="AS50" s="467"/>
      <c r="AT50" s="467">
        <f>AQ50/AQ54*AT54</f>
        <v>-31.354505456960499</v>
      </c>
      <c r="AU50" s="467"/>
      <c r="AV50" s="467"/>
      <c r="AW50" s="467">
        <f>AT50/AT54*AW54</f>
        <v>-34.595832164511883</v>
      </c>
      <c r="AX50" s="467"/>
      <c r="AY50" s="467"/>
      <c r="AZ50" s="467">
        <f>AW50/AW54*AZ54</f>
        <v>-38.192982590971113</v>
      </c>
      <c r="BA50" s="467"/>
      <c r="BB50" s="467"/>
      <c r="BC50" s="467">
        <f>AZ50/AZ54*BC54</f>
        <v>-42.189966754143533</v>
      </c>
      <c r="BD50" s="467"/>
      <c r="BE50" s="467"/>
      <c r="BF50" s="467">
        <f>BC50/BC54*BF54</f>
        <v>-46.635554130854025</v>
      </c>
      <c r="BG50" s="467"/>
      <c r="BH50" s="467"/>
      <c r="BI50" s="467">
        <f>BF50/BF54*BI54</f>
        <v>-51.584098753400909</v>
      </c>
    </row>
    <row r="51" spans="1:62">
      <c r="A51" s="314" t="s">
        <v>1662</v>
      </c>
      <c r="K51" s="464">
        <f>MODEL!K166+MODEL!K157</f>
        <v>26.948</v>
      </c>
      <c r="L51" s="464">
        <f>M51</f>
        <v>24.346</v>
      </c>
      <c r="M51" s="446">
        <v>24.346</v>
      </c>
      <c r="N51" s="464">
        <f>MODEL!N166+MODEL!N157</f>
        <v>20.661000000000001</v>
      </c>
      <c r="O51" s="464">
        <f>P51</f>
        <v>38.716000000000001</v>
      </c>
      <c r="P51" s="464">
        <f>MODEL!P166+MODEL!P157</f>
        <v>38.716000000000001</v>
      </c>
      <c r="Q51" s="464">
        <f>MODEL!Q166+MODEL!Q157</f>
        <v>35.872</v>
      </c>
      <c r="R51" s="467">
        <f>SUM(R48:R50)</f>
        <v>49.814999999999998</v>
      </c>
      <c r="S51" s="464">
        <f>MODEL!S166+MODEL!S157</f>
        <v>49.814999999999998</v>
      </c>
      <c r="T51" s="467">
        <f>MODEL!T166+MODEL!T157</f>
        <v>78.695999999999998</v>
      </c>
      <c r="U51" s="467">
        <f t="shared" ref="U51:AT51" si="167">SUM(U48:U50)</f>
        <v>75.062999999999988</v>
      </c>
      <c r="V51" s="446">
        <v>75.049000000000007</v>
      </c>
      <c r="W51" s="467">
        <f>MODEL!W166+MODEL!W157</f>
        <v>76.977000000000004</v>
      </c>
      <c r="X51" s="467">
        <f t="shared" ref="X51" si="168">SUM(X48:X50)</f>
        <v>71.816999999999993</v>
      </c>
      <c r="Y51" s="446">
        <v>71.816999999999993</v>
      </c>
      <c r="Z51" s="467">
        <f>MODEL!Z166+MODEL!Z157</f>
        <v>71.972999999999999</v>
      </c>
      <c r="AA51" s="467">
        <f t="shared" ref="AA51" si="169">SUM(AA48:AA50)</f>
        <v>61.181000000000004</v>
      </c>
      <c r="AB51" s="1152">
        <v>61.180999999999997</v>
      </c>
      <c r="AC51" s="467">
        <f t="shared" ref="AC51:AD51" si="170">SUM(AC48:AC50)</f>
        <v>62.200991027629939</v>
      </c>
      <c r="AD51" s="467">
        <f t="shared" si="170"/>
        <v>67.637756262344354</v>
      </c>
      <c r="AE51" s="467">
        <f t="shared" si="167"/>
        <v>67.637756262344354</v>
      </c>
      <c r="AF51" s="467">
        <f t="shared" ref="AF51:AG51" si="171">SUM(AF48:AF50)</f>
        <v>68.370814764444432</v>
      </c>
      <c r="AG51" s="467">
        <f t="shared" si="171"/>
        <v>73.989566685072631</v>
      </c>
      <c r="AH51" s="467">
        <f>SUM(AH48:AH50)</f>
        <v>73.989566685072646</v>
      </c>
      <c r="AI51" s="467">
        <f t="shared" ref="AI51:AJ51" si="172">SUM(AI48:AI50)</f>
        <v>74.961148053142878</v>
      </c>
      <c r="AJ51" s="467">
        <f t="shared" si="172"/>
        <v>81.276033286160754</v>
      </c>
      <c r="AK51" s="467">
        <f t="shared" si="167"/>
        <v>81.276033286160768</v>
      </c>
      <c r="AL51" s="467"/>
      <c r="AM51" s="467"/>
      <c r="AN51" s="467">
        <f t="shared" si="167"/>
        <v>89.539549813684843</v>
      </c>
      <c r="AO51" s="467"/>
      <c r="AP51" s="467"/>
      <c r="AQ51" s="467">
        <f t="shared" si="167"/>
        <v>98.753903973446711</v>
      </c>
      <c r="AR51" s="467"/>
      <c r="AS51" s="467"/>
      <c r="AT51" s="467">
        <f t="shared" si="167"/>
        <v>108.96276109809445</v>
      </c>
      <c r="AU51" s="467"/>
      <c r="AV51" s="467"/>
      <c r="AW51" s="467">
        <f t="shared" ref="AW51:AZ51" si="173">SUM(AW48:AW50)</f>
        <v>120.29231781141004</v>
      </c>
      <c r="AX51" s="467"/>
      <c r="AY51" s="467"/>
      <c r="AZ51" s="467">
        <f t="shared" si="173"/>
        <v>132.88118771960029</v>
      </c>
      <c r="BA51" s="467"/>
      <c r="BB51" s="467"/>
      <c r="BC51" s="467">
        <f t="shared" ref="BC51:BF51" si="174">SUM(BC48:BC50)</f>
        <v>146.88297478359544</v>
      </c>
      <c r="BD51" s="467"/>
      <c r="BE51" s="467"/>
      <c r="BF51" s="467">
        <f t="shared" si="174"/>
        <v>162.46887203635615</v>
      </c>
      <c r="BG51" s="467"/>
      <c r="BH51" s="467"/>
      <c r="BI51" s="467">
        <f>SUM(BI48:BI50)</f>
        <v>179.83039048151187</v>
      </c>
    </row>
    <row r="52" spans="1:62">
      <c r="A52" s="314" t="s">
        <v>1665</v>
      </c>
      <c r="K52" s="464">
        <f>MODEL!K157</f>
        <v>7.3760000000000003</v>
      </c>
      <c r="L52" s="464">
        <f>M52</f>
        <v>7.3819999999999997</v>
      </c>
      <c r="M52" s="446">
        <v>7.3819999999999997</v>
      </c>
      <c r="N52" s="464">
        <f>MODEL!N157</f>
        <v>7.1219999999999999</v>
      </c>
      <c r="O52" s="464">
        <f>P52</f>
        <v>7.21</v>
      </c>
      <c r="P52" s="464">
        <f>MODEL!P157</f>
        <v>7.21</v>
      </c>
      <c r="Q52" s="464">
        <f>MODEL!Q157</f>
        <v>7.9729999999999999</v>
      </c>
      <c r="S52" s="464">
        <f>MODEL!S157</f>
        <v>12.172000000000001</v>
      </c>
      <c r="V52" s="446">
        <v>19.777000000000001</v>
      </c>
      <c r="Y52" s="446">
        <v>22.02</v>
      </c>
      <c r="AB52" s="1152">
        <v>24.245999999999999</v>
      </c>
      <c r="AE52" s="467">
        <f>-AH50</f>
        <v>21.475084148516036</v>
      </c>
      <c r="AH52" s="467">
        <f>-AK50</f>
        <v>23.491793023281769</v>
      </c>
      <c r="AK52" s="467">
        <f>-AN50</f>
        <v>25.80525656865419</v>
      </c>
      <c r="AL52" s="467"/>
      <c r="AM52" s="467"/>
      <c r="AN52" s="467">
        <f>-AQ50</f>
        <v>28.428934860153472</v>
      </c>
      <c r="AO52" s="467"/>
      <c r="AP52" s="467"/>
      <c r="AQ52" s="467">
        <f t="shared" ref="AQ52" si="175">-AT50</f>
        <v>31.354505456960499</v>
      </c>
      <c r="AR52" s="467"/>
      <c r="AS52" s="467"/>
      <c r="AT52" s="467">
        <f>AQ52</f>
        <v>31.354505456960499</v>
      </c>
      <c r="AU52" s="467"/>
      <c r="AV52" s="467"/>
      <c r="AW52" s="467">
        <f>AT52</f>
        <v>31.354505456960499</v>
      </c>
      <c r="AX52" s="467"/>
      <c r="AY52" s="467"/>
      <c r="AZ52" s="467">
        <f>AW52</f>
        <v>31.354505456960499</v>
      </c>
      <c r="BA52" s="467"/>
      <c r="BB52" s="467"/>
      <c r="BC52" s="467">
        <f>AZ52</f>
        <v>31.354505456960499</v>
      </c>
      <c r="BD52" s="467"/>
      <c r="BE52" s="467"/>
      <c r="BF52" s="467">
        <f>BC52</f>
        <v>31.354505456960499</v>
      </c>
      <c r="BG52" s="467"/>
      <c r="BH52" s="467"/>
      <c r="BI52" s="467">
        <f t="shared" ref="BI52" si="176">BF52</f>
        <v>31.354505456960499</v>
      </c>
    </row>
    <row r="54" spans="1:62">
      <c r="A54" s="314" t="s">
        <v>1664</v>
      </c>
      <c r="K54" s="464">
        <f>-MODEL!K247</f>
        <v>-0.81399999999999995</v>
      </c>
      <c r="L54" s="464">
        <f>-MODEL!L247</f>
        <v>-0.77400000000000013</v>
      </c>
      <c r="M54" s="464">
        <f>-MODEL!M247</f>
        <v>-1.5880000000000001</v>
      </c>
      <c r="N54" s="464">
        <f>-MODEL!N247</f>
        <v>-0.65600000000000003</v>
      </c>
      <c r="O54" s="464">
        <f>-MODEL!O247</f>
        <v>-0.55799999999999994</v>
      </c>
      <c r="P54" s="464">
        <f>-MODEL!P247</f>
        <v>-1.214</v>
      </c>
      <c r="Q54" s="464">
        <f>-MODEL!Q247</f>
        <v>-0.65600000000000003</v>
      </c>
      <c r="R54" s="467">
        <f>S54-Q54</f>
        <v>0</v>
      </c>
      <c r="S54" s="464">
        <f>-MODEL!S247</f>
        <v>-0.65600000000000003</v>
      </c>
      <c r="T54" s="467">
        <f>-MODEL!T247</f>
        <v>-0.65600000000000003</v>
      </c>
      <c r="U54" s="467">
        <f>V54-T54</f>
        <v>-3.4839999999999995</v>
      </c>
      <c r="V54" s="446">
        <v>-4.1399999999999997</v>
      </c>
      <c r="W54" s="467">
        <f>MODEL!W119</f>
        <v>-2.2450000000000001</v>
      </c>
      <c r="X54" s="467">
        <f>Y54-W54</f>
        <v>-2.2850000000000001</v>
      </c>
      <c r="Y54" s="446">
        <v>-4.53</v>
      </c>
      <c r="Z54" s="467">
        <f>MODEL!Z119</f>
        <v>-2.2280000000000002</v>
      </c>
      <c r="AA54" s="467">
        <f>AB54-Z54</f>
        <v>-1.9579999999999997</v>
      </c>
      <c r="AB54" s="1152">
        <v>-4.1859999999999999</v>
      </c>
      <c r="AC54" s="467">
        <f>-AC55*AC48/2</f>
        <v>-1.8980362309759531</v>
      </c>
      <c r="AD54" s="467">
        <f>AE54-AC54</f>
        <v>-1.6680228636673766</v>
      </c>
      <c r="AE54" s="467">
        <f t="shared" ref="AE54:AT54" si="177">-AE55*AE48</f>
        <v>-3.5660590946433297</v>
      </c>
      <c r="AF54" s="467">
        <f>-AF55*AF48/2</f>
        <v>-2.0983460873122417</v>
      </c>
      <c r="AG54" s="467">
        <f>AH54-AF54</f>
        <v>-1.8440581862465746</v>
      </c>
      <c r="AH54" s="467">
        <f t="shared" si="177"/>
        <v>-3.9424042735588163</v>
      </c>
      <c r="AI54" s="467">
        <f>-AI55*AI48/2</f>
        <v>-2.2954001778735105</v>
      </c>
      <c r="AJ54" s="467">
        <f>AK54-AI54</f>
        <v>-2.0172322927631656</v>
      </c>
      <c r="AK54" s="467">
        <f t="shared" si="177"/>
        <v>-4.3126324706366761</v>
      </c>
      <c r="AL54" s="467"/>
      <c r="AM54" s="467"/>
      <c r="AN54" s="467">
        <f t="shared" si="177"/>
        <v>-4.7373390051919326</v>
      </c>
      <c r="AO54" s="467"/>
      <c r="AP54" s="467"/>
      <c r="AQ54" s="467">
        <f t="shared" si="177"/>
        <v>-5.218994883106852</v>
      </c>
      <c r="AR54" s="467"/>
      <c r="AS54" s="467"/>
      <c r="AT54" s="467">
        <f t="shared" si="177"/>
        <v>-5.7560722674693734</v>
      </c>
      <c r="AU54" s="467"/>
      <c r="AV54" s="467"/>
      <c r="AW54" s="467">
        <f t="shared" ref="AW54:AZ54" si="178">-AW55*AW48</f>
        <v>-6.3511162810563437</v>
      </c>
      <c r="AX54" s="467"/>
      <c r="AY54" s="467"/>
      <c r="AZ54" s="467">
        <f t="shared" si="178"/>
        <v>-7.0114825509080374</v>
      </c>
      <c r="BA54" s="467"/>
      <c r="BB54" s="467"/>
      <c r="BC54" s="467">
        <f t="shared" ref="BC54:BF54" si="179">-BC55*BC48</f>
        <v>-7.7452504531551982</v>
      </c>
      <c r="BD54" s="467"/>
      <c r="BE54" s="467"/>
      <c r="BF54" s="467">
        <f t="shared" si="179"/>
        <v>-8.561373107260545</v>
      </c>
      <c r="BG54" s="467"/>
      <c r="BH54" s="467"/>
      <c r="BI54" s="467">
        <f t="shared" ref="BI54" si="180">-BI55*BI48</f>
        <v>-9.4698288475456636</v>
      </c>
    </row>
    <row r="55" spans="1:62">
      <c r="A55" s="314" t="s">
        <v>1666</v>
      </c>
      <c r="K55" s="469">
        <f>-K54/K48*2</f>
        <v>5.889588307647782E-2</v>
      </c>
      <c r="L55" s="469">
        <f>-L54/L48*2</f>
        <v>5.7443966157043204E-2</v>
      </c>
      <c r="M55" s="469">
        <f>-M54/M48</f>
        <v>5.7448809782215476E-2</v>
      </c>
      <c r="N55" s="469">
        <f>-N54/N48*2</f>
        <v>5.3889756017415594E-2</v>
      </c>
      <c r="O55" s="469">
        <f>-O54/O48*2</f>
        <v>5.4014810512559887E-2</v>
      </c>
      <c r="P55" s="469">
        <f>-P54/P48</f>
        <v>4.986445411977327E-2</v>
      </c>
      <c r="Q55" s="469">
        <f>-Q54/Q48*2</f>
        <v>3.3887798326273373E-2</v>
      </c>
      <c r="S55" s="469">
        <f>-S54/S48</f>
        <v>1.6943899163136687E-2</v>
      </c>
      <c r="T55" s="470">
        <f>-T54/T48*2</f>
        <v>2.6337448559670785E-2</v>
      </c>
      <c r="U55" s="469"/>
      <c r="V55" s="469">
        <f>-V54/V48</f>
        <v>8.3107497741644082E-2</v>
      </c>
      <c r="W55" s="414">
        <f>-W54/W48*2</f>
        <v>5.9827579314847633E-2</v>
      </c>
      <c r="X55" s="469"/>
      <c r="Y55" s="469">
        <f>-Y54/Y48</f>
        <v>6.0360564431238259E-2</v>
      </c>
      <c r="Z55" s="414">
        <f>-Z54/Z48*2</f>
        <v>6.2046590640099153E-2</v>
      </c>
      <c r="AA55" s="469"/>
      <c r="AB55" s="1019">
        <f>-AB54/AB48</f>
        <v>5.82870351031093E-2</v>
      </c>
      <c r="AC55" s="470">
        <f>Z55</f>
        <v>6.2046590640099153E-2</v>
      </c>
      <c r="AD55" s="469"/>
      <c r="AE55" s="470">
        <f>AB55</f>
        <v>5.82870351031093E-2</v>
      </c>
      <c r="AF55" s="470">
        <f>AC55</f>
        <v>6.2046590640099153E-2</v>
      </c>
      <c r="AG55" s="469"/>
      <c r="AH55" s="470">
        <f>AE55</f>
        <v>5.82870351031093E-2</v>
      </c>
      <c r="AI55" s="470">
        <f>AF55</f>
        <v>6.2046590640099153E-2</v>
      </c>
      <c r="AJ55" s="469"/>
      <c r="AK55" s="470">
        <f>AH55</f>
        <v>5.82870351031093E-2</v>
      </c>
      <c r="AL55" s="470"/>
      <c r="AM55" s="470"/>
      <c r="AN55" s="470">
        <f>AK55</f>
        <v>5.82870351031093E-2</v>
      </c>
      <c r="AO55" s="470"/>
      <c r="AP55" s="470"/>
      <c r="AQ55" s="470">
        <f>AN55</f>
        <v>5.82870351031093E-2</v>
      </c>
      <c r="AR55" s="470"/>
      <c r="AS55" s="470"/>
      <c r="AT55" s="470">
        <f>AQ55</f>
        <v>5.82870351031093E-2</v>
      </c>
      <c r="AU55" s="470"/>
      <c r="AV55" s="470"/>
      <c r="AW55" s="470">
        <f>AT55</f>
        <v>5.82870351031093E-2</v>
      </c>
      <c r="AX55" s="470"/>
      <c r="AY55" s="470"/>
      <c r="AZ55" s="470">
        <f>AW55</f>
        <v>5.82870351031093E-2</v>
      </c>
      <c r="BA55" s="470"/>
      <c r="BB55" s="470"/>
      <c r="BC55" s="470">
        <f>AZ55</f>
        <v>5.82870351031093E-2</v>
      </c>
      <c r="BD55" s="470"/>
      <c r="BE55" s="470"/>
      <c r="BF55" s="470">
        <f>BC55</f>
        <v>5.82870351031093E-2</v>
      </c>
      <c r="BG55" s="470"/>
      <c r="BH55" s="470"/>
      <c r="BI55" s="470">
        <f t="shared" ref="BI55" si="181">BF55</f>
        <v>5.82870351031093E-2</v>
      </c>
    </row>
    <row r="57" spans="1:62" ht="15">
      <c r="A57" s="339" t="s">
        <v>1667</v>
      </c>
      <c r="B57" s="433"/>
      <c r="C57" s="433"/>
      <c r="D57" s="433"/>
      <c r="E57" s="433"/>
      <c r="F57" s="433"/>
      <c r="G57" s="433"/>
      <c r="H57" s="433"/>
      <c r="I57" s="433"/>
      <c r="J57" s="433"/>
      <c r="K57" s="433"/>
      <c r="L57" s="433"/>
      <c r="M57" s="433"/>
      <c r="N57" s="433"/>
      <c r="O57" s="433"/>
      <c r="P57" s="433"/>
      <c r="Q57" s="433"/>
      <c r="R57" s="395"/>
      <c r="S57" s="395"/>
      <c r="T57" s="395"/>
      <c r="U57" s="395"/>
      <c r="V57" s="395"/>
      <c r="W57" s="395"/>
      <c r="X57" s="395"/>
      <c r="Y57" s="395"/>
      <c r="Z57" s="395"/>
      <c r="AA57" s="395"/>
      <c r="AB57" s="824"/>
      <c r="AC57" s="395"/>
      <c r="AD57" s="395"/>
      <c r="AE57" s="395"/>
      <c r="AF57" s="395"/>
      <c r="AG57" s="395"/>
      <c r="AH57" s="395"/>
      <c r="AI57" s="395"/>
      <c r="AJ57" s="395"/>
      <c r="AK57" s="395"/>
      <c r="AL57" s="395"/>
      <c r="AM57" s="395"/>
      <c r="AN57" s="395"/>
      <c r="AO57" s="395"/>
      <c r="AP57" s="395"/>
      <c r="AQ57" s="395"/>
      <c r="AR57" s="395"/>
      <c r="AS57" s="395"/>
      <c r="AT57" s="395"/>
      <c r="AU57" s="395"/>
      <c r="AV57" s="395"/>
      <c r="AW57" s="395"/>
      <c r="AX57" s="395"/>
      <c r="AY57" s="395"/>
      <c r="AZ57" s="395"/>
      <c r="BA57" s="395"/>
      <c r="BB57" s="395"/>
      <c r="BC57" s="395"/>
      <c r="BD57" s="395"/>
      <c r="BE57" s="395"/>
      <c r="BF57" s="395"/>
      <c r="BG57" s="395"/>
      <c r="BH57" s="395"/>
      <c r="BI57" s="395"/>
      <c r="BJ57" s="350"/>
    </row>
    <row r="58" spans="1:62">
      <c r="A58" s="312" t="s">
        <v>413</v>
      </c>
      <c r="B58" s="445">
        <v>-0.56699999999999995</v>
      </c>
      <c r="C58" s="329">
        <f>D58-B58</f>
        <v>-1.35</v>
      </c>
      <c r="D58" s="445">
        <v>-1.917</v>
      </c>
      <c r="E58" s="445">
        <v>-0.90500000000000003</v>
      </c>
      <c r="F58" s="329">
        <f>G58-E58</f>
        <v>-3.3899999999999997</v>
      </c>
      <c r="G58" s="445">
        <v>-4.2949999999999999</v>
      </c>
      <c r="H58" s="445">
        <v>-2.375</v>
      </c>
      <c r="I58" s="329">
        <f>J58-H58</f>
        <v>-3.0979999999999999</v>
      </c>
      <c r="J58" s="445">
        <v>-5.4729999999999999</v>
      </c>
      <c r="K58" s="445">
        <v>-4.1710000000000003</v>
      </c>
      <c r="L58" s="329">
        <f>M58-K58</f>
        <v>-2.8329999999999993</v>
      </c>
      <c r="M58" s="445">
        <v>-7.0039999999999996</v>
      </c>
      <c r="N58" s="445">
        <v>-1.956</v>
      </c>
      <c r="O58" s="329">
        <f>P58-N58</f>
        <v>-4.8710000000000004</v>
      </c>
      <c r="P58" s="445">
        <v>-6.827</v>
      </c>
      <c r="Q58" s="445">
        <v>-2.8759999999999999</v>
      </c>
      <c r="R58" s="467">
        <f>S58-Q58</f>
        <v>-13.674000000000001</v>
      </c>
      <c r="S58" s="514">
        <v>-16.55</v>
      </c>
      <c r="T58" s="514">
        <v>-8.11</v>
      </c>
      <c r="U58" s="467">
        <f>V58-T58</f>
        <v>-12.369</v>
      </c>
      <c r="V58" s="514">
        <v>-20.478999999999999</v>
      </c>
      <c r="W58" s="514">
        <v>-14.602</v>
      </c>
      <c r="X58" s="467">
        <f>Y58-W58</f>
        <v>-10.323</v>
      </c>
      <c r="Y58" s="514">
        <v>-24.925000000000001</v>
      </c>
      <c r="Z58" s="514">
        <v>-14.250999999999999</v>
      </c>
      <c r="AA58" s="467">
        <f>AB58-Z58</f>
        <v>-30.425000000000004</v>
      </c>
      <c r="AB58" s="856">
        <v>-44.676000000000002</v>
      </c>
      <c r="AC58" s="467">
        <f>AC61*MODEL!AC5</f>
        <v>-15.696815739348374</v>
      </c>
      <c r="AD58" s="467">
        <f>AE58-AC58</f>
        <v>-18.552235784984425</v>
      </c>
      <c r="AE58" s="467">
        <f>AE61*MODEL!AE5</f>
        <v>-34.249051524332799</v>
      </c>
      <c r="AF58" s="467">
        <f>AF61*MODEL!AF5</f>
        <v>-16.826309769727029</v>
      </c>
      <c r="AG58" s="467">
        <f>AH58-AF58</f>
        <v>-16.353120952023769</v>
      </c>
      <c r="AH58" s="467">
        <f>AH61*MODEL!AH5</f>
        <v>-33.179430721750798</v>
      </c>
      <c r="AI58" s="467">
        <f>AI61*MODEL!AI5</f>
        <v>-18.091721492570592</v>
      </c>
      <c r="AJ58" s="467">
        <f>AK58-AI58</f>
        <v>-18.156233715143408</v>
      </c>
      <c r="AK58" s="467">
        <f>AK61*MODEL!AK5</f>
        <v>-36.247955207714</v>
      </c>
      <c r="AL58" s="467"/>
      <c r="AM58" s="467"/>
      <c r="AN58" s="467">
        <f>AN61*MODEL!AN5</f>
        <v>-40.123235564438566</v>
      </c>
      <c r="AO58" s="467"/>
      <c r="AP58" s="467"/>
      <c r="AQ58" s="467">
        <f>AQ61*MODEL!AQ5</f>
        <v>-44.332989289119304</v>
      </c>
      <c r="AR58" s="467"/>
      <c r="AS58" s="467"/>
      <c r="AT58" s="467">
        <f>AT61*MODEL!AT5</f>
        <v>-48.949710722019262</v>
      </c>
      <c r="AU58" s="467"/>
      <c r="AV58" s="467"/>
      <c r="AW58" s="467">
        <f>AW61*MODEL!AW5</f>
        <v>-54.086925617530532</v>
      </c>
      <c r="AX58" s="467"/>
      <c r="AY58" s="467"/>
      <c r="AZ58" s="467">
        <f>AZ61*MODEL!AZ5</f>
        <v>-59.806445758124127</v>
      </c>
      <c r="BA58" s="467"/>
      <c r="BB58" s="467"/>
      <c r="BC58" s="467">
        <f>BC61*MODEL!BC5</f>
        <v>-66.177756647099002</v>
      </c>
      <c r="BD58" s="467"/>
      <c r="BE58" s="467"/>
      <c r="BF58" s="467">
        <f>BF61*MODEL!BF5</f>
        <v>-73.279009607366461</v>
      </c>
      <c r="BG58" s="467"/>
      <c r="BH58" s="467"/>
      <c r="BI58" s="467">
        <f>BI61*MODEL!BI5</f>
        <v>-81.198146824477618</v>
      </c>
    </row>
    <row r="59" spans="1:62">
      <c r="A59" s="312" t="s">
        <v>414</v>
      </c>
      <c r="B59" s="445">
        <v>-8.6760000000000002</v>
      </c>
      <c r="C59" s="329">
        <f t="shared" ref="C59" si="182">D59-B59</f>
        <v>-8.729000000000001</v>
      </c>
      <c r="D59" s="445">
        <v>-17.405000000000001</v>
      </c>
      <c r="E59" s="445">
        <v>-5.51</v>
      </c>
      <c r="F59" s="329">
        <f t="shared" ref="F59" si="183">G59-E59</f>
        <v>-9.66</v>
      </c>
      <c r="G59" s="445">
        <v>-15.17</v>
      </c>
      <c r="H59" s="445">
        <v>-8.6449999999999996</v>
      </c>
      <c r="I59" s="329">
        <f t="shared" ref="I59" si="184">J59-H59</f>
        <v>-14.358000000000001</v>
      </c>
      <c r="J59" s="445">
        <v>-23.003</v>
      </c>
      <c r="K59" s="445">
        <v>-15.093999999999999</v>
      </c>
      <c r="L59" s="329">
        <f t="shared" ref="L59" si="185">M59-K59</f>
        <v>-16.277999999999999</v>
      </c>
      <c r="M59" s="445">
        <v>-31.372</v>
      </c>
      <c r="N59" s="445">
        <v>-16.164000000000001</v>
      </c>
      <c r="O59" s="329">
        <f t="shared" ref="O59" si="186">P59-N59</f>
        <v>-8.1239999999999988</v>
      </c>
      <c r="P59" s="445">
        <v>-24.288</v>
      </c>
      <c r="Q59" s="445">
        <v>-15.06</v>
      </c>
      <c r="R59" s="467">
        <f t="shared" ref="R59" si="187">S59-Q59</f>
        <v>-11.081999999999999</v>
      </c>
      <c r="S59" s="514">
        <v>-26.141999999999999</v>
      </c>
      <c r="T59" s="514">
        <v>-15.696</v>
      </c>
      <c r="U59" s="467">
        <f t="shared" ref="U59" si="188">V59-T59</f>
        <v>-17.068000000000005</v>
      </c>
      <c r="V59" s="514">
        <v>-32.764000000000003</v>
      </c>
      <c r="W59" s="514">
        <v>-16.768000000000001</v>
      </c>
      <c r="X59" s="467">
        <f t="shared" ref="X59" si="189">Y59-W59</f>
        <v>-20.426000000000002</v>
      </c>
      <c r="Y59" s="514">
        <v>-37.194000000000003</v>
      </c>
      <c r="Z59" s="514">
        <v>-28.847000000000001</v>
      </c>
      <c r="AA59" s="467">
        <f t="shared" ref="AA59" si="190">AB59-Z59</f>
        <v>-14.033000000000001</v>
      </c>
      <c r="AB59" s="856">
        <v>-42.88</v>
      </c>
      <c r="AC59" s="467">
        <f>AC62*MODEL!AC5</f>
        <v>-31.773632982456146</v>
      </c>
      <c r="AD59" s="467">
        <f t="shared" ref="AD59" si="191">AE59-AC59</f>
        <v>-15.017620291483897</v>
      </c>
      <c r="AE59" s="467">
        <f>AE62*MODEL!AE5</f>
        <v>-46.791253273940043</v>
      </c>
      <c r="AF59" s="467">
        <f>AF62*MODEL!AF5</f>
        <v>-34.059964769301494</v>
      </c>
      <c r="AG59" s="467">
        <f t="shared" ref="AG59" si="192">AH59-AF59</f>
        <v>-17.213110469923343</v>
      </c>
      <c r="AH59" s="467">
        <f>AH62*MODEL!AH5</f>
        <v>-51.273075239224838</v>
      </c>
      <c r="AI59" s="467">
        <f>AI62*MODEL!AI5</f>
        <v>-36.49478918513087</v>
      </c>
      <c r="AJ59" s="467">
        <f t="shared" ref="AJ59" si="193">AK59-AI59</f>
        <v>-19.991121053653231</v>
      </c>
      <c r="AK59" s="467">
        <f>AK62*MODEL!AK5</f>
        <v>-56.485910238784101</v>
      </c>
      <c r="AL59" s="467"/>
      <c r="AM59" s="467"/>
      <c r="AN59" s="467">
        <f>AN62*MODEL!AN5</f>
        <v>-61.776777147930005</v>
      </c>
      <c r="AO59" s="467"/>
      <c r="AP59" s="467"/>
      <c r="AQ59" s="467">
        <f>AQ62*MODEL!AQ5</f>
        <v>-67.431886844952331</v>
      </c>
      <c r="AR59" s="467"/>
      <c r="AS59" s="467"/>
      <c r="AT59" s="467">
        <f>AT62*MODEL!AT5</f>
        <v>-73.541446124283084</v>
      </c>
      <c r="AU59" s="467"/>
      <c r="AV59" s="467"/>
      <c r="AW59" s="467">
        <f>AW62*MODEL!AW5</f>
        <v>-80.251135530368273</v>
      </c>
      <c r="AX59" s="467"/>
      <c r="AY59" s="467"/>
      <c r="AZ59" s="467">
        <f>AZ62*MODEL!AZ5</f>
        <v>-87.622403165638246</v>
      </c>
      <c r="BA59" s="467"/>
      <c r="BB59" s="467"/>
      <c r="BC59" s="467">
        <f>BC62*MODEL!BC5</f>
        <v>-95.723187141117464</v>
      </c>
      <c r="BD59" s="467"/>
      <c r="BE59" s="467"/>
      <c r="BF59" s="467">
        <f>BF62*MODEL!BF5</f>
        <v>-104.62861676034919</v>
      </c>
      <c r="BG59" s="467"/>
      <c r="BH59" s="467"/>
      <c r="BI59" s="467">
        <f>BI62*MODEL!BI5</f>
        <v>-114.42179006358981</v>
      </c>
    </row>
    <row r="61" spans="1:62">
      <c r="A61" s="312" t="s">
        <v>1668</v>
      </c>
      <c r="B61" s="469">
        <f>B58/MODEL!B5</f>
        <v>-1.6717378998018682E-3</v>
      </c>
      <c r="C61" s="469">
        <f>C58/MODEL!C5</f>
        <v>-5.0644308142479312E-3</v>
      </c>
      <c r="D61" s="469">
        <f>D58/MODEL!D5</f>
        <v>-3.1647607114025484E-3</v>
      </c>
      <c r="E61" s="469">
        <f>E58/MODEL!E5</f>
        <v>-2.348148724734698E-3</v>
      </c>
      <c r="F61" s="469">
        <f>F58/MODEL!F5</f>
        <v>-1.2699578179202661E-2</v>
      </c>
      <c r="G61" s="469">
        <f>G58/MODEL!G5</f>
        <v>-6.5839092018370555E-3</v>
      </c>
      <c r="H61" s="469">
        <f>H58/MODEL!H5</f>
        <v>-5.3931798415426989E-3</v>
      </c>
      <c r="I61" s="469">
        <f>I58/MODEL!I5</f>
        <v>-9.6934880286361526E-3</v>
      </c>
      <c r="J61" s="469">
        <f>J58/MODEL!J5</f>
        <v>-7.2016284917634571E-3</v>
      </c>
      <c r="K61" s="469">
        <f>K58/MODEL!K5</f>
        <v>-7.5556940333385272E-3</v>
      </c>
      <c r="L61" s="469">
        <f>L58/MODEL!L5</f>
        <v>-7.0787836385897383E-3</v>
      </c>
      <c r="M61" s="469">
        <f>M58/MODEL!M5</f>
        <v>-7.3552576860552539E-3</v>
      </c>
      <c r="N61" s="469">
        <f>N58/MODEL!N5</f>
        <v>-2.7512173714902993E-3</v>
      </c>
      <c r="O61" s="469">
        <f>O58/MODEL!O5</f>
        <v>-1.0218145126609762E-2</v>
      </c>
      <c r="P61" s="469">
        <f>P58/MODEL!P5</f>
        <v>-5.7482829667438208E-3</v>
      </c>
      <c r="Q61" s="469">
        <f>Q58/MODEL!Q5</f>
        <v>-3.2731696824365307E-3</v>
      </c>
      <c r="R61" s="469" t="e">
        <f>R58/MODEL!#REF!</f>
        <v>#REF!</v>
      </c>
      <c r="S61" s="469">
        <f>S58/MODEL!S5</f>
        <v>-1.1668076706147772E-2</v>
      </c>
      <c r="T61" s="469">
        <f>T58/MODEL!T5</f>
        <v>-9.1329137373211845E-3</v>
      </c>
      <c r="U61" s="469"/>
      <c r="V61" s="469">
        <f>V58/MODEL!V5</f>
        <v>-1.3850694665193154E-2</v>
      </c>
      <c r="W61" s="469">
        <f>W58/MODEL!W5</f>
        <v>-1.6119986929143595E-2</v>
      </c>
      <c r="X61" s="469"/>
      <c r="Y61" s="469">
        <f>Y58/MODEL!Y5</f>
        <v>-1.6290924206842777E-2</v>
      </c>
      <c r="Z61" s="469">
        <f>Z58/MODEL!Z5</f>
        <v>-1.4286716791979952E-2</v>
      </c>
      <c r="AA61" s="469"/>
      <c r="AB61" s="1019">
        <f>AB58/MODEL!AB5</f>
        <v>-2.633342587402324E-2</v>
      </c>
      <c r="AC61" s="470">
        <f>Z61</f>
        <v>-1.4286716791979952E-2</v>
      </c>
      <c r="AD61" s="469"/>
      <c r="AE61" s="470">
        <v>-1.8499999999999999E-2</v>
      </c>
      <c r="AF61" s="470">
        <f>AC61</f>
        <v>-1.4286716791979952E-2</v>
      </c>
      <c r="AG61" s="469"/>
      <c r="AH61" s="470">
        <f>Y61</f>
        <v>-1.6290924206842777E-2</v>
      </c>
      <c r="AI61" s="470">
        <f>AF61</f>
        <v>-1.4286716791979952E-2</v>
      </c>
      <c r="AJ61" s="469"/>
      <c r="AK61" s="470">
        <f>AH61+0.02%</f>
        <v>-1.6090924206842779E-2</v>
      </c>
      <c r="AL61" s="470"/>
      <c r="AM61" s="470"/>
      <c r="AN61" s="470">
        <f>AK61</f>
        <v>-1.6090924206842779E-2</v>
      </c>
      <c r="AO61" s="470"/>
      <c r="AP61" s="470"/>
      <c r="AQ61" s="470">
        <f>AN61</f>
        <v>-1.6090924206842779E-2</v>
      </c>
      <c r="AR61" s="470"/>
      <c r="AS61" s="470"/>
      <c r="AT61" s="470">
        <f>AQ61</f>
        <v>-1.6090924206842779E-2</v>
      </c>
      <c r="AU61" s="470"/>
      <c r="AV61" s="470"/>
      <c r="AW61" s="470">
        <f>AT61</f>
        <v>-1.6090924206842779E-2</v>
      </c>
      <c r="AX61" s="470"/>
      <c r="AY61" s="470"/>
      <c r="AZ61" s="470">
        <f>AW61</f>
        <v>-1.6090924206842779E-2</v>
      </c>
      <c r="BA61" s="470"/>
      <c r="BB61" s="470"/>
      <c r="BC61" s="470">
        <f>AZ61</f>
        <v>-1.6090924206842779E-2</v>
      </c>
      <c r="BD61" s="470"/>
      <c r="BE61" s="470"/>
      <c r="BF61" s="470">
        <f>BC61</f>
        <v>-1.6090924206842779E-2</v>
      </c>
      <c r="BG61" s="470"/>
      <c r="BH61" s="470"/>
      <c r="BI61" s="470">
        <f t="shared" ref="BI61" si="194">BF61</f>
        <v>-1.6090924206842779E-2</v>
      </c>
    </row>
    <row r="62" spans="1:62">
      <c r="A62" s="312" t="s">
        <v>1669</v>
      </c>
      <c r="B62" s="469">
        <f>B59/MODEL!B5</f>
        <v>-2.5580243419190494E-2</v>
      </c>
      <c r="C62" s="469">
        <f>C59/MODEL!C5</f>
        <v>-3.2746234501903851E-2</v>
      </c>
      <c r="D62" s="469">
        <f>D59/MODEL!D5</f>
        <v>-2.8733782045884903E-2</v>
      </c>
      <c r="E62" s="469">
        <f>E59/MODEL!E5</f>
        <v>-1.4296463506395785E-2</v>
      </c>
      <c r="F62" s="469">
        <f>F59/MODEL!F5</f>
        <v>-3.6188178528347409E-2</v>
      </c>
      <c r="G62" s="469">
        <f>G59/MODEL!G5</f>
        <v>-2.3254459276337167E-2</v>
      </c>
      <c r="H62" s="469">
        <f>H59/MODEL!H5</f>
        <v>-1.9631174623215421E-2</v>
      </c>
      <c r="I62" s="469">
        <f>I59/MODEL!I5</f>
        <v>-4.4925468403859872E-2</v>
      </c>
      <c r="J62" s="469">
        <f>J59/MODEL!J5</f>
        <v>-3.0268419549796238E-2</v>
      </c>
      <c r="K62" s="469">
        <f>K59/MODEL!K5</f>
        <v>-2.7342518757902591E-2</v>
      </c>
      <c r="L62" s="469">
        <f>L59/MODEL!L5</f>
        <v>-4.0673646335673767E-2</v>
      </c>
      <c r="M62" s="469">
        <f>M59/MODEL!M5</f>
        <v>-3.2945337539538183E-2</v>
      </c>
      <c r="N62" s="469">
        <f>N59/MODEL!N5</f>
        <v>-2.2735520241702046E-2</v>
      </c>
      <c r="O62" s="469">
        <f>O59/MODEL!O5</f>
        <v>-1.7042129133356124E-2</v>
      </c>
      <c r="P62" s="469">
        <f>P59/MODEL!P5</f>
        <v>-2.0450314442108382E-2</v>
      </c>
      <c r="Q62" s="469">
        <f>Q59/MODEL!Q5</f>
        <v>-1.7139755013036911E-2</v>
      </c>
      <c r="R62" s="469" t="e">
        <f>R59/MODEL!#REF!</f>
        <v>#REF!</v>
      </c>
      <c r="S62" s="469">
        <f>S59/MODEL!S5</f>
        <v>-1.8430626057529608E-2</v>
      </c>
      <c r="T62" s="469">
        <f>T59/MODEL!T5</f>
        <v>-1.7675735390997944E-2</v>
      </c>
      <c r="U62" s="469"/>
      <c r="V62" s="469">
        <f>V59/MODEL!V5</f>
        <v>-2.2159488256769791E-2</v>
      </c>
      <c r="W62" s="469">
        <f>W59/MODEL!W5</f>
        <v>-1.8511158802073675E-2</v>
      </c>
      <c r="X62" s="469"/>
      <c r="Y62" s="469">
        <f>Y59/MODEL!Y5</f>
        <v>-2.4309915143402621E-2</v>
      </c>
      <c r="Z62" s="469">
        <f>Z59/MODEL!Z5</f>
        <v>-2.8919298245614039E-2</v>
      </c>
      <c r="AA62" s="469"/>
      <c r="AB62" s="1019">
        <f>AB59/MODEL!AB5</f>
        <v>-2.5274807535995088E-2</v>
      </c>
      <c r="AC62" s="470">
        <f>Z62</f>
        <v>-2.8919298245614039E-2</v>
      </c>
      <c r="AD62" s="469"/>
      <c r="AE62" s="470">
        <f>AB62</f>
        <v>-2.5274807535995088E-2</v>
      </c>
      <c r="AF62" s="470">
        <f>AC62</f>
        <v>-2.8919298245614039E-2</v>
      </c>
      <c r="AG62" s="469"/>
      <c r="AH62" s="470">
        <f>AE62+0.01%</f>
        <v>-2.5174807535995089E-2</v>
      </c>
      <c r="AI62" s="470">
        <f t="shared" ref="AI62:AM62" si="195">AF62+0.01%</f>
        <v>-2.881929824561404E-2</v>
      </c>
      <c r="AJ62" s="470">
        <f t="shared" si="195"/>
        <v>1E-4</v>
      </c>
      <c r="AK62" s="470">
        <f t="shared" si="195"/>
        <v>-2.507480753599509E-2</v>
      </c>
      <c r="AL62" s="470">
        <f t="shared" si="195"/>
        <v>-2.871929824561404E-2</v>
      </c>
      <c r="AM62" s="470">
        <f t="shared" si="195"/>
        <v>2.0000000000000001E-4</v>
      </c>
      <c r="AN62" s="470">
        <f>AK62+0.03%</f>
        <v>-2.4774807535995088E-2</v>
      </c>
      <c r="AO62" s="470">
        <f t="shared" ref="AO62:BI62" si="196">AL62+0.03%</f>
        <v>-2.8419298245614039E-2</v>
      </c>
      <c r="AP62" s="470">
        <f t="shared" si="196"/>
        <v>5.0000000000000001E-4</v>
      </c>
      <c r="AQ62" s="470">
        <f t="shared" si="196"/>
        <v>-2.4474807535995086E-2</v>
      </c>
      <c r="AR62" s="470">
        <f t="shared" si="196"/>
        <v>-2.8119298245614037E-2</v>
      </c>
      <c r="AS62" s="470">
        <f t="shared" si="196"/>
        <v>7.9999999999999993E-4</v>
      </c>
      <c r="AT62" s="470">
        <f t="shared" si="196"/>
        <v>-2.4174807535995085E-2</v>
      </c>
      <c r="AU62" s="470">
        <f t="shared" si="196"/>
        <v>-2.7819298245614035E-2</v>
      </c>
      <c r="AV62" s="470">
        <f t="shared" si="196"/>
        <v>1.0999999999999998E-3</v>
      </c>
      <c r="AW62" s="470">
        <f t="shared" si="196"/>
        <v>-2.3874807535995083E-2</v>
      </c>
      <c r="AX62" s="470">
        <f t="shared" si="196"/>
        <v>-2.7519298245614034E-2</v>
      </c>
      <c r="AY62" s="470">
        <f t="shared" si="196"/>
        <v>1.3999999999999998E-3</v>
      </c>
      <c r="AZ62" s="470">
        <f t="shared" si="196"/>
        <v>-2.3574807535995081E-2</v>
      </c>
      <c r="BA62" s="470">
        <f t="shared" si="196"/>
        <v>-2.7219298245614032E-2</v>
      </c>
      <c r="BB62" s="470">
        <f t="shared" si="196"/>
        <v>1.6999999999999997E-3</v>
      </c>
      <c r="BC62" s="470">
        <f t="shared" si="196"/>
        <v>-2.327480753599508E-2</v>
      </c>
      <c r="BD62" s="470">
        <f t="shared" si="196"/>
        <v>-2.691929824561403E-2</v>
      </c>
      <c r="BE62" s="470">
        <f t="shared" si="196"/>
        <v>1.9999999999999996E-3</v>
      </c>
      <c r="BF62" s="470">
        <f t="shared" si="196"/>
        <v>-2.2974807535995078E-2</v>
      </c>
      <c r="BG62" s="470">
        <f t="shared" si="196"/>
        <v>-2.6619298245614029E-2</v>
      </c>
      <c r="BH62" s="470">
        <f t="shared" si="196"/>
        <v>2.2999999999999995E-3</v>
      </c>
      <c r="BI62" s="470">
        <f t="shared" si="196"/>
        <v>-2.2674807535995076E-2</v>
      </c>
    </row>
    <row r="63" spans="1:62">
      <c r="A63" s="344" t="s">
        <v>2009</v>
      </c>
      <c r="B63" s="469"/>
      <c r="C63" s="469"/>
      <c r="D63" s="1160">
        <f>D61+D62</f>
        <v>-3.189854275728745E-2</v>
      </c>
      <c r="E63" s="1160">
        <f t="shared" ref="E63:BI63" si="197">E61+E62</f>
        <v>-1.6644612231130482E-2</v>
      </c>
      <c r="F63" s="1160">
        <f t="shared" si="197"/>
        <v>-4.8887756707550072E-2</v>
      </c>
      <c r="G63" s="1160">
        <f t="shared" si="197"/>
        <v>-2.9838368478174223E-2</v>
      </c>
      <c r="H63" s="1160">
        <f t="shared" si="197"/>
        <v>-2.502435446475812E-2</v>
      </c>
      <c r="I63" s="1160">
        <f t="shared" si="197"/>
        <v>-5.4618956432496021E-2</v>
      </c>
      <c r="J63" s="1160">
        <f t="shared" si="197"/>
        <v>-3.7470048041559692E-2</v>
      </c>
      <c r="K63" s="1160">
        <f t="shared" si="197"/>
        <v>-3.4898212791241119E-2</v>
      </c>
      <c r="L63" s="1160">
        <f t="shared" si="197"/>
        <v>-4.7752429974263502E-2</v>
      </c>
      <c r="M63" s="1160">
        <f t="shared" si="197"/>
        <v>-4.0300595225593434E-2</v>
      </c>
      <c r="N63" s="1160">
        <f t="shared" si="197"/>
        <v>-2.5486737613192346E-2</v>
      </c>
      <c r="O63" s="1160">
        <f t="shared" si="197"/>
        <v>-2.7260274259965887E-2</v>
      </c>
      <c r="P63" s="1160">
        <f t="shared" si="197"/>
        <v>-2.6198597408852203E-2</v>
      </c>
      <c r="Q63" s="1160">
        <f t="shared" si="197"/>
        <v>-2.0412924695473442E-2</v>
      </c>
      <c r="R63" s="1160" t="e">
        <f t="shared" si="197"/>
        <v>#REF!</v>
      </c>
      <c r="S63" s="1160">
        <f t="shared" si="197"/>
        <v>-3.009870276367738E-2</v>
      </c>
      <c r="T63" s="1160">
        <f t="shared" si="197"/>
        <v>-2.680864912831913E-2</v>
      </c>
      <c r="U63" s="1160">
        <f t="shared" si="197"/>
        <v>0</v>
      </c>
      <c r="V63" s="1160">
        <f t="shared" si="197"/>
        <v>-3.6010182921962945E-2</v>
      </c>
      <c r="W63" s="1160">
        <f t="shared" si="197"/>
        <v>-3.4631145731217269E-2</v>
      </c>
      <c r="X63" s="1160">
        <f t="shared" si="197"/>
        <v>0</v>
      </c>
      <c r="Y63" s="1160">
        <f t="shared" si="197"/>
        <v>-4.0600839350245402E-2</v>
      </c>
      <c r="Z63" s="1160">
        <f t="shared" si="197"/>
        <v>-4.3206015037593991E-2</v>
      </c>
      <c r="AA63" s="1160">
        <f t="shared" si="197"/>
        <v>0</v>
      </c>
      <c r="AB63" s="1160">
        <f t="shared" si="197"/>
        <v>-5.1608233410018328E-2</v>
      </c>
      <c r="AC63" s="1160">
        <f t="shared" si="197"/>
        <v>-4.3206015037593991E-2</v>
      </c>
      <c r="AD63" s="1160">
        <f t="shared" si="197"/>
        <v>0</v>
      </c>
      <c r="AE63" s="1160">
        <f t="shared" si="197"/>
        <v>-4.3774807535995088E-2</v>
      </c>
      <c r="AF63" s="1160">
        <f t="shared" si="197"/>
        <v>-4.3206015037593991E-2</v>
      </c>
      <c r="AG63" s="1160">
        <f t="shared" si="197"/>
        <v>0</v>
      </c>
      <c r="AH63" s="1160">
        <f t="shared" si="197"/>
        <v>-4.1465731742837866E-2</v>
      </c>
      <c r="AI63" s="1160">
        <f t="shared" si="197"/>
        <v>-4.3106015037593995E-2</v>
      </c>
      <c r="AJ63" s="1160">
        <f t="shared" si="197"/>
        <v>1E-4</v>
      </c>
      <c r="AK63" s="1160">
        <f t="shared" si="197"/>
        <v>-4.1165731742837872E-2</v>
      </c>
      <c r="AL63" s="1160">
        <f t="shared" si="197"/>
        <v>-2.871929824561404E-2</v>
      </c>
      <c r="AM63" s="1160">
        <f t="shared" si="197"/>
        <v>2.0000000000000001E-4</v>
      </c>
      <c r="AN63" s="1160">
        <f t="shared" si="197"/>
        <v>-4.0865731742837863E-2</v>
      </c>
      <c r="AO63" s="1160">
        <f t="shared" si="197"/>
        <v>-2.8419298245614039E-2</v>
      </c>
      <c r="AP63" s="1160">
        <f t="shared" si="197"/>
        <v>5.0000000000000001E-4</v>
      </c>
      <c r="AQ63" s="1160">
        <f t="shared" si="197"/>
        <v>-4.0565731742837868E-2</v>
      </c>
      <c r="AR63" s="1160">
        <f t="shared" si="197"/>
        <v>-2.8119298245614037E-2</v>
      </c>
      <c r="AS63" s="1160">
        <f t="shared" si="197"/>
        <v>7.9999999999999993E-4</v>
      </c>
      <c r="AT63" s="1160">
        <f t="shared" si="197"/>
        <v>-4.026573174283786E-2</v>
      </c>
      <c r="AU63" s="1160">
        <f t="shared" si="197"/>
        <v>-2.7819298245614035E-2</v>
      </c>
      <c r="AV63" s="1160">
        <f t="shared" si="197"/>
        <v>1.0999999999999998E-3</v>
      </c>
      <c r="AW63" s="1160">
        <f t="shared" si="197"/>
        <v>-3.9965731742837865E-2</v>
      </c>
      <c r="AX63" s="1160">
        <f t="shared" si="197"/>
        <v>-2.7519298245614034E-2</v>
      </c>
      <c r="AY63" s="1160">
        <f t="shared" si="197"/>
        <v>1.3999999999999998E-3</v>
      </c>
      <c r="AZ63" s="1160">
        <f t="shared" si="197"/>
        <v>-3.9665731742837856E-2</v>
      </c>
      <c r="BA63" s="1160">
        <f t="shared" si="197"/>
        <v>-2.7219298245614032E-2</v>
      </c>
      <c r="BB63" s="1160">
        <f t="shared" si="197"/>
        <v>1.6999999999999997E-3</v>
      </c>
      <c r="BC63" s="1160">
        <f t="shared" si="197"/>
        <v>-3.9365731742837862E-2</v>
      </c>
      <c r="BD63" s="1160">
        <f t="shared" si="197"/>
        <v>-2.691929824561403E-2</v>
      </c>
      <c r="BE63" s="1160">
        <f t="shared" si="197"/>
        <v>1.9999999999999996E-3</v>
      </c>
      <c r="BF63" s="1160">
        <f t="shared" si="197"/>
        <v>-3.9065731742837853E-2</v>
      </c>
      <c r="BG63" s="1160">
        <f t="shared" si="197"/>
        <v>-2.6619298245614029E-2</v>
      </c>
      <c r="BH63" s="1160">
        <f t="shared" si="197"/>
        <v>2.2999999999999995E-3</v>
      </c>
      <c r="BI63" s="1160">
        <f t="shared" si="197"/>
        <v>-3.8765731742837858E-2</v>
      </c>
    </row>
    <row r="64" spans="1:62">
      <c r="T64" s="314"/>
      <c r="W64" s="314"/>
      <c r="Z64" s="314"/>
    </row>
    <row r="65" spans="1:61">
      <c r="A65" s="314" t="s">
        <v>1834</v>
      </c>
      <c r="D65" s="469">
        <f>D11/MODEL!D5</f>
        <v>-4.6505638622957634E-3</v>
      </c>
      <c r="E65" s="469">
        <f>E11/MODEL!E5</f>
        <v>-4.1862539808122526E-3</v>
      </c>
      <c r="F65" s="469">
        <f>F11/MODEL!F5</f>
        <v>-6.6853570988587227E-3</v>
      </c>
      <c r="G65" s="469">
        <f>G11/MODEL!G5</f>
        <v>-5.2088762439679434E-3</v>
      </c>
      <c r="H65" s="469">
        <f>H11/MODEL!H5</f>
        <v>-5.1666288422035165E-3</v>
      </c>
      <c r="I65" s="469">
        <f>I11/MODEL!I5</f>
        <v>-7.3773341660408609E-3</v>
      </c>
      <c r="J65" s="469">
        <f>J11/MODEL!J5</f>
        <v>-6.0963173400950298E-3</v>
      </c>
      <c r="K65" s="469">
        <f>K11/MODEL!K5</f>
        <v>-4.8765112293807991E-3</v>
      </c>
      <c r="L65" s="469">
        <f>L11/MODEL!L5</f>
        <v>-7.2012193598360846E-3</v>
      </c>
      <c r="M65" s="469">
        <f>M11/MODEL!M5</f>
        <v>-5.8535417393021111E-3</v>
      </c>
      <c r="N65" s="469">
        <f>N11/MODEL!N5</f>
        <v>-4.022741146453096E-3</v>
      </c>
      <c r="O65" s="469">
        <f>O11/MODEL!O5</f>
        <v>-5.9953723612914591E-3</v>
      </c>
      <c r="P65" s="469">
        <f>P11/MODEL!P5</f>
        <v>-4.8145132567513063E-3</v>
      </c>
      <c r="Q65" s="469">
        <f>Q11/MODEL!Q5</f>
        <v>-3.3994985540465638E-3</v>
      </c>
      <c r="R65" s="469">
        <f>R11/MODEL!R5</f>
        <v>-1.2670892150123857E-2</v>
      </c>
      <c r="S65" s="469">
        <f>S11/MODEL!S5</f>
        <v>-6.9275239706711785E-3</v>
      </c>
      <c r="T65" s="469">
        <f>T11/MODEL!T5</f>
        <v>-5.1317740938314092E-3</v>
      </c>
      <c r="U65" s="469"/>
      <c r="V65" s="469">
        <f>V11/MODEL!V5</f>
        <v>-7.1847223706405037E-3</v>
      </c>
      <c r="W65" s="469">
        <f>W11/MODEL!W5</f>
        <v>-7.7254943521536008E-3</v>
      </c>
      <c r="X65" s="469"/>
      <c r="Y65" s="469">
        <f>Y11/MODEL!Y5</f>
        <v>-9.6268414299934702E-3</v>
      </c>
      <c r="Z65" s="469">
        <f>Z11/MODEL!Z5</f>
        <v>-8.1092731829573942E-3</v>
      </c>
      <c r="AA65" s="469"/>
      <c r="AB65" s="1019">
        <f>AB11/MODEL!AB5</f>
        <v>-9.7763049858212332E-3</v>
      </c>
      <c r="AC65" s="470">
        <f t="shared" ref="AC65" si="198">Z65</f>
        <v>-8.1092731829573942E-3</v>
      </c>
      <c r="AD65" s="469"/>
      <c r="AE65" s="470">
        <v>-1.0999999999999999E-2</v>
      </c>
      <c r="AF65" s="470">
        <f t="shared" ref="AF65" si="199">AC65</f>
        <v>-8.1092731829573942E-3</v>
      </c>
      <c r="AG65" s="469"/>
      <c r="AH65" s="470">
        <v>-1.0999999999999999E-2</v>
      </c>
      <c r="AI65" s="470">
        <f t="shared" ref="AI65" si="200">AF65</f>
        <v>-8.1092731829573942E-3</v>
      </c>
      <c r="AJ65" s="469"/>
      <c r="AK65" s="470">
        <f>AH65+0.05%</f>
        <v>-1.0499999999999999E-2</v>
      </c>
      <c r="AL65" s="470"/>
      <c r="AM65" s="470"/>
      <c r="AN65" s="470">
        <f>AK65+0.05%</f>
        <v>-9.9999999999999985E-3</v>
      </c>
      <c r="AO65" s="470"/>
      <c r="AP65" s="470"/>
      <c r="AQ65" s="470">
        <f>AN65+0.05%</f>
        <v>-9.499999999999998E-3</v>
      </c>
      <c r="AR65" s="470"/>
      <c r="AS65" s="470"/>
      <c r="AT65" s="470">
        <f>AQ65+0.05%</f>
        <v>-8.9999999999999976E-3</v>
      </c>
      <c r="AU65" s="470"/>
      <c r="AV65" s="470"/>
      <c r="AW65" s="470">
        <f>AT65</f>
        <v>-8.9999999999999976E-3</v>
      </c>
      <c r="AX65" s="470"/>
      <c r="AY65" s="470"/>
      <c r="AZ65" s="470">
        <f>AW65</f>
        <v>-8.9999999999999976E-3</v>
      </c>
      <c r="BA65" s="470"/>
      <c r="BB65" s="470"/>
      <c r="BC65" s="470">
        <f>AZ65</f>
        <v>-8.9999999999999976E-3</v>
      </c>
      <c r="BD65" s="470"/>
      <c r="BE65" s="470"/>
      <c r="BF65" s="470">
        <f>BC65</f>
        <v>-8.9999999999999976E-3</v>
      </c>
      <c r="BG65" s="470"/>
      <c r="BH65" s="470"/>
      <c r="BI65" s="470">
        <f t="shared" ref="BI65" si="201">BF65</f>
        <v>-8.9999999999999976E-3</v>
      </c>
    </row>
    <row r="66" spans="1:61">
      <c r="A66" s="314" t="s">
        <v>1835</v>
      </c>
      <c r="D66" s="469">
        <f>D37/MODEL!D5</f>
        <v>-1.3127896284336497E-2</v>
      </c>
      <c r="E66" s="469">
        <f>E37/MODEL!E5</f>
        <v>-1.2201488942308578E-2</v>
      </c>
      <c r="F66" s="469">
        <f>F37/MODEL!F5</f>
        <v>-2.1560902332170208E-2</v>
      </c>
      <c r="G66" s="469">
        <f>G37/MODEL!G5</f>
        <v>-1.6031320706126177E-2</v>
      </c>
      <c r="H66" s="469">
        <f>H37/MODEL!H5</f>
        <v>-1.3363201687054767E-2</v>
      </c>
      <c r="I66" s="469">
        <f>I37/MODEL!I5</f>
        <v>-1.9081069568674218E-2</v>
      </c>
      <c r="J66" s="469">
        <f>J37/MODEL!J5</f>
        <v>-1.5767789917193773E-2</v>
      </c>
      <c r="K66" s="469">
        <f>K37/MODEL!K5</f>
        <v>-1.1493857262414997E-2</v>
      </c>
      <c r="L66" s="469">
        <f>L37/MODEL!L5</f>
        <v>-1.8205442142874988E-2</v>
      </c>
      <c r="M66" s="469">
        <f>M37/MODEL!M5</f>
        <v>-1.4314608440693771E-2</v>
      </c>
      <c r="N66" s="469">
        <f>N37/MODEL!N5</f>
        <v>-1.656623273698388E-2</v>
      </c>
      <c r="O66" s="469">
        <f>O37/MODEL!O5</f>
        <v>-6.893428597337564E-3</v>
      </c>
      <c r="P66" s="469">
        <f>P37/MODEL!P5</f>
        <v>-1.2683775393442056E-2</v>
      </c>
      <c r="Q66" s="469">
        <f>Q37/MODEL!Q5</f>
        <v>-7.608479031137782E-3</v>
      </c>
      <c r="R66" s="469">
        <f>R37/MODEL!R5</f>
        <v>-1.1258624827425576E-2</v>
      </c>
      <c r="S66" s="469">
        <f>S37/MODEL!S5</f>
        <v>-8.9974619289340096E-3</v>
      </c>
      <c r="T66" s="469">
        <f>T37/MODEL!T5</f>
        <v>-8.6385426977793715E-3</v>
      </c>
      <c r="U66" s="469">
        <f>U37/MODEL!U5</f>
        <v>-1.6272567624550614E-2</v>
      </c>
      <c r="V66" s="469">
        <f>V37/MODEL!V5</f>
        <v>-1.1687094282657245E-2</v>
      </c>
      <c r="W66" s="469">
        <f>W37/MODEL!W5</f>
        <v>-1.1270301777813104E-2</v>
      </c>
      <c r="X66" s="469">
        <f>X37/MODEL!X5</f>
        <v>-2.0715461949034709E-2</v>
      </c>
      <c r="Y66" s="469">
        <f>Y37/MODEL!Y5</f>
        <v>-1.5124905800222615E-2</v>
      </c>
      <c r="Z66" s="469">
        <f>Z37/MODEL!Z5</f>
        <v>-1.3039598997493735E-2</v>
      </c>
      <c r="AA66" s="469">
        <f>AA37/MODEL!AA5</f>
        <v>-2.1188919513859192E-2</v>
      </c>
      <c r="AB66" s="1164">
        <f>AB37/MODEL!AB5</f>
        <v>-1.6398563909956143E-2</v>
      </c>
      <c r="AC66" s="1165">
        <f>AC37/MODEL!AC5</f>
        <v>-1.2366933495054411E-2</v>
      </c>
      <c r="AD66" s="1165">
        <f>AD37/MODEL!AD5</f>
        <v>-2.0562318807772779E-2</v>
      </c>
      <c r="AE66" s="470">
        <f>AB66+0.07%</f>
        <v>-1.5698563909956144E-2</v>
      </c>
      <c r="AF66" s="469">
        <f>AF37/MODEL!AF5</f>
        <v>-1.3314258576728615E-2</v>
      </c>
      <c r="AG66" s="469">
        <f>AG37/MODEL!AG5</f>
        <v>-1.8256573038368182E-2</v>
      </c>
      <c r="AH66" s="470">
        <f>AE66+0.03%</f>
        <v>-1.5398563909956144E-2</v>
      </c>
      <c r="AI66" s="469">
        <f>AI37/MODEL!AI5</f>
        <v>-1.3696364008111112E-2</v>
      </c>
      <c r="AJ66" s="469">
        <f>AJ37/MODEL!AJ5</f>
        <v>-1.7583912863318247E-2</v>
      </c>
      <c r="AK66" s="470">
        <f>AH66</f>
        <v>-1.5398563909956144E-2</v>
      </c>
      <c r="AL66" s="470"/>
      <c r="AM66" s="470"/>
      <c r="AN66" s="470">
        <f>AK66</f>
        <v>-1.5398563909956144E-2</v>
      </c>
      <c r="AO66" s="470"/>
      <c r="AP66" s="470"/>
      <c r="AQ66" s="470">
        <f>AN66</f>
        <v>-1.5398563909956144E-2</v>
      </c>
      <c r="AR66" s="470"/>
      <c r="AS66" s="470"/>
      <c r="AT66" s="470">
        <f>AQ66</f>
        <v>-1.5398563909956144E-2</v>
      </c>
      <c r="AU66" s="470"/>
      <c r="AV66" s="470"/>
      <c r="AW66" s="470">
        <f>AT66</f>
        <v>-1.5398563909956144E-2</v>
      </c>
      <c r="AX66" s="470"/>
      <c r="AY66" s="470"/>
      <c r="AZ66" s="470">
        <f>AW66</f>
        <v>-1.5398563909956144E-2</v>
      </c>
      <c r="BA66" s="470"/>
      <c r="BB66" s="470"/>
      <c r="BC66" s="470">
        <f>AZ66</f>
        <v>-1.5398563909956144E-2</v>
      </c>
      <c r="BD66" s="470"/>
      <c r="BE66" s="470"/>
      <c r="BF66" s="470">
        <f>BC66</f>
        <v>-1.5398563909956144E-2</v>
      </c>
      <c r="BG66" s="470"/>
      <c r="BH66" s="470"/>
      <c r="BI66" s="470">
        <f t="shared" ref="BI66:BI67" si="202">BF66</f>
        <v>-1.5398563909956144E-2</v>
      </c>
    </row>
    <row r="67" spans="1:61">
      <c r="A67" s="314" t="s">
        <v>1836</v>
      </c>
      <c r="D67" s="469">
        <f>D44/MODEL!D5</f>
        <v>0</v>
      </c>
      <c r="E67" s="469">
        <f>E44/MODEL!E5</f>
        <v>0</v>
      </c>
      <c r="F67" s="469">
        <f>F44/MODEL!F5</f>
        <v>0</v>
      </c>
      <c r="G67" s="469">
        <f>G44/MODEL!G5</f>
        <v>0</v>
      </c>
      <c r="H67" s="469">
        <f>H44/MODEL!H5</f>
        <v>0</v>
      </c>
      <c r="I67" s="469">
        <f>I44/MODEL!I5</f>
        <v>0</v>
      </c>
      <c r="J67" s="469">
        <f>J44/MODEL!J5</f>
        <v>0</v>
      </c>
      <c r="K67" s="469">
        <f>K44/MODEL!K5</f>
        <v>-5.6626946890952368E-3</v>
      </c>
      <c r="L67" s="469">
        <f>L44/MODEL!L5</f>
        <v>-8.1232353014667295E-3</v>
      </c>
      <c r="M67" s="469">
        <f>M44/MODEL!M5</f>
        <v>-6.6968130017096457E-3</v>
      </c>
      <c r="N67" s="469">
        <f>N44/MODEL!N5</f>
        <v>-4.4687651109902625E-3</v>
      </c>
      <c r="O67" s="469">
        <f>O44/MODEL!O5</f>
        <v>-6.1021388547970006E-3</v>
      </c>
      <c r="P67" s="469">
        <f>P44/MODEL!P5</f>
        <v>-5.1243665058741603E-3</v>
      </c>
      <c r="Q67" s="469">
        <f>Q44/MODEL!Q5</f>
        <v>-4.7071730899017703E-3</v>
      </c>
      <c r="R67" s="469">
        <f>R44/MODEL!R5</f>
        <v>-4.3392256242960874E-3</v>
      </c>
      <c r="S67" s="469">
        <f>S44/MODEL!S5</f>
        <v>-4.5671587547117835E-3</v>
      </c>
      <c r="T67" s="469">
        <f>T44/MODEL!T5</f>
        <v>-9.6284109067936059E-3</v>
      </c>
      <c r="U67" s="469">
        <f>U44/MODEL!U5</f>
        <v>-1.640804534439283E-2</v>
      </c>
      <c r="V67" s="469">
        <f>V44/MODEL!V5</f>
        <v>-1.2335700961885734E-2</v>
      </c>
      <c r="W67" s="469">
        <f>W44/MODEL!W5</f>
        <v>-1.2096613941658056E-2</v>
      </c>
      <c r="X67" s="469">
        <f>X44/MODEL!X5</f>
        <v>-1.7552557555408896E-2</v>
      </c>
      <c r="Y67" s="469">
        <f>Y44/MODEL!Y5</f>
        <v>-1.4323594944552034E-2</v>
      </c>
      <c r="Z67" s="469">
        <f>Z44/MODEL!Z5</f>
        <v>-1.1489223057644112E-2</v>
      </c>
      <c r="AA67" s="469">
        <f>AA44/MODEL!AA5</f>
        <v>-1.6392305392775971E-2</v>
      </c>
      <c r="AB67" s="1019">
        <f>AB44/MODEL!AB5</f>
        <v>-1.3510351295068642E-2</v>
      </c>
      <c r="AC67" s="469">
        <f>AC44/MODEL!AC5</f>
        <v>-1.1129664349251634E-2</v>
      </c>
      <c r="AD67" s="469">
        <f>AD44/MODEL!AD5</f>
        <v>-1.6247888495556438E-2</v>
      </c>
      <c r="AE67" s="470">
        <f>AB67+0.03%</f>
        <v>-1.3210351295068642E-2</v>
      </c>
      <c r="AF67" s="470">
        <f t="shared" ref="AF67:AJ67" si="203">AC67+0.03%</f>
        <v>-1.0829664349251634E-2</v>
      </c>
      <c r="AG67" s="470">
        <f t="shared" si="203"/>
        <v>-1.5947888495556437E-2</v>
      </c>
      <c r="AH67" s="470">
        <f t="shared" si="203"/>
        <v>-1.2910351295068642E-2</v>
      </c>
      <c r="AI67" s="470">
        <f t="shared" si="203"/>
        <v>-1.0529664349251634E-2</v>
      </c>
      <c r="AJ67" s="470">
        <f t="shared" si="203"/>
        <v>-1.5647888495556435E-2</v>
      </c>
      <c r="AK67" s="470">
        <f>AH67</f>
        <v>-1.2910351295068642E-2</v>
      </c>
      <c r="AL67" s="470">
        <f t="shared" ref="AL67:BH67" si="204">AI67</f>
        <v>-1.0529664349251634E-2</v>
      </c>
      <c r="AM67" s="470">
        <f t="shared" si="204"/>
        <v>-1.5647888495556435E-2</v>
      </c>
      <c r="AN67" s="470">
        <f t="shared" si="204"/>
        <v>-1.2910351295068642E-2</v>
      </c>
      <c r="AO67" s="470">
        <f t="shared" si="204"/>
        <v>-1.0529664349251634E-2</v>
      </c>
      <c r="AP67" s="470">
        <f t="shared" si="204"/>
        <v>-1.5647888495556435E-2</v>
      </c>
      <c r="AQ67" s="470">
        <f t="shared" si="204"/>
        <v>-1.2910351295068642E-2</v>
      </c>
      <c r="AR67" s="470">
        <f t="shared" si="204"/>
        <v>-1.0529664349251634E-2</v>
      </c>
      <c r="AS67" s="470">
        <f t="shared" si="204"/>
        <v>-1.5647888495556435E-2</v>
      </c>
      <c r="AT67" s="470">
        <f t="shared" si="204"/>
        <v>-1.2910351295068642E-2</v>
      </c>
      <c r="AU67" s="470">
        <f t="shared" si="204"/>
        <v>-1.0529664349251634E-2</v>
      </c>
      <c r="AV67" s="470">
        <f t="shared" si="204"/>
        <v>-1.5647888495556435E-2</v>
      </c>
      <c r="AW67" s="470">
        <f t="shared" si="204"/>
        <v>-1.2910351295068642E-2</v>
      </c>
      <c r="AX67" s="470">
        <f t="shared" si="204"/>
        <v>-1.0529664349251634E-2</v>
      </c>
      <c r="AY67" s="470">
        <f t="shared" si="204"/>
        <v>-1.5647888495556435E-2</v>
      </c>
      <c r="AZ67" s="470">
        <f t="shared" si="204"/>
        <v>-1.2910351295068642E-2</v>
      </c>
      <c r="BA67" s="470">
        <f t="shared" si="204"/>
        <v>-1.0529664349251634E-2</v>
      </c>
      <c r="BB67" s="470">
        <f t="shared" si="204"/>
        <v>-1.5647888495556435E-2</v>
      </c>
      <c r="BC67" s="470">
        <f t="shared" si="204"/>
        <v>-1.2910351295068642E-2</v>
      </c>
      <c r="BD67" s="470">
        <f t="shared" si="204"/>
        <v>-1.0529664349251634E-2</v>
      </c>
      <c r="BE67" s="470">
        <f t="shared" si="204"/>
        <v>-1.5647888495556435E-2</v>
      </c>
      <c r="BF67" s="470">
        <f t="shared" si="204"/>
        <v>-1.2910351295068642E-2</v>
      </c>
      <c r="BG67" s="470">
        <f t="shared" si="204"/>
        <v>-1.0529664349251634E-2</v>
      </c>
      <c r="BH67" s="470">
        <f t="shared" si="204"/>
        <v>-1.5647888495556435E-2</v>
      </c>
      <c r="BI67" s="470">
        <f t="shared" si="202"/>
        <v>-1.2910351295068642E-2</v>
      </c>
    </row>
    <row r="71" spans="1:61">
      <c r="Y71" s="467"/>
      <c r="AB71" s="897"/>
      <c r="AE71" s="467"/>
      <c r="AH71" s="467"/>
      <c r="AK71" s="467"/>
      <c r="AN71" s="467"/>
    </row>
  </sheetData>
  <pageMargins left="0.7" right="0.7" top="0.75" bottom="0.75" header="0.3" footer="0.3"/>
  <pageSetup paperSize="9" orientation="portrait" horizontalDpi="300" verticalDpi="300" r:id="rId1"/>
  <customProperties>
    <customPr name="Qube.Worksheet.Visibility" r:id="rId2"/>
  </customProperties>
  <ignoredErrors>
    <ignoredError sqref="S20:AH20 S7:AH7 P33:AH33 M48:AH51 M42:AH42 M55:P55" formula="1"/>
  </ignoredErrors>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theme="4"/>
  </sheetPr>
  <dimension ref="A1:BK15"/>
  <sheetViews>
    <sheetView workbookViewId="0">
      <selection activeCell="P19" sqref="P19"/>
    </sheetView>
  </sheetViews>
  <sheetFormatPr defaultColWidth="9.140625" defaultRowHeight="12.75" outlineLevelCol="1"/>
  <cols>
    <col min="1" max="1" width="38.85546875" style="314" customWidth="1"/>
    <col min="2" max="3" width="8.85546875" style="314" hidden="1" customWidth="1" outlineLevel="1"/>
    <col min="4" max="4" width="8.85546875" style="314" customWidth="1" collapsed="1"/>
    <col min="5" max="6" width="8.85546875" style="314" hidden="1" customWidth="1" outlineLevel="1"/>
    <col min="7" max="7" width="8.85546875" style="314" customWidth="1" collapsed="1"/>
    <col min="8" max="9" width="8.85546875" style="314" hidden="1" customWidth="1" outlineLevel="1"/>
    <col min="10" max="10" width="8.42578125" style="314" customWidth="1" collapsed="1"/>
    <col min="11" max="12" width="8.85546875" style="314" hidden="1" customWidth="1" outlineLevel="1"/>
    <col min="13" max="13" width="8.85546875" style="314" customWidth="1" collapsed="1"/>
    <col min="14" max="15" width="8.85546875" style="314" hidden="1" customWidth="1" outlineLevel="1"/>
    <col min="16" max="16" width="8.42578125" style="314" customWidth="1" collapsed="1"/>
    <col min="17" max="17" width="8.42578125" style="314" hidden="1" customWidth="1" outlineLevel="1"/>
    <col min="18" max="18" width="8.42578125" style="430" hidden="1" customWidth="1" outlineLevel="1"/>
    <col min="19" max="19" width="9.7109375" style="430" customWidth="1" collapsed="1"/>
    <col min="20" max="21" width="8.42578125" style="430" hidden="1" customWidth="1" outlineLevel="1"/>
    <col min="22" max="22" width="9.7109375" style="430" customWidth="1" collapsed="1"/>
    <col min="23" max="24" width="8.42578125" style="430" hidden="1" customWidth="1" outlineLevel="1"/>
    <col min="25" max="25" width="9.7109375" style="430" customWidth="1" collapsed="1"/>
    <col min="26" max="27" width="8.42578125" style="430" hidden="1" customWidth="1" outlineLevel="1"/>
    <col min="28" max="28" width="9.7109375" style="430" customWidth="1" collapsed="1"/>
    <col min="29" max="30" width="8.42578125" style="430" hidden="1" customWidth="1" outlineLevel="1"/>
    <col min="31" max="31" width="9.7109375" style="430" customWidth="1" collapsed="1"/>
    <col min="32" max="33" width="8.42578125" style="430" hidden="1" customWidth="1" outlineLevel="1"/>
    <col min="34" max="34" width="9.7109375" style="430" customWidth="1" collapsed="1"/>
    <col min="35" max="36" width="9.7109375" style="430" hidden="1" customWidth="1" outlineLevel="1"/>
    <col min="37" max="37" width="9.7109375" style="430" customWidth="1" collapsed="1"/>
    <col min="38" max="39" width="9.7109375" style="430" hidden="1" customWidth="1" outlineLevel="1"/>
    <col min="40" max="40" width="9.7109375" style="430" customWidth="1" collapsed="1"/>
    <col min="41" max="42" width="9.7109375" style="430" hidden="1" customWidth="1" outlineLevel="1"/>
    <col min="43" max="43" width="9.7109375" style="430" customWidth="1" collapsed="1"/>
    <col min="44" max="45" width="9.7109375" style="430" hidden="1" customWidth="1" outlineLevel="1"/>
    <col min="46" max="46" width="9.7109375" style="430" customWidth="1" collapsed="1"/>
    <col min="47" max="48" width="9.7109375" style="430" hidden="1" customWidth="1" outlineLevel="1"/>
    <col min="49" max="49" width="9.7109375" style="430" customWidth="1" collapsed="1"/>
    <col min="50" max="51" width="9.7109375" style="430" hidden="1" customWidth="1" outlineLevel="1"/>
    <col min="52" max="52" width="9.7109375" style="430" customWidth="1" collapsed="1"/>
    <col min="53" max="54" width="9.7109375" style="430" hidden="1" customWidth="1" outlineLevel="1"/>
    <col min="55" max="55" width="9.7109375" style="430" customWidth="1" collapsed="1"/>
    <col min="56" max="57" width="9.7109375" style="430" hidden="1" customWidth="1" outlineLevel="1"/>
    <col min="58" max="58" width="9.7109375" style="430" customWidth="1" collapsed="1"/>
    <col min="59" max="60" width="9.7109375" style="430" hidden="1" customWidth="1" outlineLevel="1"/>
    <col min="61" max="61" width="9.7109375" style="430" customWidth="1" collapsed="1"/>
    <col min="62" max="62" width="9.7109375" style="351" customWidth="1"/>
    <col min="63" max="63" width="8.7109375" style="346" customWidth="1"/>
    <col min="64" max="65" width="2.85546875" style="314" customWidth="1"/>
    <col min="66" max="16384" width="9.140625" style="314"/>
  </cols>
  <sheetData>
    <row r="1" spans="1:63">
      <c r="A1" s="714"/>
      <c r="B1" s="715" t="s">
        <v>1619</v>
      </c>
      <c r="C1" s="706" t="s">
        <v>1620</v>
      </c>
      <c r="D1" s="706" t="str">
        <f>MODEL!D2</f>
        <v>FY17</v>
      </c>
      <c r="E1" s="706" t="str">
        <f>MODEL!E2</f>
        <v>H1 18</v>
      </c>
      <c r="F1" s="706" t="str">
        <f>MODEL!F2</f>
        <v>H2 18</v>
      </c>
      <c r="G1" s="706" t="str">
        <f>MODEL!G2</f>
        <v>FY18</v>
      </c>
      <c r="H1" s="706" t="str">
        <f>MODEL!H2</f>
        <v>H1 19</v>
      </c>
      <c r="I1" s="706" t="str">
        <f>MODEL!I2</f>
        <v>H2 19</v>
      </c>
      <c r="J1" s="706" t="str">
        <f>MODEL!J2</f>
        <v>FY19</v>
      </c>
      <c r="K1" s="706" t="str">
        <f>MODEL!K2</f>
        <v>H1 20</v>
      </c>
      <c r="L1" s="706" t="str">
        <f>MODEL!L2</f>
        <v>H2 20</v>
      </c>
      <c r="M1" s="706" t="str">
        <f>MODEL!M2</f>
        <v>FY20</v>
      </c>
      <c r="N1" s="706" t="str">
        <f>MODEL!N2</f>
        <v>H1 21</v>
      </c>
      <c r="O1" s="706" t="str">
        <f>MODEL!O2</f>
        <v>H2 21</v>
      </c>
      <c r="P1" s="706" t="str">
        <f>MODEL!P2</f>
        <v>FY21</v>
      </c>
      <c r="Q1" s="706" t="str">
        <f>MODEL!Q2</f>
        <v>H1 22</v>
      </c>
      <c r="R1" s="706" t="str">
        <f>MODEL!R2</f>
        <v>H2 22e</v>
      </c>
      <c r="S1" s="706" t="str">
        <f>MODEL!S2</f>
        <v>FY22</v>
      </c>
      <c r="T1" s="706" t="str">
        <f>MODEL!T2</f>
        <v>H1 23</v>
      </c>
      <c r="U1" s="706" t="str">
        <f>MODEL!U2</f>
        <v>H2 23</v>
      </c>
      <c r="V1" s="706" t="str">
        <f>MODEL!V2</f>
        <v>FY23</v>
      </c>
      <c r="W1" s="706" t="str">
        <f>MODEL!W2</f>
        <v>H1 24</v>
      </c>
      <c r="X1" s="706" t="str">
        <f>MODEL!X2</f>
        <v>H2 24</v>
      </c>
      <c r="Y1" s="706" t="str">
        <f>MODEL!Y2</f>
        <v>FY24</v>
      </c>
      <c r="Z1" s="706" t="str">
        <f>MODEL!Z2</f>
        <v>H1 25</v>
      </c>
      <c r="AA1" s="706" t="str">
        <f>MODEL!AA2</f>
        <v>H2 25</v>
      </c>
      <c r="AB1" s="706" t="str">
        <f>MODEL!AB2</f>
        <v>FY25</v>
      </c>
      <c r="AC1" s="706" t="str">
        <f>MODEL!AC2</f>
        <v>H1 26</v>
      </c>
      <c r="AD1" s="706" t="str">
        <f>MODEL!AD2</f>
        <v>H2 26e</v>
      </c>
      <c r="AE1" s="706" t="str">
        <f>MODEL!AE2</f>
        <v>FY26e</v>
      </c>
      <c r="AF1" s="706" t="str">
        <f>MODEL!AF2</f>
        <v>H1 27e</v>
      </c>
      <c r="AG1" s="706" t="str">
        <f>MODEL!AG2</f>
        <v>H2 27e</v>
      </c>
      <c r="AH1" s="706" t="str">
        <f>MODEL!AH2</f>
        <v>FY27e</v>
      </c>
      <c r="AI1" s="706" t="str">
        <f>MODEL!AI2</f>
        <v>H1 28e</v>
      </c>
      <c r="AJ1" s="706" t="str">
        <f>MODEL!AJ2</f>
        <v>H2 28e</v>
      </c>
      <c r="AK1" s="706" t="str">
        <f>MODEL!AK2</f>
        <v>FY28e</v>
      </c>
      <c r="AL1" s="706" t="str">
        <f>MODEL!AL2</f>
        <v>H1 29e</v>
      </c>
      <c r="AM1" s="706" t="str">
        <f>MODEL!AM2</f>
        <v>H2 29e</v>
      </c>
      <c r="AN1" s="706" t="str">
        <f>MODEL!AN2</f>
        <v>FY29e</v>
      </c>
      <c r="AO1" s="706" t="str">
        <f>MODEL!AO2</f>
        <v>H1 30e</v>
      </c>
      <c r="AP1" s="706" t="str">
        <f>MODEL!AP2</f>
        <v>H2 30e</v>
      </c>
      <c r="AQ1" s="706" t="str">
        <f>MODEL!AQ2</f>
        <v>FY30e</v>
      </c>
      <c r="AR1" s="706" t="str">
        <f>MODEL!AR2</f>
        <v>H1 31e</v>
      </c>
      <c r="AS1" s="706" t="str">
        <f>MODEL!AS2</f>
        <v>H2 31e</v>
      </c>
      <c r="AT1" s="706" t="str">
        <f>MODEL!AT2</f>
        <v>FY31e</v>
      </c>
      <c r="AU1" s="706" t="str">
        <f>MODEL!AU2</f>
        <v>H1 32e</v>
      </c>
      <c r="AV1" s="706" t="str">
        <f>MODEL!AV2</f>
        <v>H2 32e</v>
      </c>
      <c r="AW1" s="706" t="str">
        <f>MODEL!AW2</f>
        <v>FY32e</v>
      </c>
      <c r="AX1" s="706" t="str">
        <f>MODEL!AX2</f>
        <v>H1 33e</v>
      </c>
      <c r="AY1" s="706" t="str">
        <f>MODEL!AY2</f>
        <v>H2 33e</v>
      </c>
      <c r="AZ1" s="706" t="str">
        <f>MODEL!AZ2</f>
        <v>FY33e</v>
      </c>
      <c r="BA1" s="706" t="str">
        <f>MODEL!BA2</f>
        <v>H1 34e</v>
      </c>
      <c r="BB1" s="706" t="str">
        <f>MODEL!BB2</f>
        <v>H2 34e</v>
      </c>
      <c r="BC1" s="706" t="str">
        <f>MODEL!BC2</f>
        <v>FY34e</v>
      </c>
      <c r="BD1" s="706" t="str">
        <f>MODEL!BD2</f>
        <v>H1 35e</v>
      </c>
      <c r="BE1" s="706" t="str">
        <f>MODEL!BE2</f>
        <v>H2 35e</v>
      </c>
      <c r="BF1" s="706" t="str">
        <f>MODEL!BF2</f>
        <v>FY35e</v>
      </c>
      <c r="BG1" s="706" t="str">
        <f>MODEL!BG2</f>
        <v>H1 36e</v>
      </c>
      <c r="BH1" s="706" t="str">
        <f>MODEL!BH2</f>
        <v>H2 36e</v>
      </c>
      <c r="BI1" s="706" t="str">
        <f>MODEL!BI2</f>
        <v>FY36e</v>
      </c>
      <c r="BJ1" s="349"/>
      <c r="BK1" s="345"/>
    </row>
    <row r="2" spans="1:63">
      <c r="A2" s="314" t="s">
        <v>1670</v>
      </c>
      <c r="B2" s="446">
        <f>10.362+13.487</f>
        <v>23.849</v>
      </c>
      <c r="C2" s="464">
        <f>B7</f>
        <v>31.346</v>
      </c>
      <c r="D2" s="464">
        <f>B2</f>
        <v>23.849</v>
      </c>
      <c r="E2" s="464">
        <f>D7</f>
        <v>35.841000000000001</v>
      </c>
      <c r="F2" s="464">
        <f>E7</f>
        <v>94.83</v>
      </c>
      <c r="G2" s="464">
        <f>D7</f>
        <v>35.841000000000001</v>
      </c>
      <c r="H2" s="464">
        <f>G7</f>
        <v>45.323999999999998</v>
      </c>
      <c r="I2" s="464">
        <f>H7</f>
        <v>65.727999999999994</v>
      </c>
      <c r="J2" s="464">
        <f>G7</f>
        <v>45.323999999999998</v>
      </c>
      <c r="K2" s="464">
        <f>J7</f>
        <v>47.283000000000001</v>
      </c>
      <c r="L2" s="464">
        <f>K7</f>
        <v>169.02</v>
      </c>
      <c r="M2" s="464">
        <f>J7</f>
        <v>47.283000000000001</v>
      </c>
      <c r="N2" s="464">
        <f>M7</f>
        <v>0</v>
      </c>
      <c r="O2" s="464">
        <f>N7</f>
        <v>14.776</v>
      </c>
      <c r="P2" s="464">
        <f>M7</f>
        <v>0</v>
      </c>
      <c r="Q2" s="464">
        <f>P7</f>
        <v>0</v>
      </c>
      <c r="R2" s="464">
        <f>Q7</f>
        <v>146.411</v>
      </c>
      <c r="S2" s="464">
        <f>P7</f>
        <v>0</v>
      </c>
      <c r="T2" s="467">
        <f>S7</f>
        <v>172.34899999999999</v>
      </c>
      <c r="U2" s="467">
        <f>T7</f>
        <v>327.375</v>
      </c>
      <c r="V2" s="464">
        <f>S7</f>
        <v>172.34899999999999</v>
      </c>
      <c r="W2" s="467">
        <f>V7</f>
        <v>205.44499999999994</v>
      </c>
      <c r="X2" s="467">
        <f>W7</f>
        <v>243.709</v>
      </c>
      <c r="Y2" s="985">
        <f>V7</f>
        <v>205.44499999999994</v>
      </c>
      <c r="Z2" s="467">
        <f>Y7</f>
        <v>84.165999999999954</v>
      </c>
      <c r="AA2" s="467">
        <f>Z7</f>
        <v>176.70599999999999</v>
      </c>
      <c r="AB2" s="985">
        <f>Y7</f>
        <v>84.165999999999954</v>
      </c>
      <c r="AC2" s="467">
        <f>AB7</f>
        <v>57.282999999999952</v>
      </c>
      <c r="AD2" s="467">
        <f>AC7</f>
        <v>197.28299999999996</v>
      </c>
      <c r="AE2" s="468">
        <f>AB7</f>
        <v>57.282999999999952</v>
      </c>
      <c r="AF2" s="467">
        <f>AE7</f>
        <v>137.28299999999996</v>
      </c>
      <c r="AG2" s="467">
        <f>AF7</f>
        <v>137.28299999999996</v>
      </c>
      <c r="AH2" s="468">
        <f>AE7</f>
        <v>137.28299999999996</v>
      </c>
      <c r="AI2" s="468"/>
      <c r="AJ2" s="468"/>
      <c r="AK2" s="468">
        <f>AH7</f>
        <v>77.282999999999959</v>
      </c>
      <c r="AL2" s="468"/>
      <c r="AM2" s="468"/>
      <c r="AN2" s="468">
        <f>AK7</f>
        <v>77.282999999999959</v>
      </c>
      <c r="AO2" s="468"/>
      <c r="AP2" s="468"/>
      <c r="AQ2" s="468">
        <f>AN7</f>
        <v>77.282999999999959</v>
      </c>
      <c r="AR2" s="468"/>
      <c r="AS2" s="468"/>
      <c r="AT2" s="468">
        <f>AQ7</f>
        <v>77.282999999999959</v>
      </c>
      <c r="AU2" s="468"/>
      <c r="AV2" s="468"/>
      <c r="AW2" s="468">
        <f>AT7</f>
        <v>77.282999999999959</v>
      </c>
      <c r="AX2" s="468"/>
      <c r="AY2" s="468"/>
      <c r="AZ2" s="468">
        <f>AW7</f>
        <v>77.282999999999959</v>
      </c>
      <c r="BA2" s="468"/>
      <c r="BB2" s="468"/>
      <c r="BC2" s="468">
        <f>AZ7</f>
        <v>77.282999999999959</v>
      </c>
      <c r="BD2" s="468"/>
      <c r="BE2" s="468"/>
      <c r="BF2" s="468">
        <f>BC7</f>
        <v>77.282999999999959</v>
      </c>
      <c r="BG2" s="468"/>
      <c r="BH2" s="468"/>
      <c r="BI2" s="468">
        <f t="shared" ref="BI2" si="0">BF7</f>
        <v>77.282999999999959</v>
      </c>
    </row>
    <row r="3" spans="1:63">
      <c r="A3" s="314" t="s">
        <v>1671</v>
      </c>
      <c r="B3" s="446">
        <v>15.189</v>
      </c>
      <c r="C3" s="464">
        <f>D3-B3</f>
        <v>17.326000000000001</v>
      </c>
      <c r="D3" s="446">
        <v>32.515000000000001</v>
      </c>
      <c r="E3" s="446">
        <v>63.484000000000002</v>
      </c>
      <c r="F3" s="464">
        <f>G3-E3</f>
        <v>13.145999999999994</v>
      </c>
      <c r="G3" s="446">
        <v>76.63</v>
      </c>
      <c r="H3" s="446">
        <v>83.366</v>
      </c>
      <c r="I3" s="464">
        <f>J3-H3</f>
        <v>16.210999999999999</v>
      </c>
      <c r="J3" s="446">
        <v>99.576999999999998</v>
      </c>
      <c r="K3" s="446">
        <v>179.18799999999999</v>
      </c>
      <c r="L3" s="464">
        <f>M3-K3</f>
        <v>23.416000000000025</v>
      </c>
      <c r="M3" s="446">
        <v>202.60400000000001</v>
      </c>
      <c r="N3" s="446">
        <v>51.33</v>
      </c>
      <c r="O3" s="464">
        <f>P3-N3</f>
        <v>5.2169999999999987</v>
      </c>
      <c r="P3" s="446">
        <v>56.546999999999997</v>
      </c>
      <c r="Q3" s="446">
        <v>153.386</v>
      </c>
      <c r="R3" s="467">
        <f>S3-Q3</f>
        <v>131.60299999999998</v>
      </c>
      <c r="S3" s="514">
        <v>284.98899999999998</v>
      </c>
      <c r="T3" s="514">
        <v>316.54899999999998</v>
      </c>
      <c r="U3" s="467">
        <f>V3-T3</f>
        <v>82.922000000000025</v>
      </c>
      <c r="V3" s="514">
        <v>399.471</v>
      </c>
      <c r="W3" s="514">
        <f>180.397</f>
        <v>180.39699999999999</v>
      </c>
      <c r="X3" s="467">
        <f>Y3-W3</f>
        <v>21.63900000000001</v>
      </c>
      <c r="Y3" s="984">
        <v>202.036</v>
      </c>
      <c r="Z3" s="514">
        <v>224.863</v>
      </c>
      <c r="AA3" s="467">
        <f>AB3-Z3</f>
        <v>66.564000000000021</v>
      </c>
      <c r="AB3" s="984">
        <v>291.42700000000002</v>
      </c>
      <c r="AC3" s="472">
        <v>260</v>
      </c>
      <c r="AD3" s="467">
        <f>AE3-AC3</f>
        <v>0</v>
      </c>
      <c r="AE3" s="472">
        <v>260</v>
      </c>
      <c r="AF3" s="472">
        <v>100</v>
      </c>
      <c r="AG3" s="467">
        <f>AH3-AF3</f>
        <v>0</v>
      </c>
      <c r="AH3" s="472">
        <v>100</v>
      </c>
      <c r="AI3" s="472"/>
      <c r="AJ3" s="472"/>
      <c r="AK3" s="472">
        <v>0</v>
      </c>
      <c r="AL3" s="472"/>
      <c r="AM3" s="472"/>
      <c r="AN3" s="472">
        <v>0</v>
      </c>
      <c r="AO3" s="472"/>
      <c r="AP3" s="472"/>
      <c r="AQ3" s="472">
        <v>0</v>
      </c>
      <c r="AR3" s="472"/>
      <c r="AS3" s="472"/>
      <c r="AT3" s="472">
        <v>0</v>
      </c>
      <c r="AU3" s="472"/>
      <c r="AV3" s="472"/>
      <c r="AW3" s="472">
        <v>0</v>
      </c>
      <c r="AX3" s="472"/>
      <c r="AY3" s="472"/>
      <c r="AZ3" s="472">
        <v>0</v>
      </c>
      <c r="BA3" s="472"/>
      <c r="BB3" s="472"/>
      <c r="BC3" s="472">
        <v>0</v>
      </c>
      <c r="BD3" s="472"/>
      <c r="BE3" s="472"/>
      <c r="BF3" s="472">
        <v>0</v>
      </c>
      <c r="BG3" s="472"/>
      <c r="BH3" s="472"/>
      <c r="BI3" s="472">
        <v>0</v>
      </c>
    </row>
    <row r="4" spans="1:63">
      <c r="A4" s="314" t="s">
        <v>1672</v>
      </c>
      <c r="B4" s="446">
        <v>-7.7939999999999996</v>
      </c>
      <c r="C4" s="464">
        <f t="shared" ref="C4" si="1">D4-B4</f>
        <v>-11.718</v>
      </c>
      <c r="D4" s="446">
        <v>-19.512</v>
      </c>
      <c r="E4" s="446">
        <v>-4.1639999999999997</v>
      </c>
      <c r="F4" s="464">
        <f t="shared" ref="F4" si="2">G4-E4</f>
        <v>-64.411999999999992</v>
      </c>
      <c r="G4" s="446">
        <v>-68.575999999999993</v>
      </c>
      <c r="H4" s="446">
        <v>-64.676000000000002</v>
      </c>
      <c r="I4" s="464">
        <f t="shared" ref="I4" si="3">J4-H4</f>
        <v>-34.926999999999992</v>
      </c>
      <c r="J4" s="446">
        <v>-99.602999999999994</v>
      </c>
      <c r="K4" s="446">
        <v>-57.404000000000003</v>
      </c>
      <c r="L4" s="464">
        <f t="shared" ref="L4" si="4">M4-K4</f>
        <v>-196.3</v>
      </c>
      <c r="M4" s="446">
        <v>-253.70400000000001</v>
      </c>
      <c r="N4" s="446">
        <v>-35.209000000000003</v>
      </c>
      <c r="O4" s="464">
        <f t="shared" ref="O4" si="5">P4-N4</f>
        <v>-22.692999999999998</v>
      </c>
      <c r="P4" s="446">
        <v>-57.902000000000001</v>
      </c>
      <c r="Q4" s="446">
        <v>-7.3860000000000001</v>
      </c>
      <c r="R4" s="467">
        <f t="shared" ref="R4:R6" si="6">S4-Q4</f>
        <v>-108.682</v>
      </c>
      <c r="S4" s="514">
        <v>-116.068</v>
      </c>
      <c r="T4" s="514">
        <v>-181.399</v>
      </c>
      <c r="U4" s="467">
        <f t="shared" ref="U4:U6" si="7">V4-T4</f>
        <v>-205.81299999999999</v>
      </c>
      <c r="V4" s="514">
        <v>-387.21199999999999</v>
      </c>
      <c r="W4" s="514">
        <v>-136.77199999999999</v>
      </c>
      <c r="X4" s="467">
        <f t="shared" ref="X4" si="8">Y4-W4</f>
        <v>-185.95</v>
      </c>
      <c r="Y4" s="984">
        <v>-322.72199999999998</v>
      </c>
      <c r="Z4" s="514">
        <v>-141.61699999999999</v>
      </c>
      <c r="AA4" s="467">
        <f t="shared" ref="AA4" si="9">AB4-Z4</f>
        <v>-182.93800000000002</v>
      </c>
      <c r="AB4" s="984">
        <v>-324.55500000000001</v>
      </c>
      <c r="AC4" s="472">
        <v>-120</v>
      </c>
      <c r="AD4" s="467">
        <f t="shared" ref="AD4" si="10">AE4-AC4</f>
        <v>-60</v>
      </c>
      <c r="AE4" s="472">
        <v>-180</v>
      </c>
      <c r="AF4" s="472">
        <v>-100</v>
      </c>
      <c r="AG4" s="467">
        <f t="shared" ref="AG4" si="11">AH4-AF4</f>
        <v>-60</v>
      </c>
      <c r="AH4" s="472">
        <v>-160</v>
      </c>
      <c r="AI4" s="472"/>
      <c r="AJ4" s="472"/>
      <c r="AK4" s="472">
        <v>0</v>
      </c>
      <c r="AL4" s="472"/>
      <c r="AM4" s="472"/>
      <c r="AN4" s="472">
        <v>0</v>
      </c>
      <c r="AO4" s="472"/>
      <c r="AP4" s="472"/>
      <c r="AQ4" s="472">
        <v>0</v>
      </c>
      <c r="AR4" s="472"/>
      <c r="AS4" s="472"/>
      <c r="AT4" s="472">
        <v>0</v>
      </c>
      <c r="AU4" s="472"/>
      <c r="AV4" s="472"/>
      <c r="AW4" s="472">
        <v>0</v>
      </c>
      <c r="AX4" s="472"/>
      <c r="AY4" s="472"/>
      <c r="AZ4" s="472">
        <v>0</v>
      </c>
      <c r="BA4" s="472"/>
      <c r="BB4" s="472"/>
      <c r="BC4" s="472">
        <v>0</v>
      </c>
      <c r="BD4" s="472"/>
      <c r="BE4" s="472"/>
      <c r="BF4" s="472">
        <v>0</v>
      </c>
      <c r="BG4" s="472"/>
      <c r="BH4" s="472"/>
      <c r="BI4" s="472">
        <v>0</v>
      </c>
    </row>
    <row r="5" spans="1:63">
      <c r="A5" s="314" t="s">
        <v>1143</v>
      </c>
      <c r="T5" s="430">
        <f>12.349</f>
        <v>12.349</v>
      </c>
      <c r="U5" s="430">
        <f>V5-T5</f>
        <v>0</v>
      </c>
      <c r="V5" s="818">
        <v>12.349</v>
      </c>
      <c r="Y5" s="984"/>
      <c r="AB5" s="984"/>
    </row>
    <row r="6" spans="1:63">
      <c r="A6" s="314" t="s">
        <v>1673</v>
      </c>
      <c r="B6" s="464">
        <f>B7-SUM(B2:B4)</f>
        <v>0.10200000000000387</v>
      </c>
      <c r="C6" s="464">
        <f>D6-B6</f>
        <v>-1.1130000000000067</v>
      </c>
      <c r="D6" s="464">
        <f>D7-SUM(D2:D4)</f>
        <v>-1.0110000000000028</v>
      </c>
      <c r="E6" s="464">
        <f t="shared" ref="E6:J6" si="12">E7-SUM(E2:E4)</f>
        <v>-0.33100000000000307</v>
      </c>
      <c r="F6" s="464">
        <f t="shared" si="12"/>
        <v>1.7599999999999909</v>
      </c>
      <c r="G6" s="464">
        <f t="shared" si="12"/>
        <v>1.4289999999999878</v>
      </c>
      <c r="H6" s="464">
        <f t="shared" si="12"/>
        <v>1.7139999999999986</v>
      </c>
      <c r="I6" s="464">
        <f t="shared" si="12"/>
        <v>0.2710000000000008</v>
      </c>
      <c r="J6" s="464">
        <f t="shared" si="12"/>
        <v>1.9849999999999852</v>
      </c>
      <c r="K6" s="464">
        <f t="shared" ref="K6" si="13">K7-SUM(K2:K4)</f>
        <v>-4.6999999999997044E-2</v>
      </c>
      <c r="L6" s="464">
        <f t="shared" ref="L6" si="14">L7-SUM(L2:L4)</f>
        <v>3.8639999999999759</v>
      </c>
      <c r="M6" s="464">
        <f t="shared" ref="M6" si="15">M7-SUM(M2:M4)</f>
        <v>3.8170000000000073</v>
      </c>
      <c r="N6" s="464">
        <f t="shared" ref="N6" si="16">N7-SUM(N2:N4)</f>
        <v>-1.3449999999999953</v>
      </c>
      <c r="O6" s="464">
        <f t="shared" ref="O6" si="17">O7-SUM(O2:O4)</f>
        <v>2.6999999999999993</v>
      </c>
      <c r="P6" s="464">
        <f t="shared" ref="P6:S6" si="18">P7-SUM(P2:P4)</f>
        <v>1.355000000000004</v>
      </c>
      <c r="Q6" s="464">
        <f>Q7-SUM(Q2:Q4)</f>
        <v>0.41100000000000136</v>
      </c>
      <c r="R6" s="467">
        <f t="shared" si="6"/>
        <v>3.0169999999999959</v>
      </c>
      <c r="S6" s="464">
        <f t="shared" si="18"/>
        <v>3.4279999999999973</v>
      </c>
      <c r="T6" s="472">
        <f>T7-SUM(T2:T5)</f>
        <v>7.5270000000000437</v>
      </c>
      <c r="U6" s="467">
        <f t="shared" si="7"/>
        <v>0.96099999999995589</v>
      </c>
      <c r="V6" s="446">
        <v>8.4879999999999995</v>
      </c>
      <c r="W6" s="411">
        <f>W7-SUM(W2:W5)</f>
        <v>-5.3609999999999332</v>
      </c>
      <c r="X6" s="467">
        <f t="shared" ref="X6" si="19">Y6-W6</f>
        <v>4.7679999999999332</v>
      </c>
      <c r="Y6" s="986">
        <v>-0.59299999999999997</v>
      </c>
      <c r="Z6" s="411">
        <f>Z7-SUM(Z2:Z5)</f>
        <v>9.2940000000000396</v>
      </c>
      <c r="AA6" s="467">
        <f t="shared" ref="AA6" si="20">AB6-Z6</f>
        <v>-3.0490000000000395</v>
      </c>
      <c r="AB6" s="986">
        <v>6.2450000000000001</v>
      </c>
      <c r="AC6" s="472">
        <v>0</v>
      </c>
      <c r="AD6" s="467">
        <f t="shared" ref="AD6" si="21">AE6-AC6</f>
        <v>0</v>
      </c>
      <c r="AE6" s="472">
        <v>0</v>
      </c>
      <c r="AF6" s="472">
        <v>0</v>
      </c>
      <c r="AG6" s="467">
        <f t="shared" ref="AG6" si="22">AH6-AF6</f>
        <v>0</v>
      </c>
      <c r="AH6" s="472">
        <v>0</v>
      </c>
      <c r="AI6" s="472"/>
      <c r="AJ6" s="472"/>
      <c r="AK6" s="472">
        <v>0</v>
      </c>
      <c r="AL6" s="472"/>
      <c r="AM6" s="472"/>
      <c r="AN6" s="472">
        <v>0</v>
      </c>
      <c r="AO6" s="472"/>
      <c r="AP6" s="472"/>
      <c r="AQ6" s="472">
        <v>0</v>
      </c>
      <c r="AR6" s="472"/>
      <c r="AS6" s="472"/>
      <c r="AT6" s="472">
        <v>0</v>
      </c>
      <c r="AU6" s="472"/>
      <c r="AV6" s="472"/>
      <c r="AW6" s="472">
        <v>0</v>
      </c>
      <c r="AX6" s="472"/>
      <c r="AY6" s="472"/>
      <c r="AZ6" s="472">
        <v>0</v>
      </c>
      <c r="BA6" s="472"/>
      <c r="BB6" s="472"/>
      <c r="BC6" s="472">
        <v>0</v>
      </c>
      <c r="BD6" s="472"/>
      <c r="BE6" s="472"/>
      <c r="BF6" s="472">
        <v>0</v>
      </c>
      <c r="BG6" s="472"/>
      <c r="BH6" s="472"/>
      <c r="BI6" s="472">
        <v>0</v>
      </c>
    </row>
    <row r="7" spans="1:63">
      <c r="A7" s="314" t="s">
        <v>1674</v>
      </c>
      <c r="B7" s="464">
        <f>MODEL!B156+MODEL!B165</f>
        <v>31.346</v>
      </c>
      <c r="C7" s="464">
        <f>MODEL!C156+MODEL!C165</f>
        <v>35.841000000000001</v>
      </c>
      <c r="D7" s="464">
        <f>MODEL!D156+MODEL!D165</f>
        <v>35.841000000000001</v>
      </c>
      <c r="E7" s="464">
        <f>MODEL!E156+MODEL!E165</f>
        <v>94.83</v>
      </c>
      <c r="F7" s="464">
        <f>MODEL!F156+MODEL!F165</f>
        <v>45.323999999999998</v>
      </c>
      <c r="G7" s="464">
        <f>MODEL!G156+MODEL!G165</f>
        <v>45.323999999999998</v>
      </c>
      <c r="H7" s="464">
        <f>MODEL!H156+MODEL!H165</f>
        <v>65.727999999999994</v>
      </c>
      <c r="I7" s="464">
        <f>MODEL!I156+MODEL!I165</f>
        <v>47.283000000000001</v>
      </c>
      <c r="J7" s="464">
        <f>MODEL!J156+MODEL!J165</f>
        <v>47.283000000000001</v>
      </c>
      <c r="K7" s="464">
        <f>MODEL!K156+MODEL!K165</f>
        <v>169.02</v>
      </c>
      <c r="L7" s="464">
        <f>MODEL!L156+MODEL!L165</f>
        <v>0</v>
      </c>
      <c r="M7" s="464">
        <f>MODEL!M156+MODEL!M165</f>
        <v>0</v>
      </c>
      <c r="N7" s="464">
        <f>MODEL!N156+MODEL!N165</f>
        <v>14.776</v>
      </c>
      <c r="O7" s="464">
        <f>MODEL!O156+MODEL!O165</f>
        <v>0</v>
      </c>
      <c r="P7" s="464">
        <f>MODEL!P156+MODEL!P165</f>
        <v>0</v>
      </c>
      <c r="Q7" s="464">
        <f>MODEL!Q156+MODEL!Q165</f>
        <v>146.411</v>
      </c>
      <c r="R7" s="467">
        <f>SUM(R2:R6)</f>
        <v>172.34899999999999</v>
      </c>
      <c r="S7" s="464">
        <f>MODEL!S156+MODEL!S165</f>
        <v>172.34899999999999</v>
      </c>
      <c r="T7" s="464">
        <f>MODEL!T156+MODEL!T165</f>
        <v>327.375</v>
      </c>
      <c r="U7" s="467">
        <f t="shared" ref="U7" si="23">SUM(U2:U6)</f>
        <v>205.44499999999999</v>
      </c>
      <c r="V7" s="464">
        <f>SUM(V2:V6)</f>
        <v>205.44499999999994</v>
      </c>
      <c r="W7" s="464">
        <f>MODEL!W156+MODEL!W165</f>
        <v>243.709</v>
      </c>
      <c r="X7" s="467">
        <f t="shared" ref="X7" si="24">SUM(X2:X6)</f>
        <v>84.165999999999954</v>
      </c>
      <c r="Y7" s="985">
        <f>SUM(Y2:Y6)</f>
        <v>84.165999999999954</v>
      </c>
      <c r="Z7" s="464">
        <f>MODEL!Z156+MODEL!Z165</f>
        <v>176.70599999999999</v>
      </c>
      <c r="AA7" s="467">
        <f t="shared" ref="AA7" si="25">SUM(AA2:AA6)</f>
        <v>57.282999999999952</v>
      </c>
      <c r="AB7" s="985">
        <f t="shared" ref="AB7:AD7" si="26">SUM(AB2:AB6)</f>
        <v>57.282999999999952</v>
      </c>
      <c r="AC7" s="467">
        <f t="shared" si="26"/>
        <v>197.28299999999996</v>
      </c>
      <c r="AD7" s="467">
        <f t="shared" si="26"/>
        <v>137.28299999999996</v>
      </c>
      <c r="AE7" s="467">
        <f t="shared" ref="AE7:AG7" si="27">SUM(AE2:AE6)</f>
        <v>137.28299999999996</v>
      </c>
      <c r="AF7" s="467">
        <f t="shared" si="27"/>
        <v>137.28299999999996</v>
      </c>
      <c r="AG7" s="467">
        <f t="shared" si="27"/>
        <v>77.282999999999959</v>
      </c>
      <c r="AH7" s="467">
        <f t="shared" ref="AH7" si="28">SUM(AH2:AH6)</f>
        <v>77.282999999999959</v>
      </c>
      <c r="AI7" s="467"/>
      <c r="AJ7" s="467"/>
      <c r="AK7" s="467">
        <f t="shared" ref="AK7" si="29">SUM(AK2:AK6)</f>
        <v>77.282999999999959</v>
      </c>
      <c r="AL7" s="467"/>
      <c r="AM7" s="467"/>
      <c r="AN7" s="467">
        <f t="shared" ref="AN7" si="30">SUM(AN2:AN6)</f>
        <v>77.282999999999959</v>
      </c>
      <c r="AO7" s="467"/>
      <c r="AP7" s="467"/>
      <c r="AQ7" s="467">
        <f t="shared" ref="AQ7" si="31">SUM(AQ2:AQ6)</f>
        <v>77.282999999999959</v>
      </c>
      <c r="AR7" s="467"/>
      <c r="AS7" s="467"/>
      <c r="AT7" s="467">
        <f t="shared" ref="AT7" si="32">SUM(AT2:AT6)</f>
        <v>77.282999999999959</v>
      </c>
      <c r="AU7" s="467"/>
      <c r="AV7" s="467"/>
      <c r="AW7" s="467">
        <f t="shared" ref="AW7:AZ7" si="33">SUM(AW2:AW6)</f>
        <v>77.282999999999959</v>
      </c>
      <c r="AX7" s="467"/>
      <c r="AY7" s="467"/>
      <c r="AZ7" s="467">
        <f t="shared" si="33"/>
        <v>77.282999999999959</v>
      </c>
      <c r="BA7" s="467"/>
      <c r="BB7" s="467"/>
      <c r="BC7" s="467">
        <f t="shared" ref="BC7:BF7" si="34">SUM(BC2:BC6)</f>
        <v>77.282999999999959</v>
      </c>
      <c r="BD7" s="467"/>
      <c r="BE7" s="467"/>
      <c r="BF7" s="467">
        <f t="shared" si="34"/>
        <v>77.282999999999959</v>
      </c>
      <c r="BG7" s="467"/>
      <c r="BH7" s="467"/>
      <c r="BI7" s="467">
        <f t="shared" ref="BI7" si="35">SUM(BI2:BI6)</f>
        <v>77.282999999999959</v>
      </c>
    </row>
    <row r="9" spans="1:63" s="315" customFormat="1">
      <c r="A9" s="315" t="s">
        <v>1675</v>
      </c>
      <c r="B9" s="381">
        <f>MODEL!B156</f>
        <v>31.346</v>
      </c>
      <c r="C9" s="381">
        <f>MODEL!C156</f>
        <v>0</v>
      </c>
      <c r="D9" s="381">
        <f>MODEL!D156</f>
        <v>0</v>
      </c>
      <c r="E9" s="381">
        <f>MODEL!E156</f>
        <v>94.83</v>
      </c>
      <c r="F9" s="381">
        <f>MODEL!F156</f>
        <v>0</v>
      </c>
      <c r="G9" s="381">
        <f>MODEL!G156</f>
        <v>0</v>
      </c>
      <c r="H9" s="381">
        <f>MODEL!H156</f>
        <v>65.727999999999994</v>
      </c>
      <c r="I9" s="381">
        <f>MODEL!I156</f>
        <v>0</v>
      </c>
      <c r="J9" s="381">
        <f>MODEL!J156</f>
        <v>0</v>
      </c>
      <c r="K9" s="381">
        <f>MODEL!K156</f>
        <v>169.02</v>
      </c>
      <c r="L9" s="381">
        <f>MODEL!L156</f>
        <v>0</v>
      </c>
      <c r="M9" s="381">
        <f>MODEL!M156</f>
        <v>0</v>
      </c>
      <c r="N9" s="381">
        <f>MODEL!N156</f>
        <v>14.776</v>
      </c>
      <c r="O9" s="381">
        <f>MODEL!O156</f>
        <v>0</v>
      </c>
      <c r="P9" s="381">
        <f>MODEL!P156</f>
        <v>0</v>
      </c>
      <c r="Q9" s="381">
        <f>MODEL!Q156</f>
        <v>0</v>
      </c>
      <c r="R9" s="471">
        <f>S9</f>
        <v>0</v>
      </c>
      <c r="S9" s="517">
        <v>0</v>
      </c>
      <c r="T9" s="517">
        <f>MODEL!T156</f>
        <v>80.992999999999995</v>
      </c>
      <c r="U9" s="471">
        <f>V9</f>
        <v>3.2450000000000001</v>
      </c>
      <c r="V9" s="516">
        <v>3.2450000000000001</v>
      </c>
      <c r="W9" s="517">
        <f>MODEL!W156</f>
        <v>102.068</v>
      </c>
      <c r="X9" s="471">
        <f>Y9</f>
        <v>2.7349999999999999</v>
      </c>
      <c r="Y9" s="516">
        <v>2.7349999999999999</v>
      </c>
      <c r="Z9" s="517">
        <f>MODEL!Z156</f>
        <v>78.388999999999996</v>
      </c>
      <c r="AA9" s="471">
        <f>AB9</f>
        <v>1.0489999999999999</v>
      </c>
      <c r="AB9" s="516">
        <v>1.0489999999999999</v>
      </c>
      <c r="AC9" s="517">
        <v>0</v>
      </c>
      <c r="AD9" s="471">
        <f>AE9</f>
        <v>0</v>
      </c>
      <c r="AE9" s="517">
        <v>0</v>
      </c>
      <c r="AF9" s="517">
        <v>0</v>
      </c>
      <c r="AG9" s="471">
        <f>AH9</f>
        <v>0</v>
      </c>
      <c r="AH9" s="517">
        <v>0</v>
      </c>
      <c r="AI9" s="517"/>
      <c r="AJ9" s="517"/>
      <c r="AK9" s="517">
        <v>0</v>
      </c>
      <c r="AL9" s="517"/>
      <c r="AM9" s="517"/>
      <c r="AN9" s="517">
        <v>0</v>
      </c>
      <c r="AO9" s="517"/>
      <c r="AP9" s="517"/>
      <c r="AQ9" s="517">
        <v>0</v>
      </c>
      <c r="AR9" s="517"/>
      <c r="AS9" s="517"/>
      <c r="AT9" s="517">
        <v>0</v>
      </c>
      <c r="AU9" s="517"/>
      <c r="AV9" s="517"/>
      <c r="AW9" s="517">
        <v>0</v>
      </c>
      <c r="AX9" s="517"/>
      <c r="AY9" s="517"/>
      <c r="AZ9" s="517">
        <v>0</v>
      </c>
      <c r="BA9" s="517"/>
      <c r="BB9" s="517"/>
      <c r="BC9" s="517">
        <v>0</v>
      </c>
      <c r="BD9" s="517"/>
      <c r="BE9" s="517"/>
      <c r="BF9" s="517">
        <v>0</v>
      </c>
      <c r="BG9" s="517"/>
      <c r="BH9" s="517"/>
      <c r="BI9" s="517">
        <v>0</v>
      </c>
      <c r="BJ9" s="466"/>
      <c r="BK9" s="346"/>
    </row>
    <row r="10" spans="1:63" s="315" customFormat="1">
      <c r="A10" s="315" t="s">
        <v>1676</v>
      </c>
      <c r="B10" s="381">
        <f>MODEL!B165</f>
        <v>0</v>
      </c>
      <c r="C10" s="381">
        <f>MODEL!C165</f>
        <v>35.841000000000001</v>
      </c>
      <c r="D10" s="381">
        <f>MODEL!D165</f>
        <v>35.841000000000001</v>
      </c>
      <c r="E10" s="381">
        <f>MODEL!E165</f>
        <v>0</v>
      </c>
      <c r="F10" s="381">
        <f>MODEL!F165</f>
        <v>45.323999999999998</v>
      </c>
      <c r="G10" s="381">
        <f>MODEL!G165</f>
        <v>45.323999999999998</v>
      </c>
      <c r="H10" s="381">
        <f>MODEL!H165</f>
        <v>0</v>
      </c>
      <c r="I10" s="381">
        <f>MODEL!I165</f>
        <v>47.283000000000001</v>
      </c>
      <c r="J10" s="381">
        <f>MODEL!J165</f>
        <v>47.283000000000001</v>
      </c>
      <c r="K10" s="381">
        <f>MODEL!K165</f>
        <v>0</v>
      </c>
      <c r="L10" s="381">
        <f>MODEL!L165</f>
        <v>0</v>
      </c>
      <c r="M10" s="381">
        <f>MODEL!M165</f>
        <v>0</v>
      </c>
      <c r="N10" s="381">
        <f>MODEL!N165</f>
        <v>0</v>
      </c>
      <c r="O10" s="381">
        <f>MODEL!O165</f>
        <v>0</v>
      </c>
      <c r="P10" s="381">
        <f>MODEL!P165</f>
        <v>0</v>
      </c>
      <c r="Q10" s="381">
        <f>MODEL!Q165</f>
        <v>146.411</v>
      </c>
      <c r="R10" s="471">
        <f t="shared" ref="R10" si="36">S10</f>
        <v>172.34899999999999</v>
      </c>
      <c r="S10" s="471">
        <f>S7-S9</f>
        <v>172.34899999999999</v>
      </c>
      <c r="T10" s="471">
        <f>T7-T9</f>
        <v>246.38200000000001</v>
      </c>
      <c r="U10" s="471">
        <f t="shared" ref="U10" si="37">V10</f>
        <v>202.19999999999993</v>
      </c>
      <c r="V10" s="471">
        <f>V7-V9</f>
        <v>202.19999999999993</v>
      </c>
      <c r="W10" s="471">
        <f>W7-W9</f>
        <v>141.64100000000002</v>
      </c>
      <c r="X10" s="471">
        <f t="shared" ref="X10" si="38">Y10</f>
        <v>81.430999999999955</v>
      </c>
      <c r="Y10" s="471">
        <f t="shared" ref="Y10:AT10" si="39">Y7-Y9</f>
        <v>81.430999999999955</v>
      </c>
      <c r="Z10" s="471">
        <f>Z7-Z9</f>
        <v>98.316999999999993</v>
      </c>
      <c r="AA10" s="471">
        <f t="shared" ref="AA10" si="40">AB10</f>
        <v>56.233999999999952</v>
      </c>
      <c r="AB10" s="471">
        <f t="shared" si="39"/>
        <v>56.233999999999952</v>
      </c>
      <c r="AC10" s="471">
        <f>AC7-AC9</f>
        <v>197.28299999999996</v>
      </c>
      <c r="AD10" s="471">
        <f t="shared" ref="AD10" si="41">AE10</f>
        <v>137.28299999999996</v>
      </c>
      <c r="AE10" s="471">
        <f t="shared" si="39"/>
        <v>137.28299999999996</v>
      </c>
      <c r="AF10" s="471">
        <f>AF7-AF9</f>
        <v>137.28299999999996</v>
      </c>
      <c r="AG10" s="471">
        <f t="shared" ref="AG10" si="42">AH10</f>
        <v>77.282999999999959</v>
      </c>
      <c r="AH10" s="471">
        <f t="shared" si="39"/>
        <v>77.282999999999959</v>
      </c>
      <c r="AI10" s="471"/>
      <c r="AJ10" s="471"/>
      <c r="AK10" s="471">
        <f t="shared" si="39"/>
        <v>77.282999999999959</v>
      </c>
      <c r="AL10" s="471"/>
      <c r="AM10" s="471"/>
      <c r="AN10" s="471">
        <f t="shared" si="39"/>
        <v>77.282999999999959</v>
      </c>
      <c r="AO10" s="471"/>
      <c r="AP10" s="471"/>
      <c r="AQ10" s="471">
        <f t="shared" si="39"/>
        <v>77.282999999999959</v>
      </c>
      <c r="AR10" s="471"/>
      <c r="AS10" s="471"/>
      <c r="AT10" s="471">
        <f t="shared" si="39"/>
        <v>77.282999999999959</v>
      </c>
      <c r="AU10" s="471"/>
      <c r="AV10" s="471"/>
      <c r="AW10" s="471">
        <f t="shared" ref="AW10:AZ10" si="43">AW7-AW9</f>
        <v>77.282999999999959</v>
      </c>
      <c r="AX10" s="471"/>
      <c r="AY10" s="471"/>
      <c r="AZ10" s="471">
        <f t="shared" si="43"/>
        <v>77.282999999999959</v>
      </c>
      <c r="BA10" s="471"/>
      <c r="BB10" s="471"/>
      <c r="BC10" s="471">
        <f t="shared" ref="BC10:BF10" si="44">BC7-BC9</f>
        <v>77.282999999999959</v>
      </c>
      <c r="BD10" s="471"/>
      <c r="BE10" s="471"/>
      <c r="BF10" s="471">
        <f t="shared" si="44"/>
        <v>77.282999999999959</v>
      </c>
      <c r="BG10" s="471"/>
      <c r="BH10" s="471"/>
      <c r="BI10" s="471">
        <f t="shared" ref="BI10" si="45">BI7-BI9</f>
        <v>77.282999999999959</v>
      </c>
      <c r="BJ10" s="466"/>
      <c r="BK10" s="346"/>
    </row>
    <row r="12" spans="1:63">
      <c r="A12" s="314" t="s">
        <v>1666</v>
      </c>
      <c r="B12" s="473">
        <f>-B13/AVERAGE(B2,B7)*2</f>
        <v>8.9863212247486182E-2</v>
      </c>
      <c r="C12" s="473">
        <f>C13/AVERAGE(C2,C7)*2</f>
        <v>7.3823805200410791E-2</v>
      </c>
      <c r="D12" s="473">
        <f>-D13/AVERAGE(D2,D7)</f>
        <v>8.1119115429720223E-2</v>
      </c>
      <c r="E12" s="473">
        <f>-E13/AVERAGE(E2,E7)*2</f>
        <v>6.2997910783570948E-2</v>
      </c>
      <c r="F12" s="473">
        <f>F13/AVERAGE(F2,F7)*2</f>
        <v>-4.3437932559898404E-2</v>
      </c>
      <c r="G12" s="473">
        <f>-G13/AVERAGE(G2,G7)</f>
        <v>8.8215363765169724E-2</v>
      </c>
      <c r="H12" s="473">
        <f>-H13/AVERAGE(H2,H7)*2</f>
        <v>6.2853438029031455E-2</v>
      </c>
      <c r="I12" s="473">
        <f>I13/AVERAGE(I2,I7)*2</f>
        <v>-6.1516135597419724E-2</v>
      </c>
      <c r="J12" s="473">
        <f>-J13/AVERAGE(J2,J7)</f>
        <v>7.5221095597525031E-2</v>
      </c>
      <c r="K12" s="473">
        <f>-K13/AVERAGE(K2,K7)*2</f>
        <v>6.4409647577703497E-2</v>
      </c>
      <c r="L12" s="473">
        <f>L13/AVERAGE(L2,L7)*2</f>
        <v>-7.8026269080582189E-2</v>
      </c>
      <c r="M12" s="474">
        <f>-M13/AVERAGE(M2,M7)</f>
        <v>0.28678383351310194</v>
      </c>
      <c r="N12" s="474">
        <f>-N13/AVERAGE(N2,N7)*2</f>
        <v>1.0584731997834325</v>
      </c>
      <c r="O12" s="474">
        <f>O13/AVERAGE(O2,O7)*2</f>
        <v>-1.0917704385489984</v>
      </c>
      <c r="P12" s="474" t="e">
        <f>-P13/AVERAGE(P2,P7)</f>
        <v>#DIV/0!</v>
      </c>
      <c r="Q12" s="703">
        <f>-Q13/AVERAGE(Q2,Q7)</f>
        <v>4.2537787461324625E-2</v>
      </c>
      <c r="S12" s="819">
        <f>-S13/AVERAGE(S2,S7)</f>
        <v>8.4305682075323907E-2</v>
      </c>
      <c r="T12" s="863">
        <f>-T13/AVERAGE(T2,T7)*2</f>
        <v>6.9894581809158654E-2</v>
      </c>
      <c r="U12" s="889">
        <f>-U13/AVERAGE(U2,U7)*2</f>
        <v>6.6266281295747173E-2</v>
      </c>
      <c r="V12" s="703">
        <f>-V13/AVERAGE(V2,V7)</f>
        <v>9.2955420149605367E-2</v>
      </c>
      <c r="W12" s="863">
        <f>-W13/AVERAGE(W2,W7)*2</f>
        <v>0.10186261282321876</v>
      </c>
      <c r="Y12" s="703">
        <f>-Y13/AVERAGE(Y2,Y7)</f>
        <v>0.12380054624996983</v>
      </c>
      <c r="Z12" s="863">
        <f>-Z13/AVERAGE(Z2,Z7)*2</f>
        <v>0.10796099236407129</v>
      </c>
      <c r="AB12" s="703">
        <f>-AB13/AVERAGE(AB2,AB7)</f>
        <v>0.17429603602711943</v>
      </c>
      <c r="AC12" s="475">
        <v>7.4999999999999997E-2</v>
      </c>
      <c r="AE12" s="475">
        <v>0.15</v>
      </c>
      <c r="AF12" s="475">
        <v>0.12</v>
      </c>
      <c r="AH12" s="475">
        <v>0.12</v>
      </c>
      <c r="AI12" s="475"/>
      <c r="AJ12" s="475"/>
      <c r="AK12" s="475">
        <v>0.11</v>
      </c>
      <c r="AL12" s="475"/>
      <c r="AM12" s="475"/>
      <c r="AN12" s="475">
        <f>AK12</f>
        <v>0.11</v>
      </c>
      <c r="AO12" s="475"/>
      <c r="AP12" s="475"/>
      <c r="AQ12" s="475">
        <f>AN12</f>
        <v>0.11</v>
      </c>
      <c r="AR12" s="475"/>
      <c r="AS12" s="475"/>
      <c r="AT12" s="475">
        <f>AQ12</f>
        <v>0.11</v>
      </c>
      <c r="AU12" s="475"/>
      <c r="AV12" s="475"/>
      <c r="AW12" s="475">
        <f>AT12</f>
        <v>0.11</v>
      </c>
      <c r="AX12" s="475"/>
      <c r="AY12" s="475"/>
      <c r="AZ12" s="475">
        <f>AW12</f>
        <v>0.11</v>
      </c>
      <c r="BA12" s="475"/>
      <c r="BB12" s="475"/>
      <c r="BC12" s="475">
        <f>AZ12</f>
        <v>0.11</v>
      </c>
      <c r="BD12" s="475"/>
      <c r="BE12" s="475"/>
      <c r="BF12" s="475">
        <f>BC12</f>
        <v>0.11</v>
      </c>
      <c r="BG12" s="475"/>
      <c r="BH12" s="475"/>
      <c r="BI12" s="475">
        <f t="shared" ref="BI12" si="46">BF12</f>
        <v>0.11</v>
      </c>
    </row>
    <row r="13" spans="1:63">
      <c r="A13" s="314" t="s">
        <v>1677</v>
      </c>
      <c r="B13" s="464">
        <f>MODEL!B118</f>
        <v>-1.24</v>
      </c>
      <c r="C13" s="464">
        <f>-B13</f>
        <v>1.24</v>
      </c>
      <c r="D13" s="464">
        <f>MODEL!D118</f>
        <v>-2.4209999999999998</v>
      </c>
      <c r="E13" s="464">
        <f>MODEL!E118</f>
        <v>-2.0579999999999998</v>
      </c>
      <c r="F13" s="464">
        <f>MODEL!F118</f>
        <v>-1.5220000000000002</v>
      </c>
      <c r="G13" s="464">
        <f>MODEL!G118</f>
        <v>-3.58</v>
      </c>
      <c r="H13" s="464">
        <f>MODEL!H118</f>
        <v>-1.7450000000000001</v>
      </c>
      <c r="I13" s="464">
        <f>MODEL!I118</f>
        <v>-1.738</v>
      </c>
      <c r="J13" s="464">
        <f>MODEL!J118</f>
        <v>-3.4830000000000001</v>
      </c>
      <c r="K13" s="464">
        <f>MODEL!K118</f>
        <v>-3.4829999999999997</v>
      </c>
      <c r="L13" s="464">
        <f>MODEL!L118</f>
        <v>-3.2970000000000006</v>
      </c>
      <c r="M13" s="464">
        <f>MODEL!M118</f>
        <v>-6.78</v>
      </c>
      <c r="N13" s="464">
        <f>MODEL!N118</f>
        <v>-3.9099999999999997</v>
      </c>
      <c r="O13" s="464">
        <f>MODEL!O118</f>
        <v>-4.0329999999999995</v>
      </c>
      <c r="P13" s="464">
        <f>MODEL!P118</f>
        <v>-7.9429999999999996</v>
      </c>
      <c r="Q13" s="464">
        <f>MODEL!Q118</f>
        <v>-3.1139999999999999</v>
      </c>
      <c r="R13" s="464">
        <f>S13-Q13</f>
        <v>-4.1509999999999998</v>
      </c>
      <c r="S13" s="464">
        <f>MODEL!S118</f>
        <v>-7.2649999999999997</v>
      </c>
      <c r="T13" s="464">
        <f>MODEL!T118</f>
        <v>-8.7319999999999993</v>
      </c>
      <c r="U13" s="464">
        <f>V13-T13</f>
        <v>-8.8270000000000017</v>
      </c>
      <c r="V13" s="446">
        <v>-17.559000000000001</v>
      </c>
      <c r="W13" s="464">
        <f>MODEL!W118</f>
        <v>-11.437999999999999</v>
      </c>
      <c r="X13" s="464">
        <f>Y13-W13</f>
        <v>-6.4890000000000008</v>
      </c>
      <c r="Y13" s="446">
        <v>-17.927</v>
      </c>
      <c r="Z13" s="464">
        <f>MODEL!Z118</f>
        <v>-7.0410000000000004</v>
      </c>
      <c r="AA13" s="464">
        <f>AB13-Z13</f>
        <v>-5.2859999999999996</v>
      </c>
      <c r="AB13" s="446">
        <v>-12.327</v>
      </c>
      <c r="AC13" s="464">
        <f>-AC12*AC7/2</f>
        <v>-7.3981124999999981</v>
      </c>
      <c r="AD13" s="464">
        <f>AE13-AC13</f>
        <v>-7.1943374999999943</v>
      </c>
      <c r="AE13" s="464">
        <f>-AVERAGE(AE2,AE10)*AE12</f>
        <v>-14.592449999999992</v>
      </c>
      <c r="AF13" s="464">
        <f>-AF12*AF7/2</f>
        <v>-8.2369799999999973</v>
      </c>
      <c r="AG13" s="464">
        <f>AH13-AF13</f>
        <v>-4.6369799999999977</v>
      </c>
      <c r="AH13" s="464">
        <f t="shared" ref="AH13:BC13" si="47">-AVERAGE(AH2,AH10)*AH12</f>
        <v>-12.873959999999995</v>
      </c>
      <c r="AI13" s="464"/>
      <c r="AJ13" s="464"/>
      <c r="AK13" s="464">
        <f t="shared" si="47"/>
        <v>-8.5011299999999963</v>
      </c>
      <c r="AL13" s="464"/>
      <c r="AM13" s="464"/>
      <c r="AN13" s="464">
        <f t="shared" si="47"/>
        <v>-8.5011299999999963</v>
      </c>
      <c r="AO13" s="464"/>
      <c r="AP13" s="464"/>
      <c r="AQ13" s="464">
        <f t="shared" si="47"/>
        <v>-8.5011299999999963</v>
      </c>
      <c r="AR13" s="464"/>
      <c r="AS13" s="464"/>
      <c r="AT13" s="464">
        <f t="shared" si="47"/>
        <v>-8.5011299999999963</v>
      </c>
      <c r="AU13" s="464"/>
      <c r="AV13" s="464"/>
      <c r="AW13" s="464">
        <f t="shared" si="47"/>
        <v>-8.5011299999999963</v>
      </c>
      <c r="AX13" s="464"/>
      <c r="AY13" s="464"/>
      <c r="AZ13" s="464">
        <f t="shared" si="47"/>
        <v>-8.5011299999999963</v>
      </c>
      <c r="BA13" s="464"/>
      <c r="BB13" s="464"/>
      <c r="BC13" s="464">
        <f t="shared" si="47"/>
        <v>-8.5011299999999963</v>
      </c>
      <c r="BD13" s="464"/>
      <c r="BE13" s="464"/>
      <c r="BF13" s="464">
        <f t="shared" ref="BF13:BI13" si="48">-AVERAGE(BF2,BF10)*BF12</f>
        <v>-8.5011299999999963</v>
      </c>
      <c r="BG13" s="464"/>
      <c r="BH13" s="464"/>
      <c r="BI13" s="464">
        <f t="shared" si="48"/>
        <v>-8.5011299999999963</v>
      </c>
    </row>
    <row r="14" spans="1:63">
      <c r="A14" s="314" t="s">
        <v>1678</v>
      </c>
      <c r="B14" s="464">
        <f>MODEL!B117</f>
        <v>0.23300000000000001</v>
      </c>
      <c r="C14" s="464">
        <f>D14-B14</f>
        <v>0.39100000000000001</v>
      </c>
      <c r="D14" s="464">
        <f>MODEL!D117</f>
        <v>0.624</v>
      </c>
      <c r="E14" s="464">
        <f>MODEL!E117</f>
        <v>0.42799999999999999</v>
      </c>
      <c r="F14" s="464">
        <f>MODEL!F117</f>
        <v>0.6160000000000001</v>
      </c>
      <c r="G14" s="464">
        <f>MODEL!G117</f>
        <v>1.044</v>
      </c>
      <c r="H14" s="464">
        <f>MODEL!H117</f>
        <v>0.249</v>
      </c>
      <c r="I14" s="464">
        <f>MODEL!I117</f>
        <v>0.2</v>
      </c>
      <c r="J14" s="464">
        <f>MODEL!J117</f>
        <v>0.44900000000000001</v>
      </c>
      <c r="K14" s="464">
        <f>MODEL!K117</f>
        <v>9.7000000000000003E-2</v>
      </c>
      <c r="L14" s="464">
        <f>MODEL!L117</f>
        <v>9.5000000000000001E-2</v>
      </c>
      <c r="M14" s="464">
        <f>MODEL!M117</f>
        <v>0.192</v>
      </c>
      <c r="N14" s="464">
        <f>MODEL!N117</f>
        <v>5.8000000000000003E-2</v>
      </c>
      <c r="O14" s="464">
        <f>MODEL!O117</f>
        <v>7.2000000000000008E-2</v>
      </c>
      <c r="P14" s="464">
        <f>MODEL!P117</f>
        <v>0.13</v>
      </c>
      <c r="Q14" s="464">
        <f>MODEL!Q117</f>
        <v>8.4000000000000005E-2</v>
      </c>
      <c r="R14" s="464">
        <f>S14-Q14</f>
        <v>0.23299999999999998</v>
      </c>
      <c r="S14" s="464">
        <f>MODEL!S117</f>
        <v>0.317</v>
      </c>
      <c r="T14" s="464">
        <f>MODEL!T117</f>
        <v>0.20799999999999999</v>
      </c>
      <c r="U14" s="464">
        <f>V14-T14</f>
        <v>0.46100000000000008</v>
      </c>
      <c r="V14" s="446">
        <v>0.66900000000000004</v>
      </c>
      <c r="W14" s="464">
        <f>MODEL!W117</f>
        <v>0.84199999999999997</v>
      </c>
      <c r="X14" s="464">
        <f>X15*MODEL!U133</f>
        <v>0</v>
      </c>
      <c r="Y14" s="446">
        <v>2.431</v>
      </c>
      <c r="Z14" s="464">
        <f>MODEL!Z117</f>
        <v>0.85299999999999998</v>
      </c>
      <c r="AA14" s="464">
        <f>AA15*MODEL!X133</f>
        <v>0</v>
      </c>
      <c r="AB14" s="446">
        <v>1.845</v>
      </c>
      <c r="AC14" s="464">
        <f>AC15*MODEL!Z133</f>
        <v>0.85135400000000006</v>
      </c>
      <c r="AD14" s="464">
        <f>AE14-AC14</f>
        <v>0.61702102364289779</v>
      </c>
      <c r="AE14" s="464">
        <f>AE15*MODEL!V133</f>
        <v>1.4683750236428978</v>
      </c>
      <c r="AF14" s="464">
        <f>AF15*MODEL!AC133</f>
        <v>0.70736399999999999</v>
      </c>
      <c r="AG14" s="464">
        <f>AH14-AF14</f>
        <v>1.6965450221297522</v>
      </c>
      <c r="AH14" s="464">
        <f>AH15*MODEL!Y133</f>
        <v>2.4039090221297523</v>
      </c>
      <c r="AI14" s="464"/>
      <c r="AJ14" s="464"/>
      <c r="AK14" s="464">
        <f>AK15*MODEL!AB133</f>
        <v>1.845</v>
      </c>
      <c r="AL14" s="464"/>
      <c r="AM14" s="464"/>
      <c r="AN14" s="464">
        <f>AN15*MODEL!AE133</f>
        <v>2.5246382857471557</v>
      </c>
      <c r="AO14" s="464"/>
      <c r="AP14" s="464"/>
      <c r="AQ14" s="464">
        <f>AQ15*MODEL!AH133</f>
        <v>4.2096601513375047</v>
      </c>
      <c r="AR14" s="464"/>
      <c r="AS14" s="464"/>
      <c r="AT14" s="464">
        <f>AT15*MODEL!AK133</f>
        <v>5.2371849747124823</v>
      </c>
      <c r="AU14" s="464"/>
      <c r="AV14" s="464"/>
      <c r="AW14" s="464">
        <f>AW15*MODEL!AN133</f>
        <v>7.4851405863731904</v>
      </c>
      <c r="AX14" s="464"/>
      <c r="AY14" s="464"/>
      <c r="AZ14" s="464">
        <f>AZ15*MODEL!AQ133</f>
        <v>9.2759862341998645</v>
      </c>
      <c r="BA14" s="464"/>
      <c r="BB14" s="464"/>
      <c r="BC14" s="464">
        <f>BC15*MODEL!AT133</f>
        <v>10.928117780411242</v>
      </c>
      <c r="BD14" s="464"/>
      <c r="BE14" s="464"/>
      <c r="BF14" s="464">
        <f>BF15*MODEL!AW133</f>
        <v>12.963143547702511</v>
      </c>
      <c r="BG14" s="464"/>
      <c r="BH14" s="464"/>
      <c r="BI14" s="464">
        <f>BI15*MODEL!AZ133</f>
        <v>15.3610346229801</v>
      </c>
    </row>
    <row r="15" spans="1:63">
      <c r="B15" s="469">
        <f>B14/MODEL!B133*2</f>
        <v>7.2757931551336499E-3</v>
      </c>
      <c r="C15" s="469">
        <f>C14/MODEL!C133*2</f>
        <v>1.013951558529122E-2</v>
      </c>
      <c r="D15" s="469">
        <f>D14/MODEL!D133</f>
        <v>8.090866656293761E-3</v>
      </c>
      <c r="E15" s="469">
        <f>E14/MODEL!E133*2</f>
        <v>9.0275360943250973E-3</v>
      </c>
      <c r="F15" s="469">
        <f>F14/MODEL!F133*2</f>
        <v>1.1924580897440864E-2</v>
      </c>
      <c r="G15" s="469">
        <f>G14/MODEL!G133</f>
        <v>1.0104920825428782E-2</v>
      </c>
      <c r="H15" s="469">
        <f>H14/MODEL!H133*2</f>
        <v>7.52743432389129E-3</v>
      </c>
      <c r="I15" s="469">
        <f>I14/MODEL!I133*2</f>
        <v>7.0016979117435985E-3</v>
      </c>
      <c r="J15" s="469">
        <f>J14/MODEL!J133</f>
        <v>7.8594059059321885E-3</v>
      </c>
      <c r="K15" s="469">
        <f>K14/MODEL!K133*2</f>
        <v>1.6702971234728405E-3</v>
      </c>
      <c r="L15" s="469">
        <f>L14/MODEL!L133*2</f>
        <v>1.4790941715904934E-3</v>
      </c>
      <c r="M15" s="469">
        <f>M14/MODEL!M133</f>
        <v>1.494663583923025E-3</v>
      </c>
      <c r="N15" s="469">
        <f>N14/MODEL!N133*2</f>
        <v>1.1008617089929014E-3</v>
      </c>
      <c r="O15" s="469">
        <f>O14/MODEL!O133*2</f>
        <v>1.1084853010230396E-3</v>
      </c>
      <c r="P15" s="469">
        <f>P14/MODEL!P133</f>
        <v>1.0007158967569106E-3</v>
      </c>
      <c r="Q15" s="469">
        <f>Q14/MODEL!Q133*2</f>
        <v>9.4318966533609556E-4</v>
      </c>
      <c r="S15" s="469">
        <f>S14/MODEL!S133</f>
        <v>1.8840338531761127E-3</v>
      </c>
      <c r="T15" s="469">
        <f>T14/MODEL!T133*2</f>
        <v>3.6111424578338354E-3</v>
      </c>
      <c r="U15" s="423">
        <f>U14/MODEL!U133*2</f>
        <v>1.0955974095419169E-2</v>
      </c>
      <c r="V15" s="469">
        <f>V14/MODEL!V133</f>
        <v>7.9496167785633662E-3</v>
      </c>
      <c r="W15" s="469">
        <f>W14/MODEL!W133*2</f>
        <v>1.1520831908052269E-2</v>
      </c>
      <c r="X15" s="423"/>
      <c r="Y15" s="469">
        <f>Y14/MODEL!Y133</f>
        <v>1.7645094794297825E-2</v>
      </c>
      <c r="Z15" s="469">
        <f>Z14/MODEL!Z133*2</f>
        <v>1.4027067471345644E-2</v>
      </c>
      <c r="AA15" s="423"/>
      <c r="AB15" s="469">
        <f>AB14/MODEL!AB133</f>
        <v>1.7448458483071687E-2</v>
      </c>
      <c r="AC15" s="470">
        <v>7.0000000000000001E-3</v>
      </c>
      <c r="AD15" s="423"/>
      <c r="AE15" s="470">
        <f>AB15</f>
        <v>1.7448458483071687E-2</v>
      </c>
      <c r="AF15" s="470">
        <v>4.0000000000000001E-3</v>
      </c>
      <c r="AG15" s="423"/>
      <c r="AH15" s="470">
        <f>AE15</f>
        <v>1.7448458483071687E-2</v>
      </c>
      <c r="AI15" s="470"/>
      <c r="AJ15" s="470"/>
      <c r="AK15" s="470">
        <f>AH15</f>
        <v>1.7448458483071687E-2</v>
      </c>
      <c r="AL15" s="470"/>
      <c r="AM15" s="470"/>
      <c r="AN15" s="470">
        <f>AK15+0.1%</f>
        <v>1.8448458483071688E-2</v>
      </c>
      <c r="AO15" s="470"/>
      <c r="AP15" s="470"/>
      <c r="AQ15" s="470">
        <f>AN15</f>
        <v>1.8448458483071688E-2</v>
      </c>
      <c r="AR15" s="470"/>
      <c r="AS15" s="470"/>
      <c r="AT15" s="470">
        <f>AQ15+0.1%</f>
        <v>1.9448458483071689E-2</v>
      </c>
      <c r="AU15" s="470"/>
      <c r="AV15" s="470"/>
      <c r="AW15" s="470">
        <f>AT15</f>
        <v>1.9448458483071689E-2</v>
      </c>
      <c r="AX15" s="470"/>
      <c r="AY15" s="470"/>
      <c r="AZ15" s="470">
        <f>AW15</f>
        <v>1.9448458483071689E-2</v>
      </c>
      <c r="BA15" s="470"/>
      <c r="BB15" s="470"/>
      <c r="BC15" s="470">
        <f>AZ15</f>
        <v>1.9448458483071689E-2</v>
      </c>
      <c r="BD15" s="470"/>
      <c r="BE15" s="470"/>
      <c r="BF15" s="470">
        <f>BC15</f>
        <v>1.9448458483071689E-2</v>
      </c>
      <c r="BG15" s="470"/>
      <c r="BH15" s="470"/>
      <c r="BI15" s="470">
        <f t="shared" ref="BI15" si="49">BF15</f>
        <v>1.9448458483071689E-2</v>
      </c>
    </row>
  </sheetData>
  <pageMargins left="0.7" right="0.7" top="0.75" bottom="0.75" header="0.3" footer="0.3"/>
  <pageSetup paperSize="9" orientation="portrait" horizontalDpi="300" verticalDpi="300" r:id="rId1"/>
  <customProperties>
    <customPr name="Qube.Worksheet.Visibility" r:id="rId2"/>
  </customProperties>
  <ignoredErrors>
    <ignoredError sqref="W7"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theme="3"/>
    <pageSetUpPr fitToPage="1"/>
  </sheetPr>
  <dimension ref="B1:AU127"/>
  <sheetViews>
    <sheetView workbookViewId="0"/>
  </sheetViews>
  <sheetFormatPr defaultColWidth="9.140625" defaultRowHeight="12.75" outlineLevelRow="1" outlineLevelCol="1"/>
  <cols>
    <col min="2" max="2" width="25.42578125" customWidth="1"/>
    <col min="3" max="5" width="10.85546875" hidden="1" customWidth="1" outlineLevel="1"/>
    <col min="6" max="6" width="11.140625" customWidth="1" collapsed="1"/>
    <col min="7" max="10" width="11.140625" customWidth="1" outlineLevel="1"/>
    <col min="11" max="11" width="11.140625" hidden="1" customWidth="1"/>
    <col min="12" max="16" width="11.140625" customWidth="1"/>
    <col min="17" max="18" width="11.140625" customWidth="1" outlineLevel="1"/>
    <col min="19" max="19" width="2.5703125" customWidth="1"/>
    <col min="20" max="23" width="11.140625" customWidth="1"/>
    <col min="24" max="25" width="11.140625" hidden="1" customWidth="1" outlineLevel="1"/>
    <col min="26" max="26" width="2.5703125" customWidth="1" collapsed="1"/>
    <col min="27" max="27" width="10.85546875" customWidth="1"/>
    <col min="28" max="28" width="10.85546875" customWidth="1" outlineLevel="1"/>
    <col min="29" max="32" width="10.85546875" customWidth="1"/>
    <col min="42" max="42" width="23.7109375" bestFit="1" customWidth="1"/>
  </cols>
  <sheetData>
    <row r="1" spans="2:38" ht="15">
      <c r="B1" s="643"/>
      <c r="C1" s="643"/>
      <c r="D1" s="643"/>
      <c r="E1" s="643"/>
      <c r="F1" s="643"/>
      <c r="G1" s="643"/>
      <c r="H1" s="644"/>
      <c r="L1" s="644"/>
      <c r="N1" s="631">
        <f>23.4/21.47-1</f>
        <v>8.9892873777363658E-2</v>
      </c>
      <c r="O1" s="631"/>
      <c r="T1" s="643"/>
    </row>
    <row r="2" spans="2:38" ht="15">
      <c r="B2" s="644"/>
      <c r="C2" s="644"/>
      <c r="D2" s="644"/>
      <c r="E2" s="644"/>
      <c r="F2" s="644"/>
      <c r="G2" s="644"/>
      <c r="H2" s="644"/>
      <c r="L2" s="644"/>
      <c r="T2" s="644"/>
    </row>
    <row r="3" spans="2:38">
      <c r="B3" s="645" t="s">
        <v>488</v>
      </c>
      <c r="C3" s="645"/>
      <c r="D3" s="645"/>
      <c r="E3" s="645"/>
      <c r="F3" s="645" t="s">
        <v>1603</v>
      </c>
      <c r="G3" s="645"/>
      <c r="H3" s="646"/>
      <c r="I3" s="647"/>
      <c r="J3" s="647"/>
      <c r="K3" s="647"/>
      <c r="L3" s="646" t="s">
        <v>1829</v>
      </c>
      <c r="M3" s="647" t="s">
        <v>1832</v>
      </c>
      <c r="N3" s="647" t="s">
        <v>1833</v>
      </c>
      <c r="O3" s="647"/>
      <c r="P3" s="647"/>
      <c r="Q3" s="647"/>
      <c r="R3" s="647"/>
      <c r="S3" s="647"/>
      <c r="T3" s="647"/>
      <c r="U3" s="647"/>
      <c r="V3" s="647"/>
      <c r="W3" s="647"/>
      <c r="X3" s="647"/>
      <c r="Y3" s="647"/>
      <c r="Z3" s="647"/>
    </row>
    <row r="4" spans="2:38">
      <c r="B4" s="645"/>
      <c r="C4" s="645"/>
      <c r="D4" s="645"/>
      <c r="E4" s="645"/>
      <c r="F4" s="1256" t="s">
        <v>391</v>
      </c>
      <c r="G4" s="1256"/>
      <c r="H4" s="1256"/>
      <c r="I4" s="1256"/>
      <c r="J4" s="1256"/>
      <c r="K4" s="645"/>
      <c r="L4" s="1256" t="s">
        <v>1809</v>
      </c>
      <c r="M4" s="1256"/>
      <c r="N4" s="1256"/>
      <c r="O4" s="1256"/>
      <c r="P4" s="1256"/>
      <c r="Q4" s="1256"/>
      <c r="R4" s="1256"/>
      <c r="S4" s="645"/>
      <c r="T4" s="1256" t="s">
        <v>1826</v>
      </c>
      <c r="U4" s="1256"/>
      <c r="V4" s="1256"/>
      <c r="W4" s="1256"/>
      <c r="X4" s="1256"/>
      <c r="Y4" s="1256"/>
      <c r="Z4" s="645"/>
      <c r="AA4" s="648"/>
      <c r="AB4" s="648"/>
      <c r="AC4" s="649"/>
      <c r="AD4" s="650"/>
      <c r="AE4" s="651"/>
      <c r="AF4" s="649"/>
    </row>
    <row r="5" spans="2:38">
      <c r="B5" s="645"/>
      <c r="C5" s="645"/>
      <c r="D5" s="645"/>
      <c r="E5" s="645"/>
      <c r="F5" s="645"/>
      <c r="G5" s="645"/>
      <c r="H5" s="646"/>
      <c r="I5" s="647"/>
      <c r="J5" s="647"/>
      <c r="K5" s="647"/>
      <c r="L5" s="646"/>
      <c r="M5" s="647"/>
      <c r="N5" s="647"/>
      <c r="O5" s="647"/>
      <c r="P5" s="647"/>
      <c r="Q5" s="647"/>
      <c r="R5" s="647"/>
      <c r="S5" s="647"/>
      <c r="T5" s="647"/>
      <c r="U5" s="647"/>
      <c r="V5" s="647"/>
      <c r="W5" s="647"/>
      <c r="X5" s="647"/>
      <c r="Y5" s="647"/>
      <c r="Z5" s="647"/>
      <c r="AA5" s="652"/>
      <c r="AB5" s="652" t="s">
        <v>1828</v>
      </c>
      <c r="AC5" s="653"/>
      <c r="AD5" s="654"/>
      <c r="AE5" s="655"/>
      <c r="AF5" s="656"/>
    </row>
    <row r="6" spans="2:38" s="657" customFormat="1" ht="24">
      <c r="B6" s="658" t="s">
        <v>1694</v>
      </c>
      <c r="C6" s="658" t="s">
        <v>1810</v>
      </c>
      <c r="D6" s="658" t="s">
        <v>1811</v>
      </c>
      <c r="E6" s="658" t="s">
        <v>1812</v>
      </c>
      <c r="F6" s="659" t="s">
        <v>1813</v>
      </c>
      <c r="G6" s="659" t="s">
        <v>1814</v>
      </c>
      <c r="H6" s="659" t="s">
        <v>1815</v>
      </c>
      <c r="I6" s="659" t="s">
        <v>1816</v>
      </c>
      <c r="J6" s="659" t="s">
        <v>1817</v>
      </c>
      <c r="K6" s="659"/>
      <c r="L6" s="659" t="s">
        <v>1818</v>
      </c>
      <c r="M6" s="659" t="s">
        <v>1819</v>
      </c>
      <c r="N6" s="659" t="s">
        <v>1816</v>
      </c>
      <c r="O6" s="659"/>
      <c r="P6" s="659" t="s">
        <v>1817</v>
      </c>
      <c r="Q6" s="659" t="s">
        <v>1820</v>
      </c>
      <c r="R6" s="659" t="s">
        <v>1821</v>
      </c>
      <c r="S6" s="659"/>
      <c r="T6" s="659" t="s">
        <v>1822</v>
      </c>
      <c r="U6" s="659" t="s">
        <v>1823</v>
      </c>
      <c r="V6" s="659" t="s">
        <v>1824</v>
      </c>
      <c r="W6" s="659" t="s">
        <v>1825</v>
      </c>
      <c r="X6" s="659" t="s">
        <v>1824</v>
      </c>
      <c r="Y6" s="659" t="s">
        <v>1825</v>
      </c>
      <c r="Z6" s="659"/>
      <c r="AA6" s="660"/>
      <c r="AB6" s="660"/>
      <c r="AC6" s="659"/>
      <c r="AD6" s="659"/>
      <c r="AE6" s="659"/>
      <c r="AF6" s="659"/>
    </row>
    <row r="7" spans="2:38">
      <c r="B7" s="661" t="s">
        <v>103</v>
      </c>
      <c r="C7" s="637">
        <f>Segments!N42</f>
        <v>314.87099999999998</v>
      </c>
      <c r="D7" s="637">
        <f>Segments!O42</f>
        <v>178.08000000000004</v>
      </c>
      <c r="E7" s="637">
        <f>Segments!P42</f>
        <v>492.95100000000002</v>
      </c>
      <c r="F7" s="637">
        <f>Segments!Q$42</f>
        <v>370.07900000000001</v>
      </c>
      <c r="G7" s="684">
        <f>H7-F7</f>
        <v>234.92099999999999</v>
      </c>
      <c r="H7" s="693">
        <v>605</v>
      </c>
      <c r="I7" s="662">
        <f>IFERROR(G7/D7-1,"")</f>
        <v>0.31918800539083514</v>
      </c>
      <c r="J7" s="696">
        <f>IFERROR(H7/E7-1,"")</f>
        <v>0.22730251079721908</v>
      </c>
      <c r="K7" s="663"/>
      <c r="L7" s="684">
        <v>217.52069101898229</v>
      </c>
      <c r="M7" s="684">
        <v>587.5996910189823</v>
      </c>
      <c r="N7" s="662">
        <f>IFERROR(L7/D7-1,"")</f>
        <v>0.22147737544352109</v>
      </c>
      <c r="O7" s="662"/>
      <c r="P7" s="662">
        <f>IFERROR(M7/E7-1,"")</f>
        <v>0.1920042580682102</v>
      </c>
      <c r="Q7" s="662">
        <f>IFERROR(G7/L7-1,"")</f>
        <v>7.9993810701434631E-2</v>
      </c>
      <c r="R7" s="696">
        <f>IFERROR(H7/M7-1,"")</f>
        <v>2.9612522346366577E-2</v>
      </c>
      <c r="S7" s="662"/>
      <c r="T7" s="686"/>
      <c r="U7" s="686"/>
      <c r="V7" s="664" t="str">
        <f t="shared" ref="V7:W11" si="0">IFERROR(L7/T7-1,"")</f>
        <v/>
      </c>
      <c r="W7" s="697" t="str">
        <f t="shared" si="0"/>
        <v/>
      </c>
      <c r="X7" s="664"/>
      <c r="Y7" s="664"/>
      <c r="Z7" s="662"/>
      <c r="AA7" s="665"/>
      <c r="AB7" s="665"/>
      <c r="AC7" s="661"/>
      <c r="AD7" s="662"/>
      <c r="AE7" s="663"/>
      <c r="AF7" s="662"/>
    </row>
    <row r="8" spans="2:38">
      <c r="B8" s="661" t="s">
        <v>1795</v>
      </c>
      <c r="C8" s="637">
        <f>Segments!N56</f>
        <v>145.251</v>
      </c>
      <c r="D8" s="637">
        <f>Segments!O56</f>
        <v>111.77799999999999</v>
      </c>
      <c r="E8" s="637">
        <f>Segments!P56</f>
        <v>257.029</v>
      </c>
      <c r="F8" s="637">
        <f>Segments!Q$56</f>
        <v>201.11199999999999</v>
      </c>
      <c r="G8" s="684">
        <f t="shared" ref="G8:G12" si="1">H8-F8</f>
        <v>93.988000000000028</v>
      </c>
      <c r="H8" s="693">
        <v>295.10000000000002</v>
      </c>
      <c r="I8" s="662">
        <f>IFERROR(G8/D8-1,"")</f>
        <v>-0.15915475317146455</v>
      </c>
      <c r="J8" s="696">
        <f t="shared" ref="J8:J32" si="2">IFERROR(H8/E8-1,"")</f>
        <v>0.14811947289994531</v>
      </c>
      <c r="K8" s="663"/>
      <c r="L8" s="684">
        <v>135.49372187199916</v>
      </c>
      <c r="M8" s="695">
        <v>336.60572187199915</v>
      </c>
      <c r="N8" s="662">
        <f t="shared" ref="N8:N36" si="3">IFERROR(L8/D8-1,"")</f>
        <v>0.21216806412710154</v>
      </c>
      <c r="O8" s="662"/>
      <c r="P8" s="662">
        <f t="shared" ref="P8:P36" si="4">IFERROR(M8/E8-1,"")</f>
        <v>0.30960211443844532</v>
      </c>
      <c r="Q8" s="662">
        <f t="shared" ref="Q8:Q32" si="5">IFERROR(G8/L8-1,"")</f>
        <v>-0.30632948374692637</v>
      </c>
      <c r="R8" s="696">
        <f t="shared" ref="R8:R32" si="6">IFERROR(H8/M8-1,"")</f>
        <v>-0.12330664387155754</v>
      </c>
      <c r="S8" s="662"/>
      <c r="T8" s="686"/>
      <c r="U8" s="686"/>
      <c r="V8" s="664" t="str">
        <f t="shared" si="0"/>
        <v/>
      </c>
      <c r="W8" s="697" t="str">
        <f t="shared" si="0"/>
        <v/>
      </c>
      <c r="X8" s="664"/>
      <c r="Y8" s="664"/>
      <c r="Z8" s="662"/>
      <c r="AA8" s="665"/>
      <c r="AB8" s="665"/>
      <c r="AC8" s="661"/>
      <c r="AD8" s="662"/>
      <c r="AE8" s="663"/>
      <c r="AF8" s="662"/>
    </row>
    <row r="9" spans="2:38">
      <c r="B9" s="661" t="s">
        <v>1799</v>
      </c>
      <c r="C9" s="679">
        <f>Segments!N49</f>
        <v>132.75399999999999</v>
      </c>
      <c r="D9" s="679">
        <f>Segments!O49</f>
        <v>101.42500000000001</v>
      </c>
      <c r="E9" s="679">
        <f>Segments!P49</f>
        <v>234.179</v>
      </c>
      <c r="F9" s="679">
        <f>Segments!Q$49</f>
        <v>162.75800000000001</v>
      </c>
      <c r="G9" s="684">
        <f t="shared" si="1"/>
        <v>115.64199999999997</v>
      </c>
      <c r="H9" s="693">
        <v>278.39999999999998</v>
      </c>
      <c r="I9" s="662">
        <f t="shared" ref="I9:I32" si="7">IFERROR(G9/D9-1,"")</f>
        <v>0.14017254128666456</v>
      </c>
      <c r="J9" s="696">
        <f t="shared" si="2"/>
        <v>0.18883418239893413</v>
      </c>
      <c r="K9" s="663"/>
      <c r="L9" s="684">
        <v>106.54784999999995</v>
      </c>
      <c r="M9" s="684">
        <v>269.30584999999996</v>
      </c>
      <c r="N9" s="662">
        <f t="shared" si="3"/>
        <v>5.0508750308108974E-2</v>
      </c>
      <c r="O9" s="662"/>
      <c r="P9" s="662">
        <f t="shared" si="4"/>
        <v>0.14999999999999991</v>
      </c>
      <c r="Q9" s="662">
        <f t="shared" si="5"/>
        <v>8.5352731190728059E-2</v>
      </c>
      <c r="R9" s="696">
        <f t="shared" si="6"/>
        <v>3.3768854259942804E-2</v>
      </c>
      <c r="S9" s="662"/>
      <c r="T9" s="686"/>
      <c r="U9" s="686"/>
      <c r="V9" s="664" t="str">
        <f t="shared" si="0"/>
        <v/>
      </c>
      <c r="W9" s="697" t="str">
        <f t="shared" si="0"/>
        <v/>
      </c>
      <c r="X9" s="664"/>
      <c r="Y9" s="664"/>
      <c r="Z9" s="662"/>
      <c r="AA9" s="665"/>
      <c r="AB9" s="665"/>
      <c r="AC9" s="661"/>
      <c r="AD9" s="662"/>
      <c r="AE9" s="663"/>
      <c r="AF9" s="662"/>
    </row>
    <row r="10" spans="2:38">
      <c r="B10" s="667" t="s">
        <v>1711</v>
      </c>
      <c r="C10" s="638">
        <f t="shared" ref="C10:D10" si="8">SUM(C7:C9)</f>
        <v>592.87599999999998</v>
      </c>
      <c r="D10" s="638">
        <f t="shared" si="8"/>
        <v>391.28300000000007</v>
      </c>
      <c r="E10" s="638">
        <f>SUM(E7:E9)</f>
        <v>984.15899999999999</v>
      </c>
      <c r="F10" s="638">
        <f t="shared" ref="F10" si="9">SUM(F7:F9)</f>
        <v>733.94900000000007</v>
      </c>
      <c r="G10" s="685">
        <f>H10-F10</f>
        <v>444.55099999999993</v>
      </c>
      <c r="H10" s="694">
        <v>1178.5</v>
      </c>
      <c r="I10" s="664">
        <f t="shared" si="7"/>
        <v>0.13613676034992528</v>
      </c>
      <c r="J10" s="697">
        <f t="shared" si="2"/>
        <v>0.19746910814207874</v>
      </c>
      <c r="K10" s="668"/>
      <c r="L10" s="685">
        <v>459.5622628909814</v>
      </c>
      <c r="M10" s="685">
        <v>1193.5112628909815</v>
      </c>
      <c r="N10" s="664">
        <f t="shared" si="3"/>
        <v>0.17450096960762762</v>
      </c>
      <c r="O10" s="664"/>
      <c r="P10" s="664">
        <f t="shared" si="4"/>
        <v>0.2127219919657104</v>
      </c>
      <c r="Q10" s="662">
        <f t="shared" si="5"/>
        <v>-3.2664263589768483E-2</v>
      </c>
      <c r="R10" s="696">
        <f t="shared" si="6"/>
        <v>-1.2577395251906043E-2</v>
      </c>
      <c r="S10" s="662"/>
      <c r="T10" s="686"/>
      <c r="U10" s="686"/>
      <c r="V10" s="664" t="str">
        <f t="shared" si="0"/>
        <v/>
      </c>
      <c r="W10" s="697" t="str">
        <f t="shared" si="0"/>
        <v/>
      </c>
      <c r="X10" s="664"/>
      <c r="Y10" s="664"/>
      <c r="Z10" s="662"/>
      <c r="AA10" s="665"/>
      <c r="AB10" s="665"/>
      <c r="AC10" s="661"/>
      <c r="AD10" s="662"/>
      <c r="AE10" s="663"/>
      <c r="AF10" s="662"/>
    </row>
    <row r="11" spans="2:38" s="666" customFormat="1" ht="15">
      <c r="B11" s="661" t="s">
        <v>1712</v>
      </c>
      <c r="C11" s="639">
        <f>Segments!N77</f>
        <v>118.08199999999999</v>
      </c>
      <c r="D11" s="639">
        <f>Segments!O77</f>
        <v>85.418000000000006</v>
      </c>
      <c r="E11" s="639">
        <f>Segments!P77</f>
        <v>203.5</v>
      </c>
      <c r="F11" s="639">
        <f>Segments!Q$77</f>
        <v>144.71</v>
      </c>
      <c r="G11" s="684">
        <f t="shared" si="1"/>
        <v>95.19</v>
      </c>
      <c r="H11" s="694">
        <v>239.9</v>
      </c>
      <c r="I11" s="662">
        <f t="shared" si="7"/>
        <v>0.11440211664988631</v>
      </c>
      <c r="J11" s="696">
        <f t="shared" si="2"/>
        <v>0.17886977886977884</v>
      </c>
      <c r="K11" s="668"/>
      <c r="L11" s="684">
        <v>89.314999999999969</v>
      </c>
      <c r="M11" s="684">
        <v>234.02499999999998</v>
      </c>
      <c r="N11" s="662">
        <f t="shared" si="3"/>
        <v>4.5622702474887866E-2</v>
      </c>
      <c r="O11" s="662"/>
      <c r="P11" s="662">
        <f t="shared" si="4"/>
        <v>0.14999999999999991</v>
      </c>
      <c r="Q11" s="662">
        <f t="shared" si="5"/>
        <v>6.577842467670636E-2</v>
      </c>
      <c r="R11" s="696">
        <f t="shared" si="6"/>
        <v>2.5104155538938189E-2</v>
      </c>
      <c r="S11" s="664"/>
      <c r="T11" s="686"/>
      <c r="U11" s="686"/>
      <c r="V11" s="664" t="str">
        <f t="shared" si="0"/>
        <v/>
      </c>
      <c r="W11" s="697" t="str">
        <f t="shared" si="0"/>
        <v/>
      </c>
      <c r="X11" s="664"/>
      <c r="Y11" s="664"/>
      <c r="Z11" s="664"/>
      <c r="AA11" s="669"/>
      <c r="AB11"/>
      <c r="AC11" s="667"/>
      <c r="AD11" s="662"/>
      <c r="AE11" s="668"/>
      <c r="AF11" s="662"/>
    </row>
    <row r="12" spans="2:38" s="666" customFormat="1" ht="15">
      <c r="B12" s="667" t="s">
        <v>543</v>
      </c>
      <c r="C12" s="680">
        <f>SUM(C10:C11)</f>
        <v>710.95799999999997</v>
      </c>
      <c r="D12" s="680">
        <f t="shared" ref="D12:F12" si="10">SUM(D10:D11)</f>
        <v>476.70100000000008</v>
      </c>
      <c r="E12" s="680">
        <f t="shared" si="10"/>
        <v>1187.6590000000001</v>
      </c>
      <c r="F12" s="680">
        <f t="shared" si="10"/>
        <v>878.65900000000011</v>
      </c>
      <c r="G12" s="685">
        <f t="shared" si="1"/>
        <v>539.74099999999999</v>
      </c>
      <c r="H12" s="694">
        <v>1418.4</v>
      </c>
      <c r="I12" s="664">
        <f t="shared" si="7"/>
        <v>0.13224222311260081</v>
      </c>
      <c r="J12" s="697">
        <f t="shared" si="2"/>
        <v>0.1942821971626536</v>
      </c>
      <c r="K12" s="668"/>
      <c r="L12" s="685">
        <v>548.87726289098134</v>
      </c>
      <c r="M12" s="685">
        <v>1427.5362628909816</v>
      </c>
      <c r="N12" s="664">
        <f t="shared" si="3"/>
        <v>0.15140782773894168</v>
      </c>
      <c r="O12" s="664"/>
      <c r="P12" s="664">
        <f t="shared" si="4"/>
        <v>0.2019748622213795</v>
      </c>
      <c r="Q12" s="664">
        <f t="shared" si="5"/>
        <v>-1.6645365929096601E-2</v>
      </c>
      <c r="R12" s="697">
        <f t="shared" si="6"/>
        <v>-6.4000215815738226E-3</v>
      </c>
      <c r="S12" s="664"/>
      <c r="T12" s="686">
        <f>U12-F12</f>
        <v>550.61919999999986</v>
      </c>
      <c r="U12" s="686">
        <f>_xll.FDS($AB$5,"FE_ESTIMATE("&amp;$AB12&amp;",MEAN,ANNUAL_ROLL,+1,NOW,,,'')")</f>
        <v>1429.2782</v>
      </c>
      <c r="V12" s="664">
        <f>IFERROR(G12/T12-1,"")</f>
        <v>-1.9756303448916879E-2</v>
      </c>
      <c r="W12" s="697">
        <f t="shared" ref="W12:W32" si="11">IFERROR(H12/U12-1,"")</f>
        <v>-7.6109745464527645E-3</v>
      </c>
      <c r="X12" s="664"/>
      <c r="Y12" s="664"/>
      <c r="Z12" s="664"/>
      <c r="AA12" s="669"/>
      <c r="AB12" t="s">
        <v>394</v>
      </c>
      <c r="AC12" s="667"/>
      <c r="AD12" s="662"/>
      <c r="AE12" s="668"/>
      <c r="AF12" s="662"/>
    </row>
    <row r="13" spans="2:38">
      <c r="B13" s="661"/>
      <c r="C13" s="681"/>
      <c r="D13" s="681"/>
      <c r="E13" s="681"/>
      <c r="F13" s="681"/>
      <c r="G13" s="684"/>
      <c r="H13" s="684"/>
      <c r="I13" s="662" t="str">
        <f t="shared" si="7"/>
        <v/>
      </c>
      <c r="J13" s="696" t="str">
        <f t="shared" si="2"/>
        <v/>
      </c>
      <c r="K13" s="663"/>
      <c r="L13" s="684"/>
      <c r="M13" s="684"/>
      <c r="N13" s="662" t="str">
        <f t="shared" si="3"/>
        <v/>
      </c>
      <c r="O13" s="662"/>
      <c r="P13" s="662" t="str">
        <f t="shared" si="4"/>
        <v/>
      </c>
      <c r="Q13" s="662" t="str">
        <f t="shared" si="5"/>
        <v/>
      </c>
      <c r="R13" s="696" t="str">
        <f t="shared" si="6"/>
        <v/>
      </c>
      <c r="S13" s="662"/>
      <c r="T13" s="687"/>
      <c r="U13" s="687"/>
      <c r="V13" s="664" t="str">
        <f t="shared" ref="V13:V32" si="12">IFERROR(G13/T13-1,"")</f>
        <v/>
      </c>
      <c r="W13" s="697" t="str">
        <f t="shared" si="11"/>
        <v/>
      </c>
      <c r="X13" s="662"/>
      <c r="Y13" s="662"/>
      <c r="Z13" s="662"/>
      <c r="AA13" s="665"/>
      <c r="AB13" s="669"/>
      <c r="AC13" s="661"/>
      <c r="AD13" s="662"/>
      <c r="AE13" s="663"/>
      <c r="AF13" s="662"/>
    </row>
    <row r="14" spans="2:38">
      <c r="B14" s="661" t="s">
        <v>1067</v>
      </c>
      <c r="C14" s="681">
        <f>MODEL!N33</f>
        <v>112.42099999999994</v>
      </c>
      <c r="D14" s="681">
        <f>MODEL!O33</f>
        <v>50.877000000000066</v>
      </c>
      <c r="E14" s="681">
        <f>MODEL!P33</f>
        <v>163.29800000000012</v>
      </c>
      <c r="F14" s="681">
        <f>MODEL!Q$33</f>
        <v>125.50000000000011</v>
      </c>
      <c r="G14" s="684">
        <f>H14-F14</f>
        <v>61.299999999999898</v>
      </c>
      <c r="H14" s="684">
        <v>186.8</v>
      </c>
      <c r="I14" s="662">
        <f t="shared" si="7"/>
        <v>0.20486663914931724</v>
      </c>
      <c r="J14" s="696">
        <f t="shared" si="2"/>
        <v>0.1439209298338</v>
      </c>
      <c r="K14" s="663"/>
      <c r="L14" s="684">
        <v>58.732688930000705</v>
      </c>
      <c r="M14" s="684">
        <v>184.23268893000073</v>
      </c>
      <c r="N14" s="662">
        <f t="shared" si="3"/>
        <v>0.15440550602434566</v>
      </c>
      <c r="O14" s="662"/>
      <c r="P14" s="662">
        <f t="shared" si="4"/>
        <v>0.12819929778687178</v>
      </c>
      <c r="Q14" s="662">
        <f t="shared" si="5"/>
        <v>4.3711791793816568E-2</v>
      </c>
      <c r="R14" s="696">
        <f t="shared" si="6"/>
        <v>1.3935154965765806E-2</v>
      </c>
      <c r="S14" s="662"/>
      <c r="T14" s="687">
        <f>U14-F14</f>
        <v>57.956509999999895</v>
      </c>
      <c r="U14" s="687">
        <f>_xll.FDS($AB$5,"FE_ESTIMATE("&amp;$AB14&amp;",MEAN,ANNUAL_ROLL,+1,NOW,,,'')")</f>
        <v>183.45651000000001</v>
      </c>
      <c r="V14" s="662">
        <f t="shared" si="12"/>
        <v>5.7689636591299331E-2</v>
      </c>
      <c r="W14" s="696">
        <f t="shared" si="11"/>
        <v>1.8224973319289628E-2</v>
      </c>
      <c r="X14" s="664"/>
      <c r="Y14" s="664"/>
      <c r="Z14" s="662"/>
      <c r="AA14" s="665"/>
      <c r="AB14" t="s">
        <v>1067</v>
      </c>
      <c r="AC14" s="661"/>
      <c r="AD14" s="662"/>
      <c r="AE14" s="663"/>
      <c r="AF14" s="662"/>
    </row>
    <row r="15" spans="2:38">
      <c r="B15" s="661" t="s">
        <v>1639</v>
      </c>
      <c r="C15" s="681">
        <f>MODEL!N36</f>
        <v>-17.815000000000001</v>
      </c>
      <c r="D15" s="681">
        <f>MODEL!O36</f>
        <v>-9.0529999999999973</v>
      </c>
      <c r="E15" s="681">
        <f>MODEL!P36</f>
        <v>-26.867999999999999</v>
      </c>
      <c r="F15" s="681">
        <f>MODEL!Q$36</f>
        <v>-12.989000000000001</v>
      </c>
      <c r="G15" s="684">
        <f>H15-F15</f>
        <v>-17.411000000000005</v>
      </c>
      <c r="H15" s="684">
        <f>H20-H14</f>
        <v>-30.400000000000006</v>
      </c>
      <c r="I15" s="662">
        <f t="shared" si="7"/>
        <v>0.92322986855186229</v>
      </c>
      <c r="J15" s="696">
        <f t="shared" si="2"/>
        <v>0.13145749590591072</v>
      </c>
      <c r="K15" s="663"/>
      <c r="L15" s="684">
        <v>-13.044575011992741</v>
      </c>
      <c r="M15" s="684">
        <v>-26.033575011992742</v>
      </c>
      <c r="N15" s="662">
        <f t="shared" si="3"/>
        <v>0.44091185374933661</v>
      </c>
      <c r="O15" s="662"/>
      <c r="P15" s="662">
        <f t="shared" si="4"/>
        <v>-3.1056460771447747E-2</v>
      </c>
      <c r="Q15" s="662">
        <f t="shared" si="5"/>
        <v>0.3347311034658409</v>
      </c>
      <c r="R15" s="696">
        <f t="shared" si="6"/>
        <v>0.16772283430131307</v>
      </c>
      <c r="S15" s="670"/>
      <c r="T15" s="687">
        <f>U15-F15</f>
        <v>-14.736000000000001</v>
      </c>
      <c r="U15" s="687">
        <f>-_xll.FDS($AB$5,"FE_ESTIMATE("&amp;$AB15&amp;",MEAN,ANNUAL_ROLL,+1,NOW,,,'')")</f>
        <v>-27.725000000000001</v>
      </c>
      <c r="V15" s="662">
        <f t="shared" si="12"/>
        <v>0.1815282301845822</v>
      </c>
      <c r="W15" s="696">
        <f t="shared" si="11"/>
        <v>9.6483318304779297E-2</v>
      </c>
      <c r="X15" s="664"/>
      <c r="Y15" s="664"/>
      <c r="Z15" s="670"/>
      <c r="AA15" s="670"/>
      <c r="AB15" t="s">
        <v>1714</v>
      </c>
      <c r="AC15" s="661"/>
      <c r="AD15" s="661"/>
      <c r="AE15" s="661"/>
      <c r="AF15" s="661"/>
    </row>
    <row r="16" spans="2:38">
      <c r="B16" s="661"/>
      <c r="C16" s="681"/>
      <c r="D16" s="681"/>
      <c r="E16" s="681"/>
      <c r="F16" s="681"/>
      <c r="G16" s="684"/>
      <c r="H16" s="684"/>
      <c r="I16" s="662" t="str">
        <f t="shared" si="7"/>
        <v/>
      </c>
      <c r="J16" s="696" t="str">
        <f t="shared" si="2"/>
        <v/>
      </c>
      <c r="K16" s="663"/>
      <c r="L16" s="684"/>
      <c r="M16" s="684"/>
      <c r="N16" s="662" t="str">
        <f t="shared" si="3"/>
        <v/>
      </c>
      <c r="O16" s="662"/>
      <c r="P16" s="662" t="str">
        <f t="shared" si="4"/>
        <v/>
      </c>
      <c r="Q16" s="662" t="str">
        <f t="shared" si="5"/>
        <v/>
      </c>
      <c r="R16" s="696" t="str">
        <f t="shared" si="6"/>
        <v/>
      </c>
      <c r="S16" s="662"/>
      <c r="T16" s="687"/>
      <c r="U16" s="687"/>
      <c r="V16" s="664" t="str">
        <f t="shared" si="12"/>
        <v/>
      </c>
      <c r="W16" s="697" t="str">
        <f t="shared" si="11"/>
        <v/>
      </c>
      <c r="X16" s="664"/>
      <c r="Y16" s="664"/>
      <c r="Z16" s="662"/>
      <c r="AA16" s="665"/>
      <c r="AB16" s="665"/>
      <c r="AC16" s="663"/>
      <c r="AD16" s="662"/>
      <c r="AE16" s="663"/>
      <c r="AF16" s="662"/>
      <c r="AJ16" s="671"/>
      <c r="AK16" s="671"/>
      <c r="AL16" s="672"/>
    </row>
    <row r="17" spans="2:47" hidden="1">
      <c r="B17" s="661" t="s">
        <v>1711</v>
      </c>
      <c r="C17" s="681">
        <f>Segments!N71</f>
        <v>79.268000000000001</v>
      </c>
      <c r="D17" s="681">
        <f>Segments!O71</f>
        <v>31.840999999999994</v>
      </c>
      <c r="E17" s="681">
        <f>Segments!P71</f>
        <v>111.10899999999999</v>
      </c>
      <c r="F17" s="681">
        <f>Segments!Q$71</f>
        <v>96.242000000000004</v>
      </c>
      <c r="G17" s="684">
        <f>H17-F17</f>
        <v>332.73199999999997</v>
      </c>
      <c r="H17" s="684">
        <f>0.364*H10</f>
        <v>428.97399999999999</v>
      </c>
      <c r="I17" s="662">
        <f t="shared" si="7"/>
        <v>9.4497974309852086</v>
      </c>
      <c r="J17" s="696">
        <f>IFERROR(H17/E17-1,"")</f>
        <v>2.8608393559477632</v>
      </c>
      <c r="K17" s="663"/>
      <c r="L17" s="684">
        <v>35.044238918007963</v>
      </c>
      <c r="M17" s="684">
        <v>131.28623891800797</v>
      </c>
      <c r="N17" s="662">
        <f t="shared" si="3"/>
        <v>0.10060107779303329</v>
      </c>
      <c r="O17" s="662"/>
      <c r="P17" s="662">
        <f t="shared" si="4"/>
        <v>0.18159860063548394</v>
      </c>
      <c r="Q17" s="662">
        <f t="shared" si="5"/>
        <v>8.4946276555893778</v>
      </c>
      <c r="R17" s="696">
        <f>IFERROR(H17/M17-1,"")</f>
        <v>2.2674711648027834</v>
      </c>
      <c r="S17" s="662"/>
      <c r="T17" s="687"/>
      <c r="U17" s="687"/>
      <c r="V17" s="664" t="str">
        <f t="shared" si="12"/>
        <v/>
      </c>
      <c r="W17" s="697" t="str">
        <f t="shared" si="11"/>
        <v/>
      </c>
      <c r="X17" s="664"/>
      <c r="Y17" s="664"/>
      <c r="Z17" s="662"/>
      <c r="AA17" s="665"/>
      <c r="AB17" s="665"/>
      <c r="AC17" s="663"/>
      <c r="AD17" s="662"/>
      <c r="AE17" s="663"/>
      <c r="AF17" s="662"/>
      <c r="AJ17" s="671"/>
      <c r="AK17" s="671"/>
      <c r="AL17" s="672"/>
    </row>
    <row r="18" spans="2:47" hidden="1">
      <c r="B18" s="661" t="s">
        <v>1800</v>
      </c>
      <c r="C18" s="681">
        <f>Segments!N84</f>
        <v>15.337999999999999</v>
      </c>
      <c r="D18" s="681">
        <f>Segments!O84</f>
        <v>9.9830000000000023</v>
      </c>
      <c r="E18" s="681">
        <f>Segments!P84</f>
        <v>25.321000000000002</v>
      </c>
      <c r="F18" s="681">
        <f>Segments!Q$84</f>
        <v>16.268999999999998</v>
      </c>
      <c r="G18" s="684">
        <f>H18-F18</f>
        <v>40.827199999999998</v>
      </c>
      <c r="H18" s="684">
        <f>0.238*H11</f>
        <v>57.096199999999996</v>
      </c>
      <c r="I18" s="662">
        <f t="shared" si="7"/>
        <v>3.0896724431533595</v>
      </c>
      <c r="J18" s="696">
        <f t="shared" si="2"/>
        <v>1.254895146321235</v>
      </c>
      <c r="K18" s="663"/>
      <c r="L18" s="684">
        <v>10.643875000000001</v>
      </c>
      <c r="M18" s="684">
        <v>26.912875</v>
      </c>
      <c r="N18" s="662">
        <f t="shared" si="3"/>
        <v>6.6200040068115751E-2</v>
      </c>
      <c r="O18" s="662"/>
      <c r="P18" s="662">
        <f t="shared" si="4"/>
        <v>6.2867777733896624E-2</v>
      </c>
      <c r="Q18" s="662">
        <f t="shared" si="5"/>
        <v>2.8357459102065734</v>
      </c>
      <c r="R18" s="696">
        <f t="shared" si="6"/>
        <v>1.1215199045066719</v>
      </c>
      <c r="S18" s="662"/>
      <c r="T18" s="687"/>
      <c r="U18" s="687"/>
      <c r="V18" s="664" t="str">
        <f t="shared" si="12"/>
        <v/>
      </c>
      <c r="W18" s="697" t="str">
        <f t="shared" si="11"/>
        <v/>
      </c>
      <c r="X18" s="664"/>
      <c r="Y18" s="664"/>
      <c r="Z18" s="662"/>
      <c r="AA18" s="665"/>
      <c r="AB18" s="665"/>
      <c r="AC18" s="663"/>
      <c r="AD18" s="662"/>
      <c r="AE18" s="663"/>
      <c r="AF18" s="662"/>
      <c r="AJ18" s="671"/>
      <c r="AK18" s="671"/>
      <c r="AL18" s="672"/>
    </row>
    <row r="19" spans="2:47" hidden="1">
      <c r="B19" s="661" t="s">
        <v>1796</v>
      </c>
      <c r="C19" s="681">
        <f>Segments!N89</f>
        <v>0</v>
      </c>
      <c r="D19" s="681">
        <f>Segments!O89</f>
        <v>0</v>
      </c>
      <c r="E19" s="681">
        <f>Segments!P89</f>
        <v>0</v>
      </c>
      <c r="F19" s="681">
        <f>Segments!Q$89</f>
        <v>0</v>
      </c>
      <c r="G19" s="684">
        <f>H19-F19</f>
        <v>0</v>
      </c>
      <c r="H19" s="684"/>
      <c r="I19" s="662" t="str">
        <f t="shared" si="7"/>
        <v/>
      </c>
      <c r="J19" s="696" t="str">
        <f t="shared" si="2"/>
        <v/>
      </c>
      <c r="K19" s="663"/>
      <c r="L19" s="684">
        <v>0</v>
      </c>
      <c r="M19" s="684">
        <v>0</v>
      </c>
      <c r="N19" s="662" t="str">
        <f t="shared" si="3"/>
        <v/>
      </c>
      <c r="O19" s="662"/>
      <c r="P19" s="662" t="str">
        <f t="shared" si="4"/>
        <v/>
      </c>
      <c r="Q19" s="662" t="str">
        <f t="shared" si="5"/>
        <v/>
      </c>
      <c r="R19" s="696" t="str">
        <f t="shared" si="6"/>
        <v/>
      </c>
      <c r="S19" s="662"/>
      <c r="T19" s="687"/>
      <c r="U19" s="687"/>
      <c r="V19" s="664" t="str">
        <f t="shared" si="12"/>
        <v/>
      </c>
      <c r="W19" s="697" t="str">
        <f t="shared" si="11"/>
        <v/>
      </c>
      <c r="X19" s="664"/>
      <c r="Y19" s="664"/>
      <c r="Z19" s="662"/>
      <c r="AA19" s="665"/>
      <c r="AB19" s="665"/>
      <c r="AC19" s="663"/>
      <c r="AD19" s="662"/>
      <c r="AE19" s="663"/>
      <c r="AF19" s="662"/>
    </row>
    <row r="20" spans="2:47" s="666" customFormat="1" ht="15">
      <c r="B20" s="667" t="s">
        <v>1785</v>
      </c>
      <c r="C20" s="680">
        <f>MODEL!N44</f>
        <v>94.605999999999995</v>
      </c>
      <c r="D20" s="680">
        <f>MODEL!O44</f>
        <v>41.823999999999998</v>
      </c>
      <c r="E20" s="680">
        <f>MODEL!P44</f>
        <v>136.43</v>
      </c>
      <c r="F20" s="680">
        <f>MODEL!Q$44</f>
        <v>112.511</v>
      </c>
      <c r="G20" s="685">
        <f>H20-F20</f>
        <v>43.88900000000001</v>
      </c>
      <c r="H20" s="685">
        <v>156.4</v>
      </c>
      <c r="I20" s="664">
        <f t="shared" si="7"/>
        <v>4.9373565416985787E-2</v>
      </c>
      <c r="J20" s="697">
        <f>IFERROR(H20/E20-1,"")</f>
        <v>0.14637543062376301</v>
      </c>
      <c r="K20" s="668"/>
      <c r="L20" s="685">
        <v>45.688113918007964</v>
      </c>
      <c r="M20" s="685">
        <v>158.19911391800798</v>
      </c>
      <c r="N20" s="664">
        <f t="shared" si="3"/>
        <v>9.2389869883511055E-2</v>
      </c>
      <c r="O20" s="664"/>
      <c r="P20" s="664">
        <f t="shared" si="4"/>
        <v>0.15956251497477081</v>
      </c>
      <c r="Q20" s="664">
        <f t="shared" si="5"/>
        <v>-3.937816127049254E-2</v>
      </c>
      <c r="R20" s="697">
        <f>IFERROR(H20/M20-1,"")</f>
        <v>-1.1372465201925364E-2</v>
      </c>
      <c r="S20" s="664"/>
      <c r="T20" s="686">
        <f>U20-F20</f>
        <v>43.783170000000013</v>
      </c>
      <c r="U20" s="686">
        <f>_xll.FDS($AB$5,"FE_ESTIMATE("&amp;$AB20&amp;",MEAN,ANNUAL_ROLL,+1,NOW,,,'')")</f>
        <v>156.29417000000001</v>
      </c>
      <c r="V20" s="664">
        <f t="shared" si="12"/>
        <v>2.4171388229770052E-3</v>
      </c>
      <c r="W20" s="697">
        <f t="shared" si="11"/>
        <v>6.7712058613578208E-4</v>
      </c>
      <c r="X20" s="664"/>
      <c r="Y20" s="664"/>
      <c r="Z20" s="664"/>
      <c r="AA20" s="669"/>
      <c r="AB20" t="s">
        <v>1107</v>
      </c>
      <c r="AC20" s="667"/>
      <c r="AD20" s="662"/>
      <c r="AE20" s="668"/>
      <c r="AF20" s="662"/>
    </row>
    <row r="21" spans="2:47">
      <c r="B21" s="661"/>
      <c r="C21" s="682"/>
      <c r="D21" s="682"/>
      <c r="E21" s="682"/>
      <c r="F21" s="682"/>
      <c r="G21" s="684"/>
      <c r="H21" s="684"/>
      <c r="I21" s="662" t="str">
        <f t="shared" si="7"/>
        <v/>
      </c>
      <c r="J21" s="696" t="str">
        <f t="shared" si="2"/>
        <v/>
      </c>
      <c r="K21" s="663"/>
      <c r="L21" s="684"/>
      <c r="M21" s="684"/>
      <c r="N21" s="662" t="str">
        <f t="shared" si="3"/>
        <v/>
      </c>
      <c r="O21" s="662"/>
      <c r="P21" s="662" t="str">
        <f t="shared" si="4"/>
        <v/>
      </c>
      <c r="Q21" s="662" t="str">
        <f t="shared" si="5"/>
        <v/>
      </c>
      <c r="R21" s="696" t="str">
        <f t="shared" si="6"/>
        <v/>
      </c>
      <c r="S21" s="670"/>
      <c r="T21" s="687"/>
      <c r="U21" s="687"/>
      <c r="V21" s="664" t="str">
        <f t="shared" si="12"/>
        <v/>
      </c>
      <c r="W21" s="697" t="str">
        <f t="shared" si="11"/>
        <v/>
      </c>
      <c r="X21" s="664"/>
      <c r="Y21" s="664"/>
      <c r="Z21" s="670"/>
      <c r="AA21" s="670"/>
      <c r="AB21" s="670"/>
      <c r="AC21" s="661"/>
      <c r="AD21" s="661"/>
      <c r="AE21" s="661"/>
      <c r="AF21" s="661"/>
    </row>
    <row r="22" spans="2:47" s="666" customFormat="1" ht="15">
      <c r="B22" s="667" t="s">
        <v>1786</v>
      </c>
      <c r="C22" s="683">
        <f>MODEL!N57</f>
        <v>64.16</v>
      </c>
      <c r="D22" s="683">
        <f>MODEL!O57</f>
        <v>26.807999999999996</v>
      </c>
      <c r="E22" s="683">
        <f>MODEL!P57</f>
        <v>90.968000000000004</v>
      </c>
      <c r="F22" s="683">
        <f>MODEL!Q$57</f>
        <v>77.695999999999998</v>
      </c>
      <c r="G22" s="685">
        <f>H22-F22</f>
        <v>28.004000000000005</v>
      </c>
      <c r="H22" s="685">
        <v>105.7</v>
      </c>
      <c r="I22" s="664">
        <f t="shared" si="7"/>
        <v>4.4613548194569086E-2</v>
      </c>
      <c r="J22" s="697">
        <f t="shared" si="2"/>
        <v>0.16194705830621747</v>
      </c>
      <c r="K22" s="668"/>
      <c r="L22" s="685">
        <v>29.970099816278662</v>
      </c>
      <c r="M22" s="685">
        <v>107.66609981627866</v>
      </c>
      <c r="N22" s="664">
        <f t="shared" si="3"/>
        <v>0.11795358908828213</v>
      </c>
      <c r="O22" s="664"/>
      <c r="P22" s="664">
        <f t="shared" si="4"/>
        <v>0.18356015100121637</v>
      </c>
      <c r="Q22" s="664">
        <f t="shared" si="5"/>
        <v>-6.5602044315205887E-2</v>
      </c>
      <c r="R22" s="697">
        <f t="shared" si="6"/>
        <v>-1.8261085147819101E-2</v>
      </c>
      <c r="S22" s="664"/>
      <c r="T22" s="686">
        <f>U22-F22</f>
        <v>27.174390000000002</v>
      </c>
      <c r="U22" s="686">
        <f>_xll.FDS($AB$5,"FE_ESTIMATE("&amp;$AB22&amp;",MEAN,ANNUAL_ROLL,+1,NOW,,,'')")</f>
        <v>104.87039</v>
      </c>
      <c r="V22" s="664">
        <f t="shared" si="12"/>
        <v>3.0529112153023563E-2</v>
      </c>
      <c r="W22" s="697">
        <f t="shared" si="11"/>
        <v>7.9108125754085989E-3</v>
      </c>
      <c r="X22" s="664"/>
      <c r="Y22" s="664"/>
      <c r="Z22" s="664"/>
      <c r="AA22" s="669"/>
      <c r="AB22" t="s">
        <v>1715</v>
      </c>
      <c r="AC22" s="668"/>
      <c r="AD22" s="664"/>
      <c r="AE22" s="668"/>
      <c r="AF22" s="664"/>
    </row>
    <row r="23" spans="2:47">
      <c r="B23" s="661" t="s">
        <v>1805</v>
      </c>
      <c r="C23" s="682">
        <f>C22-C24</f>
        <v>0</v>
      </c>
      <c r="D23" s="682">
        <f t="shared" ref="D23:F23" si="13">D22-D24</f>
        <v>0</v>
      </c>
      <c r="E23" s="682">
        <f t="shared" si="13"/>
        <v>0</v>
      </c>
      <c r="F23" s="682">
        <f t="shared" si="13"/>
        <v>0</v>
      </c>
      <c r="G23" s="684">
        <f>H23-F23</f>
        <v>0</v>
      </c>
      <c r="H23" s="684">
        <v>0</v>
      </c>
      <c r="I23" s="662" t="str">
        <f t="shared" si="7"/>
        <v/>
      </c>
      <c r="J23" s="696" t="str">
        <f t="shared" si="2"/>
        <v/>
      </c>
      <c r="K23" s="663"/>
      <c r="L23" s="684">
        <v>0</v>
      </c>
      <c r="M23" s="684">
        <v>0</v>
      </c>
      <c r="N23" s="662" t="str">
        <f t="shared" si="3"/>
        <v/>
      </c>
      <c r="O23" s="662"/>
      <c r="P23" s="662" t="str">
        <f t="shared" si="4"/>
        <v/>
      </c>
      <c r="Q23" s="662" t="str">
        <f t="shared" si="5"/>
        <v/>
      </c>
      <c r="R23" s="696" t="str">
        <f t="shared" si="6"/>
        <v/>
      </c>
      <c r="S23" s="662"/>
      <c r="T23" s="687"/>
      <c r="U23" s="687"/>
      <c r="V23" s="664" t="str">
        <f t="shared" si="12"/>
        <v/>
      </c>
      <c r="W23" s="697" t="str">
        <f t="shared" si="11"/>
        <v/>
      </c>
      <c r="X23" s="664"/>
      <c r="Y23" s="664"/>
      <c r="Z23" s="662"/>
      <c r="AA23" s="665"/>
      <c r="AC23" s="663"/>
      <c r="AD23" s="662"/>
      <c r="AE23" s="663"/>
      <c r="AF23" s="662"/>
    </row>
    <row r="24" spans="2:47">
      <c r="B24" s="661" t="s">
        <v>1797</v>
      </c>
      <c r="C24" s="682">
        <f>MODEL!N63</f>
        <v>64.16</v>
      </c>
      <c r="D24" s="682">
        <f>MODEL!O63</f>
        <v>26.807999999999996</v>
      </c>
      <c r="E24" s="682">
        <f>MODEL!P63</f>
        <v>90.968000000000004</v>
      </c>
      <c r="F24" s="682">
        <f>MODEL!Q$63</f>
        <v>77.695999999999998</v>
      </c>
      <c r="G24" s="684">
        <f>H24-F24</f>
        <v>28.004000000000005</v>
      </c>
      <c r="H24" s="684">
        <v>105.7</v>
      </c>
      <c r="I24" s="662">
        <f t="shared" si="7"/>
        <v>4.4613548194569086E-2</v>
      </c>
      <c r="J24" s="696">
        <f t="shared" si="2"/>
        <v>0.16194705830621747</v>
      </c>
      <c r="K24" s="663"/>
      <c r="L24" s="684">
        <v>29.970099816278662</v>
      </c>
      <c r="M24" s="684">
        <v>107.66609981627866</v>
      </c>
      <c r="N24" s="662">
        <f t="shared" si="3"/>
        <v>0.11795358908828213</v>
      </c>
      <c r="O24" s="662"/>
      <c r="P24" s="662">
        <f t="shared" si="4"/>
        <v>0.18356015100121637</v>
      </c>
      <c r="Q24" s="662">
        <f t="shared" si="5"/>
        <v>-6.5602044315205887E-2</v>
      </c>
      <c r="R24" s="696">
        <f t="shared" si="6"/>
        <v>-1.8261085147819101E-2</v>
      </c>
      <c r="S24" s="662"/>
      <c r="T24" s="687">
        <f>U24-F24</f>
        <v>27.58587</v>
      </c>
      <c r="U24" s="687">
        <f>_xll.FDS($AB$5,"FE_ESTIMATE("&amp;$AB24&amp;",MEAN,ANNUAL_ROLL,+1,NOW,,,'')")</f>
        <v>105.28187</v>
      </c>
      <c r="V24" s="662">
        <f t="shared" si="12"/>
        <v>1.515739760971857E-2</v>
      </c>
      <c r="W24" s="696">
        <f t="shared" si="11"/>
        <v>3.9715290011470561E-3</v>
      </c>
      <c r="X24" s="662"/>
      <c r="Y24" s="662"/>
      <c r="Z24" s="662"/>
      <c r="AA24" s="665"/>
      <c r="AB24" t="s">
        <v>1827</v>
      </c>
      <c r="AC24" s="663"/>
      <c r="AD24" s="662"/>
      <c r="AE24" s="663"/>
      <c r="AF24" s="662"/>
    </row>
    <row r="25" spans="2:47">
      <c r="B25" s="661"/>
      <c r="C25" s="682"/>
      <c r="D25" s="682"/>
      <c r="E25" s="682"/>
      <c r="F25" s="682"/>
      <c r="G25" s="684"/>
      <c r="H25" s="684"/>
      <c r="I25" s="662"/>
      <c r="J25" s="696"/>
      <c r="K25" s="663"/>
      <c r="L25" s="684"/>
      <c r="M25" s="684"/>
      <c r="N25" s="662"/>
      <c r="O25" s="662"/>
      <c r="P25" s="662"/>
      <c r="Q25" s="662" t="str">
        <f t="shared" si="5"/>
        <v/>
      </c>
      <c r="R25" s="696" t="str">
        <f t="shared" si="6"/>
        <v/>
      </c>
      <c r="S25" s="662"/>
      <c r="T25" s="687"/>
      <c r="U25" s="687"/>
      <c r="V25" s="662" t="str">
        <f t="shared" si="12"/>
        <v/>
      </c>
      <c r="W25" s="696" t="str">
        <f t="shared" si="11"/>
        <v/>
      </c>
      <c r="X25" s="662"/>
      <c r="Y25" s="662"/>
      <c r="Z25" s="662"/>
      <c r="AA25" s="665"/>
      <c r="AC25" s="663"/>
      <c r="AD25" s="662"/>
      <c r="AE25" s="663"/>
      <c r="AF25" s="662"/>
    </row>
    <row r="26" spans="2:47">
      <c r="B26" s="661" t="s">
        <v>1595</v>
      </c>
      <c r="C26" s="690">
        <f>MODEL!N13</f>
        <v>0.35015007918892532</v>
      </c>
      <c r="D26" s="690">
        <f>MODEL!O13</f>
        <v>0.34555413141570934</v>
      </c>
      <c r="E26" s="690">
        <f>MODEL!P13</f>
        <v>0.34830536374498072</v>
      </c>
      <c r="F26" s="690">
        <f>MODEL!Q$13</f>
        <v>0.34142824463187665</v>
      </c>
      <c r="G26" s="692">
        <f>(485.9-300)/G12</f>
        <v>0.34442445543325406</v>
      </c>
      <c r="H26" s="692">
        <v>0.34300000000000003</v>
      </c>
      <c r="I26" s="688" t="str">
        <f>TEXT((G26-D26)*10000,"0.0")&amp;" bp"</f>
        <v>-11.3 bp</v>
      </c>
      <c r="J26" s="698" t="str">
        <f>TEXT((H26-E26)*10000,"0.0")&amp;" bp"</f>
        <v>-53.1 bp</v>
      </c>
      <c r="K26" s="663"/>
      <c r="L26" s="689">
        <v>0.33771362363711305</v>
      </c>
      <c r="M26" s="689">
        <v>0.34</v>
      </c>
      <c r="N26" s="688" t="str">
        <f>TEXT((L26-D26)*10000,"0.0")&amp;" bp"</f>
        <v>-78.4 bp</v>
      </c>
      <c r="O26" s="688"/>
      <c r="P26" s="688" t="str">
        <f t="shared" ref="P26:P28" si="14">TEXT((M26-E26)*10000,"0.0")&amp;" bp"</f>
        <v>-83.1 bp</v>
      </c>
      <c r="Q26" s="662">
        <f t="shared" si="5"/>
        <v>1.9871368302725179E-2</v>
      </c>
      <c r="R26" s="696">
        <f t="shared" si="6"/>
        <v>8.8235294117646745E-3</v>
      </c>
      <c r="S26" s="690"/>
      <c r="T26" s="687"/>
      <c r="U26" s="687"/>
      <c r="V26" s="662" t="str">
        <f t="shared" si="12"/>
        <v/>
      </c>
      <c r="W26" s="696" t="str">
        <f t="shared" si="11"/>
        <v/>
      </c>
      <c r="X26" s="690"/>
      <c r="Y26" s="690"/>
      <c r="Z26" s="690"/>
      <c r="AA26" s="665"/>
      <c r="AC26" s="663"/>
      <c r="AD26" s="662"/>
      <c r="AE26" s="663"/>
      <c r="AF26" s="662"/>
    </row>
    <row r="27" spans="2:47">
      <c r="B27" s="661" t="s">
        <v>1551</v>
      </c>
      <c r="C27" s="690">
        <f>MODEL!N45</f>
        <v>0.13306833877669286</v>
      </c>
      <c r="D27" s="690">
        <f>MODEL!O45</f>
        <v>8.7736337872167239E-2</v>
      </c>
      <c r="E27" s="690">
        <f>MODEL!P45</f>
        <v>0.11487304015714948</v>
      </c>
      <c r="F27" s="690">
        <f>MODEL!Q$45</f>
        <v>0.12804853760104884</v>
      </c>
      <c r="G27" s="692">
        <f>G20/G12</f>
        <v>8.1314926974233953E-2</v>
      </c>
      <c r="H27" s="692">
        <f>H20/H12</f>
        <v>0.11026508742244782</v>
      </c>
      <c r="I27" s="688" t="str">
        <f t="shared" ref="I27:J28" si="15">TEXT((G27-D27)*10000,"0.0")&amp;" bp"</f>
        <v>-64.2 bp</v>
      </c>
      <c r="J27" s="698" t="str">
        <f t="shared" si="15"/>
        <v>-46.1 bp</v>
      </c>
      <c r="K27" s="663"/>
      <c r="L27" s="689">
        <v>8.3239217593683773E-2</v>
      </c>
      <c r="M27" s="689">
        <v>0.11081968145427726</v>
      </c>
      <c r="N27" s="688" t="str">
        <f t="shared" ref="N27:N28" si="16">TEXT((L27-D27)*10000,"0.0")&amp;" bp"</f>
        <v>-45.0 bp</v>
      </c>
      <c r="O27" s="688"/>
      <c r="P27" s="688" t="str">
        <f t="shared" si="14"/>
        <v>-40.5 bp</v>
      </c>
      <c r="Q27" s="662">
        <f t="shared" si="5"/>
        <v>-2.3117596189369261E-2</v>
      </c>
      <c r="R27" s="696">
        <f t="shared" si="6"/>
        <v>-5.0044723514048872E-3</v>
      </c>
      <c r="S27" s="690"/>
      <c r="T27" s="689">
        <f>T20/T12</f>
        <v>7.9516242804464538E-2</v>
      </c>
      <c r="U27" s="689">
        <f t="shared" ref="U27" si="17">U20/U12</f>
        <v>0.10935181828142346</v>
      </c>
      <c r="V27" s="662">
        <f t="shared" si="12"/>
        <v>2.2620336503983207E-2</v>
      </c>
      <c r="W27" s="696">
        <f t="shared" si="11"/>
        <v>8.3516593997001731E-3</v>
      </c>
      <c r="X27" s="690"/>
      <c r="Y27" s="690"/>
      <c r="Z27" s="690"/>
      <c r="AA27" s="665"/>
      <c r="AC27" s="663"/>
      <c r="AD27" s="662"/>
      <c r="AE27" s="663"/>
      <c r="AF27" s="662"/>
    </row>
    <row r="28" spans="2:47">
      <c r="B28" s="661" t="s">
        <v>1831</v>
      </c>
      <c r="C28" s="690">
        <f>MODEL!N57/MODEL!N5</f>
        <v>9.0244430753996713E-2</v>
      </c>
      <c r="D28" s="690">
        <f>MODEL!O57/MODEL!O5</f>
        <v>5.6236508838873836E-2</v>
      </c>
      <c r="E28" s="690">
        <f>MODEL!P57/MODEL!P5</f>
        <v>7.6594375995129915E-2</v>
      </c>
      <c r="F28" s="690">
        <f>MODEL!Q$57/MODEL!Q$5</f>
        <v>8.8425657735253363E-2</v>
      </c>
      <c r="G28" s="692">
        <f>G22/G12</f>
        <v>5.1884144432236955E-2</v>
      </c>
      <c r="H28" s="692">
        <f>H22/H12</f>
        <v>7.452058657642413E-2</v>
      </c>
      <c r="I28" s="688" t="str">
        <f t="shared" si="15"/>
        <v>-43.5 bp</v>
      </c>
      <c r="J28" s="698" t="str">
        <f t="shared" si="15"/>
        <v>-20.7 bp</v>
      </c>
      <c r="K28" s="663"/>
      <c r="L28" s="689">
        <v>5.4602552961337293E-2</v>
      </c>
      <c r="M28" s="689">
        <v>7.5420921075754793E-2</v>
      </c>
      <c r="N28" s="688" t="str">
        <f t="shared" si="16"/>
        <v>-16.3 bp</v>
      </c>
      <c r="O28" s="688"/>
      <c r="P28" s="688" t="str">
        <f t="shared" si="14"/>
        <v>-11.7 bp</v>
      </c>
      <c r="Q28" s="662">
        <f t="shared" si="5"/>
        <v>-4.9785374156867235E-2</v>
      </c>
      <c r="R28" s="696">
        <f t="shared" si="6"/>
        <v>-1.1937463590856234E-2</v>
      </c>
      <c r="S28" s="690"/>
      <c r="T28" s="689">
        <f>T22/T12</f>
        <v>4.9352419966466859E-2</v>
      </c>
      <c r="U28" s="689">
        <f t="shared" ref="U28" si="18">U22/U12</f>
        <v>7.337297245560731E-2</v>
      </c>
      <c r="V28" s="662">
        <f t="shared" si="12"/>
        <v>5.1298892080475555E-2</v>
      </c>
      <c r="W28" s="696">
        <f t="shared" si="11"/>
        <v>1.5640829073827689E-2</v>
      </c>
      <c r="X28" s="690"/>
      <c r="Y28" s="690"/>
      <c r="Z28" s="690"/>
      <c r="AA28" s="665"/>
      <c r="AC28" s="663"/>
      <c r="AD28" s="662"/>
      <c r="AE28" s="663"/>
      <c r="AF28" s="662"/>
    </row>
    <row r="29" spans="2:47">
      <c r="B29" s="661"/>
      <c r="C29" s="684"/>
      <c r="D29" s="684"/>
      <c r="E29" s="684"/>
      <c r="F29" s="684"/>
      <c r="G29" s="684"/>
      <c r="H29" s="684"/>
      <c r="I29" s="662" t="str">
        <f t="shared" si="7"/>
        <v/>
      </c>
      <c r="J29" s="696" t="str">
        <f t="shared" si="2"/>
        <v/>
      </c>
      <c r="K29" s="663"/>
      <c r="L29" s="684"/>
      <c r="M29" s="684"/>
      <c r="N29" s="662" t="str">
        <f t="shared" si="3"/>
        <v/>
      </c>
      <c r="O29" s="662"/>
      <c r="P29" s="662" t="str">
        <f t="shared" si="4"/>
        <v/>
      </c>
      <c r="Q29" s="662" t="str">
        <f t="shared" si="5"/>
        <v/>
      </c>
      <c r="R29" s="696" t="str">
        <f t="shared" si="6"/>
        <v/>
      </c>
      <c r="S29" s="662"/>
      <c r="T29" s="687"/>
      <c r="U29" s="687"/>
      <c r="V29" s="662" t="str">
        <f t="shared" si="12"/>
        <v/>
      </c>
      <c r="W29" s="696" t="str">
        <f t="shared" si="11"/>
        <v/>
      </c>
      <c r="X29" s="662"/>
      <c r="Y29" s="662"/>
      <c r="Z29" s="662"/>
      <c r="AA29" s="665"/>
      <c r="AB29" s="665"/>
      <c r="AC29" s="663"/>
      <c r="AD29" s="662"/>
      <c r="AE29" s="663"/>
      <c r="AF29" s="662"/>
    </row>
    <row r="30" spans="2:47">
      <c r="B30" s="661" t="s">
        <v>1798</v>
      </c>
      <c r="C30" s="682">
        <f>MODEL!N66</f>
        <v>46.600000000000009</v>
      </c>
      <c r="D30" s="682">
        <f>MODEL!O66</f>
        <v>19.157306327210691</v>
      </c>
      <c r="E30" s="682">
        <f>MODEL!P66</f>
        <v>65.757306327210699</v>
      </c>
      <c r="F30" s="682">
        <f>MODEL!Q$66</f>
        <v>55.836078221504771</v>
      </c>
      <c r="G30" s="684">
        <f>H30-F30</f>
        <v>19.463921778495227</v>
      </c>
      <c r="H30" s="684">
        <v>75.3</v>
      </c>
      <c r="I30" s="662">
        <f t="shared" si="7"/>
        <v>1.6005144253971926E-2</v>
      </c>
      <c r="J30" s="696">
        <f t="shared" si="2"/>
        <v>0.14511989930525004</v>
      </c>
      <c r="K30" s="673"/>
      <c r="L30" s="684">
        <v>21.537953532331677</v>
      </c>
      <c r="M30" s="684">
        <v>77.374031753836448</v>
      </c>
      <c r="N30" s="662">
        <f t="shared" si="3"/>
        <v>0.12426836865575197</v>
      </c>
      <c r="O30" s="662"/>
      <c r="P30" s="662">
        <f t="shared" si="4"/>
        <v>0.17666060359620728</v>
      </c>
      <c r="Q30" s="662">
        <f t="shared" si="5"/>
        <v>-9.629660267968454E-2</v>
      </c>
      <c r="R30" s="696">
        <f t="shared" si="6"/>
        <v>-2.680526924634008E-2</v>
      </c>
      <c r="S30" s="662"/>
      <c r="T30" s="687">
        <f>U30-F30</f>
        <v>19.726001778495224</v>
      </c>
      <c r="U30" s="687">
        <f>_xll.FDS($AB$5,"FE_ESTIMATE("&amp;$AB30&amp;",MEAN,ANNUAL_ROLL,+1,NOW,,,'')")*100</f>
        <v>75.562079999999995</v>
      </c>
      <c r="V30" s="662">
        <f t="shared" si="12"/>
        <v>-1.3286017254936611E-2</v>
      </c>
      <c r="W30" s="696">
        <f t="shared" si="11"/>
        <v>-3.468406375261246E-3</v>
      </c>
      <c r="X30" s="662"/>
      <c r="Y30" s="662"/>
      <c r="Z30" s="662"/>
      <c r="AA30" s="665"/>
      <c r="AB30" t="s">
        <v>189</v>
      </c>
      <c r="AC30" s="663"/>
      <c r="AD30" s="662"/>
      <c r="AE30" s="673"/>
      <c r="AF30" s="662"/>
      <c r="AG30" s="632"/>
    </row>
    <row r="31" spans="2:47">
      <c r="B31" s="661" t="str">
        <f>"DPS (A¢)"</f>
        <v>DPS (A¢)</v>
      </c>
      <c r="C31" s="682">
        <f>MODEL!N72</f>
        <v>13</v>
      </c>
      <c r="D31" s="682">
        <f>MODEL!O72</f>
        <v>13.5</v>
      </c>
      <c r="E31" s="682">
        <f>MODEL!P72</f>
        <v>26.5</v>
      </c>
      <c r="F31" s="682">
        <f>MODEL!Q$72</f>
        <v>15</v>
      </c>
      <c r="G31" s="684">
        <v>15</v>
      </c>
      <c r="H31" s="684">
        <f>G31+F31</f>
        <v>30</v>
      </c>
      <c r="I31" s="662">
        <f t="shared" si="7"/>
        <v>0.11111111111111116</v>
      </c>
      <c r="J31" s="696">
        <f t="shared" si="2"/>
        <v>0.13207547169811318</v>
      </c>
      <c r="K31" s="673"/>
      <c r="L31" s="684">
        <v>12</v>
      </c>
      <c r="M31" s="684">
        <v>27</v>
      </c>
      <c r="N31" s="662">
        <f t="shared" si="3"/>
        <v>-0.11111111111111116</v>
      </c>
      <c r="O31" s="662"/>
      <c r="P31" s="662">
        <f t="shared" si="4"/>
        <v>1.8867924528301883E-2</v>
      </c>
      <c r="Q31" s="662">
        <f t="shared" si="5"/>
        <v>0.25</v>
      </c>
      <c r="R31" s="696">
        <f t="shared" si="6"/>
        <v>0.11111111111111116</v>
      </c>
      <c r="S31" s="662"/>
      <c r="T31" s="687">
        <f>U31-F31</f>
        <v>14.124296000000001</v>
      </c>
      <c r="U31" s="687">
        <f>_xll.FDS($AB$5,"FE_ESTIMATE("&amp;$AB31&amp;",MEAN,ANNUAL_ROLL,+1,NOW,,,'')")*100</f>
        <v>29.124296000000001</v>
      </c>
      <c r="V31" s="662">
        <f t="shared" si="12"/>
        <v>6.199983347842597E-2</v>
      </c>
      <c r="W31" s="696">
        <f t="shared" si="11"/>
        <v>3.0067816918218249E-2</v>
      </c>
      <c r="X31" s="662"/>
      <c r="Y31" s="662"/>
      <c r="Z31" s="662"/>
      <c r="AA31" s="665"/>
      <c r="AB31" s="665" t="s">
        <v>1370</v>
      </c>
      <c r="AC31" s="663"/>
      <c r="AD31" s="662"/>
      <c r="AE31" s="663"/>
      <c r="AF31" s="662"/>
      <c r="AG31" s="632"/>
      <c r="AQ31" s="310"/>
      <c r="AR31" s="310"/>
      <c r="AS31" s="674"/>
      <c r="AT31" s="310"/>
      <c r="AU31" s="674"/>
    </row>
    <row r="32" spans="2:47">
      <c r="B32" s="661"/>
      <c r="C32" s="682"/>
      <c r="D32" s="682"/>
      <c r="E32" s="682"/>
      <c r="F32" s="682"/>
      <c r="G32" s="684"/>
      <c r="H32" s="692"/>
      <c r="I32" s="662" t="str">
        <f t="shared" si="7"/>
        <v/>
      </c>
      <c r="J32" s="662" t="str">
        <f t="shared" si="2"/>
        <v/>
      </c>
      <c r="K32" s="673"/>
      <c r="L32" s="684"/>
      <c r="M32" s="684"/>
      <c r="N32" s="662" t="str">
        <f t="shared" si="3"/>
        <v/>
      </c>
      <c r="O32" s="662"/>
      <c r="P32" s="662" t="str">
        <f t="shared" si="4"/>
        <v/>
      </c>
      <c r="Q32" s="662" t="str">
        <f t="shared" si="5"/>
        <v/>
      </c>
      <c r="R32" s="665" t="str">
        <f t="shared" si="6"/>
        <v/>
      </c>
      <c r="S32" s="662"/>
      <c r="T32" s="687"/>
      <c r="U32" s="687"/>
      <c r="V32" s="662" t="str">
        <f t="shared" si="12"/>
        <v/>
      </c>
      <c r="W32" s="665" t="str">
        <f t="shared" si="11"/>
        <v/>
      </c>
      <c r="X32" s="662"/>
      <c r="Y32" s="662"/>
      <c r="Z32" s="662"/>
      <c r="AA32" s="665"/>
      <c r="AB32" s="665"/>
      <c r="AC32" s="663"/>
      <c r="AD32" s="662"/>
      <c r="AE32" s="663"/>
      <c r="AF32" s="662"/>
      <c r="AG32" s="632"/>
      <c r="AQ32" s="310"/>
      <c r="AR32" s="310"/>
      <c r="AS32" s="674"/>
      <c r="AT32" s="310"/>
      <c r="AU32" s="674"/>
    </row>
    <row r="33" spans="2:47">
      <c r="B33" s="661" t="s">
        <v>1787</v>
      </c>
      <c r="C33" s="682">
        <f>MODEL!N94</f>
        <v>48.146999999999998</v>
      </c>
      <c r="D33" s="682">
        <f>MODEL!O94</f>
        <v>76.12</v>
      </c>
      <c r="E33" s="682">
        <f>MODEL!P94</f>
        <v>124.267</v>
      </c>
      <c r="F33" s="682">
        <f>MODEL!Q$94</f>
        <v>-57.298999999999999</v>
      </c>
      <c r="G33" s="684">
        <f>H33-F33</f>
        <v>15.146000000000001</v>
      </c>
      <c r="H33" s="684">
        <v>-42.152999999999999</v>
      </c>
      <c r="I33" s="662"/>
      <c r="J33" s="662"/>
      <c r="K33" s="663"/>
      <c r="L33" s="684">
        <v>37.177958492009758</v>
      </c>
      <c r="M33" s="684">
        <v>-20.121041507990242</v>
      </c>
      <c r="N33" s="662">
        <f t="shared" si="3"/>
        <v>-0.51158751324212093</v>
      </c>
      <c r="O33" s="662"/>
      <c r="P33" s="662">
        <f t="shared" si="4"/>
        <v>-1.1619178181495509</v>
      </c>
      <c r="Q33" s="662"/>
      <c r="R33" s="665"/>
      <c r="S33" s="662"/>
      <c r="T33" s="687">
        <f>U33-F33</f>
        <v>70.725358</v>
      </c>
      <c r="U33" s="687">
        <f>_xll.FDS($AB$5,"FE_ESTIMATE("&amp;$AB33&amp;",MEAN,ANNUAL_ROLL,+1,NOW,,,'')")</f>
        <v>13.426358</v>
      </c>
      <c r="V33" s="662"/>
      <c r="W33" s="665"/>
      <c r="X33" s="662"/>
      <c r="Y33" s="662"/>
      <c r="Z33" s="662"/>
      <c r="AA33" s="665"/>
      <c r="AB33" t="s">
        <v>1716</v>
      </c>
      <c r="AC33" s="661"/>
      <c r="AD33" s="662"/>
      <c r="AE33" s="663"/>
      <c r="AF33" s="662"/>
      <c r="AG33" s="632"/>
      <c r="AQ33" s="310"/>
      <c r="AR33" s="310"/>
      <c r="AS33" s="674"/>
      <c r="AT33" s="310"/>
      <c r="AU33" s="674"/>
    </row>
    <row r="34" spans="2:47">
      <c r="B34" s="661" t="s">
        <v>1806</v>
      </c>
      <c r="C34" s="682">
        <f>SUM(MODEL!N96:N97)</f>
        <v>-18.12</v>
      </c>
      <c r="D34" s="682">
        <f>SUM(MODEL!O96:O97)</f>
        <v>-12.994999999999999</v>
      </c>
      <c r="E34" s="682">
        <f>SUM(MODEL!P96:P97)</f>
        <v>-31.115000000000002</v>
      </c>
      <c r="F34" s="682">
        <f>SUM(MODEL!Q$96:Q$97)</f>
        <v>-17.936</v>
      </c>
      <c r="G34" s="684">
        <f>H34-F34</f>
        <v>-24.756</v>
      </c>
      <c r="H34" s="684">
        <f>-16.55-26.142</f>
        <v>-42.692</v>
      </c>
      <c r="I34" s="662"/>
      <c r="J34" s="662"/>
      <c r="K34" s="663"/>
      <c r="L34" s="684">
        <v>-27.745160412511407</v>
      </c>
      <c r="M34" s="684">
        <v>-45.68116041251141</v>
      </c>
      <c r="N34" s="662">
        <f t="shared" si="3"/>
        <v>1.1350642872267338</v>
      </c>
      <c r="O34" s="662"/>
      <c r="P34" s="662">
        <f t="shared" si="4"/>
        <v>0.46813949582231751</v>
      </c>
      <c r="Q34" s="662"/>
      <c r="R34" s="665"/>
      <c r="S34" s="662"/>
      <c r="T34" s="687">
        <f>U34-F34</f>
        <v>-2.4155799999999985</v>
      </c>
      <c r="U34" s="687">
        <f>-_xll.FDS($AB$5,"FE_ESTIMATE("&amp;$AB34&amp;",MEAN,ANNUAL_ROLL,+1,NOW,,,'')")</f>
        <v>-20.351579999999998</v>
      </c>
      <c r="V34" s="662"/>
      <c r="W34" s="665"/>
      <c r="X34" s="662"/>
      <c r="Y34" s="662"/>
      <c r="Z34" s="662"/>
      <c r="AA34" s="665"/>
      <c r="AB34" s="665" t="s">
        <v>268</v>
      </c>
      <c r="AC34" s="661"/>
      <c r="AD34" s="662"/>
      <c r="AE34" s="663"/>
      <c r="AF34" s="662"/>
      <c r="AG34" s="632"/>
      <c r="AQ34" s="310"/>
      <c r="AR34" s="310"/>
      <c r="AS34" s="674"/>
      <c r="AT34" s="310"/>
      <c r="AU34" s="674"/>
    </row>
    <row r="35" spans="2:47">
      <c r="B35" s="661" t="s">
        <v>1807</v>
      </c>
      <c r="C35" s="682">
        <f>MODEL!N114-MODEL!N157-MODEL!N166</f>
        <v>-90.596000000000004</v>
      </c>
      <c r="D35" s="682">
        <f>MODEL!O114-MODEL!O157-MODEL!O166</f>
        <v>-129.90699999999998</v>
      </c>
      <c r="E35" s="682">
        <f>MODEL!P114-MODEL!P157-MODEL!P166</f>
        <v>-129.90699999999998</v>
      </c>
      <c r="F35" s="682">
        <f>MODEL!Q$114-MODEL!Q$157-MODEL!Q$166</f>
        <v>-31.707999999999984</v>
      </c>
      <c r="G35" s="684">
        <f>H35</f>
        <v>4.0929999999999893</v>
      </c>
      <c r="H35" s="684">
        <f>172.349-168.256</f>
        <v>4.0929999999999893</v>
      </c>
      <c r="I35" s="662"/>
      <c r="J35" s="662"/>
      <c r="K35" s="663"/>
      <c r="L35" s="684">
        <v>-18.451509748592251</v>
      </c>
      <c r="M35" s="684">
        <v>-18.451509748592251</v>
      </c>
      <c r="N35" s="662">
        <f t="shared" si="3"/>
        <v>-0.85796369904168168</v>
      </c>
      <c r="O35" s="662"/>
      <c r="P35" s="662">
        <f t="shared" si="4"/>
        <v>-0.85796369904168168</v>
      </c>
      <c r="Q35" s="662"/>
      <c r="R35" s="665"/>
      <c r="S35" s="662"/>
      <c r="T35" s="687"/>
      <c r="U35" s="687"/>
      <c r="V35" s="662"/>
      <c r="W35" s="665"/>
      <c r="X35" s="662"/>
      <c r="Y35" s="662"/>
      <c r="Z35" s="662"/>
      <c r="AA35" s="665"/>
      <c r="AB35" s="665"/>
      <c r="AC35" s="661"/>
      <c r="AD35" s="662"/>
      <c r="AE35" s="663"/>
      <c r="AF35" s="662"/>
      <c r="AG35" s="632"/>
      <c r="AQ35" s="310"/>
      <c r="AR35" s="310"/>
      <c r="AS35" s="674"/>
      <c r="AT35" s="310"/>
      <c r="AU35" s="674"/>
    </row>
    <row r="36" spans="2:47">
      <c r="B36" s="661" t="s">
        <v>1808</v>
      </c>
      <c r="C36" s="682">
        <f>MODEL!N114</f>
        <v>-69.935000000000002</v>
      </c>
      <c r="D36" s="682">
        <f>MODEL!O114</f>
        <v>-91.191000000000003</v>
      </c>
      <c r="E36" s="682">
        <f>MODEL!P114</f>
        <v>-91.191000000000003</v>
      </c>
      <c r="F36" s="682">
        <f>MODEL!Q$114</f>
        <v>4.1640000000000157</v>
      </c>
      <c r="G36" s="684">
        <f>H36</f>
        <v>53.907999999999987</v>
      </c>
      <c r="H36" s="684">
        <f>H35+37.643+12.172</f>
        <v>53.907999999999987</v>
      </c>
      <c r="I36" s="662"/>
      <c r="J36" s="662"/>
      <c r="K36" s="663"/>
      <c r="L36" s="684">
        <v>19.040025875345322</v>
      </c>
      <c r="M36" s="684">
        <v>19.040025875345322</v>
      </c>
      <c r="N36" s="662">
        <f t="shared" si="3"/>
        <v>-1.2087928180998708</v>
      </c>
      <c r="O36" s="662"/>
      <c r="P36" s="662">
        <f t="shared" si="4"/>
        <v>-1.2087928180998708</v>
      </c>
      <c r="Q36" s="662"/>
      <c r="R36" s="665"/>
      <c r="S36" s="662"/>
      <c r="T36" s="687">
        <f>U36</f>
        <v>-25.628664000000001</v>
      </c>
      <c r="U36" s="687">
        <f>_xll.FDS($AB$5,"FE_ESTIMATE("&amp;$AB36&amp;",MEAN,ANNUAL_ROLL,+1,NOW,,,'')")</f>
        <v>-25.628664000000001</v>
      </c>
      <c r="V36" s="662"/>
      <c r="W36" s="665"/>
      <c r="X36" s="662"/>
      <c r="Y36" s="662"/>
      <c r="Z36" s="662"/>
      <c r="AA36" s="665"/>
      <c r="AB36" t="s">
        <v>1377</v>
      </c>
      <c r="AC36" s="663"/>
      <c r="AD36" s="662"/>
      <c r="AE36" s="663"/>
      <c r="AF36" s="662"/>
      <c r="AG36" s="632"/>
      <c r="AQ36" s="310"/>
      <c r="AR36" s="310"/>
      <c r="AS36" s="674"/>
      <c r="AT36" s="310"/>
      <c r="AU36" s="674"/>
    </row>
    <row r="38" spans="2:47" ht="15">
      <c r="AP38" s="666"/>
    </row>
    <row r="39" spans="2:47" ht="15">
      <c r="B39" s="675"/>
      <c r="C39" s="675"/>
      <c r="D39" s="675"/>
      <c r="E39" s="675"/>
      <c r="F39" s="675"/>
      <c r="G39" s="675"/>
      <c r="H39" s="675"/>
      <c r="L39" s="675"/>
      <c r="T39" s="675"/>
      <c r="AE39" s="675"/>
      <c r="AQ39" s="674"/>
      <c r="AR39" s="674"/>
      <c r="AS39" s="676"/>
      <c r="AT39" s="674"/>
      <c r="AU39" s="632"/>
    </row>
    <row r="40" spans="2:47">
      <c r="AQ40" s="674"/>
      <c r="AR40" s="674"/>
      <c r="AS40" s="676"/>
      <c r="AT40" s="674"/>
      <c r="AU40" s="632"/>
    </row>
    <row r="41" spans="2:47" ht="13.5" thickBot="1">
      <c r="B41" t="s">
        <v>1844</v>
      </c>
      <c r="AQ41" s="674"/>
      <c r="AR41" s="674"/>
      <c r="AS41" s="676"/>
      <c r="AT41" s="674"/>
      <c r="AU41" s="632"/>
    </row>
    <row r="42" spans="2:47">
      <c r="B42" s="903"/>
      <c r="C42" s="904"/>
      <c r="D42" s="904"/>
      <c r="E42" s="904"/>
      <c r="F42" s="1257" t="s">
        <v>391</v>
      </c>
      <c r="G42" s="1257"/>
      <c r="H42" s="1258"/>
      <c r="I42" s="1259" t="s">
        <v>1809</v>
      </c>
      <c r="J42" s="1260"/>
      <c r="K42" s="905"/>
      <c r="L42" s="906" t="s">
        <v>1826</v>
      </c>
      <c r="M42" s="907"/>
      <c r="N42" s="737"/>
      <c r="O42" s="737"/>
      <c r="P42" s="737"/>
      <c r="Q42" s="737"/>
      <c r="R42" s="737"/>
      <c r="S42" s="737"/>
      <c r="T42" s="737"/>
      <c r="U42" s="737"/>
      <c r="V42" s="737"/>
      <c r="W42" s="737"/>
      <c r="X42" s="647"/>
      <c r="Y42" s="647"/>
    </row>
    <row r="43" spans="2:47" ht="25.5">
      <c r="B43" s="908" t="s">
        <v>1694</v>
      </c>
      <c r="C43" s="812"/>
      <c r="D43" s="812"/>
      <c r="E43" s="812"/>
      <c r="F43" s="909" t="s">
        <v>1843</v>
      </c>
      <c r="G43" s="909" t="s">
        <v>1870</v>
      </c>
      <c r="H43" s="910" t="s">
        <v>1846</v>
      </c>
      <c r="I43" s="911" t="s">
        <v>1871</v>
      </c>
      <c r="J43" s="910" t="s">
        <v>1845</v>
      </c>
      <c r="K43" s="909"/>
      <c r="L43" s="909" t="s">
        <v>1872</v>
      </c>
      <c r="M43" s="912" t="s">
        <v>1873</v>
      </c>
      <c r="N43" s="738"/>
      <c r="O43" s="738"/>
      <c r="P43" s="738"/>
      <c r="Q43" s="738"/>
      <c r="R43" s="738"/>
      <c r="S43" s="738"/>
      <c r="T43" s="738"/>
      <c r="U43" s="738"/>
      <c r="V43" s="738"/>
      <c r="W43" s="738"/>
      <c r="X43" s="659" t="s">
        <v>1824</v>
      </c>
      <c r="Y43" s="659" t="s">
        <v>1825</v>
      </c>
    </row>
    <row r="44" spans="2:47" outlineLevel="1">
      <c r="B44" s="913" t="s">
        <v>1848</v>
      </c>
      <c r="C44" s="519"/>
      <c r="D44" s="519"/>
      <c r="E44" s="519"/>
      <c r="F44" s="914"/>
      <c r="G44" s="915"/>
      <c r="H44" s="916"/>
      <c r="I44" s="915"/>
      <c r="J44" s="916"/>
      <c r="K44" s="917"/>
      <c r="L44" s="918"/>
      <c r="M44" s="919"/>
      <c r="N44" s="739"/>
      <c r="O44" s="739"/>
      <c r="P44" s="739"/>
      <c r="Q44" s="739"/>
      <c r="R44" s="739"/>
      <c r="S44" s="739"/>
      <c r="T44" s="686"/>
      <c r="U44" s="686"/>
      <c r="V44" s="740"/>
      <c r="W44" s="740"/>
      <c r="X44" s="664"/>
      <c r="Y44" s="664"/>
    </row>
    <row r="45" spans="2:47" outlineLevel="1">
      <c r="B45" s="920" t="s">
        <v>1875</v>
      </c>
      <c r="C45" s="519"/>
      <c r="D45" s="519"/>
      <c r="E45" s="519"/>
      <c r="F45" s="915">
        <f>Segments!T$42</f>
        <v>450.71800000000002</v>
      </c>
      <c r="G45" s="915">
        <v>450.3</v>
      </c>
      <c r="H45" s="921">
        <f t="shared" ref="H45:H56" si="19">IFERROR(G45/F45-1,"")</f>
        <v>-9.2740915605771246E-4</v>
      </c>
      <c r="I45" s="915">
        <v>471.72848328908935</v>
      </c>
      <c r="J45" s="921">
        <f t="shared" ref="J45:J56" si="20">IFERROR(G45/I45-1,"")</f>
        <v>-4.542545987403801E-2</v>
      </c>
      <c r="K45" s="917"/>
      <c r="L45" s="918"/>
      <c r="M45" s="922" t="str">
        <f t="shared" ref="M45:M58" si="21">IFERROR(G45/L45-1,"")</f>
        <v/>
      </c>
      <c r="N45" s="739"/>
      <c r="O45" s="739"/>
      <c r="P45" s="739"/>
      <c r="Q45" s="739"/>
      <c r="R45" s="739"/>
      <c r="S45" s="739"/>
      <c r="T45" s="686"/>
      <c r="U45" s="686"/>
      <c r="V45" s="740"/>
      <c r="W45" s="740"/>
      <c r="X45" s="664"/>
      <c r="Y45" s="664"/>
    </row>
    <row r="46" spans="2:47" outlineLevel="1">
      <c r="B46" s="923" t="s">
        <v>1874</v>
      </c>
      <c r="C46" s="812"/>
      <c r="D46" s="812"/>
      <c r="E46" s="812"/>
      <c r="F46" s="924">
        <f>Segments!T$56</f>
        <v>156.541</v>
      </c>
      <c r="G46" s="924">
        <v>177.2</v>
      </c>
      <c r="H46" s="921">
        <f t="shared" si="19"/>
        <v>0.13197181569045813</v>
      </c>
      <c r="I46" s="924">
        <v>185.53091110428375</v>
      </c>
      <c r="J46" s="921">
        <f t="shared" si="20"/>
        <v>-4.4903089488959047E-2</v>
      </c>
      <c r="K46" s="917"/>
      <c r="L46" s="925"/>
      <c r="M46" s="922" t="str">
        <f t="shared" si="21"/>
        <v/>
      </c>
      <c r="N46" s="739"/>
      <c r="O46" s="739"/>
      <c r="P46" s="739"/>
      <c r="Q46" s="739"/>
      <c r="R46" s="739"/>
      <c r="S46" s="739"/>
      <c r="T46" s="686"/>
      <c r="U46" s="686"/>
      <c r="V46" s="740"/>
      <c r="W46" s="740"/>
      <c r="X46" s="664"/>
      <c r="Y46" s="664"/>
    </row>
    <row r="47" spans="2:47" outlineLevel="1">
      <c r="B47" s="923" t="s">
        <v>1799</v>
      </c>
      <c r="C47" s="812"/>
      <c r="D47" s="812"/>
      <c r="E47" s="812"/>
      <c r="F47" s="924">
        <f>Segments!T$49</f>
        <v>163.19499999999999</v>
      </c>
      <c r="G47" s="924">
        <v>155.4</v>
      </c>
      <c r="H47" s="921">
        <f t="shared" si="19"/>
        <v>-4.7764943778914715E-2</v>
      </c>
      <c r="I47" s="924">
        <v>171.35475</v>
      </c>
      <c r="J47" s="921">
        <f t="shared" si="20"/>
        <v>-9.3109470265633099E-2</v>
      </c>
      <c r="K47" s="917"/>
      <c r="L47" s="925"/>
      <c r="M47" s="922" t="str">
        <f t="shared" si="21"/>
        <v/>
      </c>
      <c r="N47" s="739"/>
      <c r="O47" s="739"/>
      <c r="P47" s="739"/>
      <c r="Q47" s="739"/>
      <c r="R47" s="739"/>
      <c r="S47" s="739"/>
      <c r="T47" s="686"/>
      <c r="U47" s="686"/>
      <c r="V47" s="740"/>
      <c r="W47" s="740"/>
      <c r="X47" s="664"/>
      <c r="Y47" s="664"/>
    </row>
    <row r="48" spans="2:47" outlineLevel="1">
      <c r="B48" s="926" t="s">
        <v>1711</v>
      </c>
      <c r="C48" s="812"/>
      <c r="D48" s="812"/>
      <c r="E48" s="812"/>
      <c r="F48" s="927">
        <f t="shared" ref="F48" si="22">SUM(F45:F47)</f>
        <v>770.45399999999995</v>
      </c>
      <c r="G48" s="927">
        <v>782.9</v>
      </c>
      <c r="H48" s="928">
        <f t="shared" si="19"/>
        <v>1.6154111731524479E-2</v>
      </c>
      <c r="I48" s="927">
        <v>828.61414439337307</v>
      </c>
      <c r="J48" s="928">
        <f t="shared" si="20"/>
        <v>-5.5169399053452528E-2</v>
      </c>
      <c r="K48" s="929"/>
      <c r="L48" s="930"/>
      <c r="M48" s="922" t="str">
        <f t="shared" si="21"/>
        <v/>
      </c>
      <c r="N48" s="740"/>
      <c r="O48" s="740"/>
      <c r="P48" s="740"/>
      <c r="Q48" s="739"/>
      <c r="R48" s="739"/>
      <c r="S48" s="739"/>
      <c r="T48" s="686"/>
      <c r="U48" s="686"/>
      <c r="V48" s="740"/>
      <c r="W48" s="740"/>
      <c r="X48" s="664"/>
      <c r="Y48" s="664"/>
      <c r="AE48" s="677"/>
    </row>
    <row r="49" spans="2:31" outlineLevel="1">
      <c r="B49" s="923" t="s">
        <v>1712</v>
      </c>
      <c r="C49" s="812"/>
      <c r="D49" s="812"/>
      <c r="E49" s="812"/>
      <c r="F49" s="931">
        <f>Segments!T$77</f>
        <v>117.54300000000001</v>
      </c>
      <c r="G49" s="931">
        <v>123</v>
      </c>
      <c r="H49" s="921">
        <f t="shared" si="19"/>
        <v>4.6425563410836812E-2</v>
      </c>
      <c r="I49" s="931">
        <v>123.42015000000001</v>
      </c>
      <c r="J49" s="921">
        <f t="shared" si="20"/>
        <v>-3.4042253230125441E-3</v>
      </c>
      <c r="K49" s="929"/>
      <c r="L49" s="925"/>
      <c r="M49" s="922" t="str">
        <f t="shared" si="21"/>
        <v/>
      </c>
      <c r="N49" s="739"/>
      <c r="O49" s="739"/>
      <c r="P49" s="739"/>
      <c r="Q49" s="739"/>
      <c r="R49" s="739"/>
      <c r="S49" s="740"/>
      <c r="T49" s="686"/>
      <c r="U49" s="686"/>
      <c r="V49" s="740"/>
      <c r="W49" s="740"/>
      <c r="X49" s="664"/>
      <c r="Y49" s="664"/>
      <c r="AE49" s="677"/>
    </row>
    <row r="50" spans="2:31" outlineLevel="1">
      <c r="B50" s="926" t="s">
        <v>543</v>
      </c>
      <c r="C50" s="812"/>
      <c r="D50" s="812"/>
      <c r="E50" s="812"/>
      <c r="F50" s="932">
        <f t="shared" ref="F50" si="23">SUM(F48:F49)</f>
        <v>887.99699999999996</v>
      </c>
      <c r="G50" s="932">
        <v>905.8</v>
      </c>
      <c r="H50" s="928">
        <f t="shared" si="19"/>
        <v>2.0048491154812442E-2</v>
      </c>
      <c r="I50" s="932">
        <v>952.0342943933731</v>
      </c>
      <c r="J50" s="928">
        <f t="shared" si="20"/>
        <v>-4.8563685852129113E-2</v>
      </c>
      <c r="K50" s="929"/>
      <c r="L50" s="930">
        <v>955.1</v>
      </c>
      <c r="M50" s="975">
        <f t="shared" si="21"/>
        <v>-5.1617631661606156E-2</v>
      </c>
      <c r="N50" s="740"/>
      <c r="O50" s="740"/>
      <c r="P50" s="740"/>
      <c r="Q50" s="740"/>
      <c r="R50" s="740"/>
      <c r="S50" s="740"/>
      <c r="T50" s="686"/>
      <c r="U50" s="686"/>
      <c r="V50" s="740"/>
      <c r="W50" s="740"/>
      <c r="X50" s="664"/>
      <c r="Y50" s="664"/>
      <c r="AE50" s="677"/>
    </row>
    <row r="51" spans="2:31" ht="15" hidden="1" outlineLevel="1">
      <c r="B51" s="923"/>
      <c r="C51" s="933"/>
      <c r="D51" s="933"/>
      <c r="E51" s="933"/>
      <c r="F51" s="934"/>
      <c r="G51" s="934"/>
      <c r="H51" s="921" t="str">
        <f t="shared" si="19"/>
        <v/>
      </c>
      <c r="I51" s="934"/>
      <c r="J51" s="921" t="str">
        <f t="shared" si="20"/>
        <v/>
      </c>
      <c r="K51" s="917"/>
      <c r="L51" s="925"/>
      <c r="M51" s="922" t="str">
        <f t="shared" si="21"/>
        <v/>
      </c>
      <c r="N51" s="739"/>
      <c r="O51" s="739"/>
      <c r="P51" s="739"/>
      <c r="Q51" s="739"/>
      <c r="R51" s="739"/>
      <c r="S51" s="739"/>
      <c r="T51" s="687"/>
      <c r="U51" s="687"/>
      <c r="V51" s="740"/>
      <c r="W51" s="740"/>
      <c r="X51" s="662"/>
      <c r="Y51" s="662"/>
      <c r="AE51" s="678"/>
    </row>
    <row r="52" spans="2:31" hidden="1" outlineLevel="1">
      <c r="B52" s="923" t="s">
        <v>1711</v>
      </c>
      <c r="C52" s="812"/>
      <c r="D52" s="812"/>
      <c r="E52" s="812"/>
      <c r="F52" s="934">
        <f>Segments!T$71</f>
        <v>108.62292732361274</v>
      </c>
      <c r="G52" s="934">
        <f>Segments!W$71</f>
        <v>116.71699809278668</v>
      </c>
      <c r="H52" s="921">
        <f t="shared" si="19"/>
        <v>7.4515306930182712E-2</v>
      </c>
      <c r="I52" s="934">
        <v>117.66320850385897</v>
      </c>
      <c r="J52" s="921">
        <f t="shared" si="20"/>
        <v>-8.0416845937126835E-3</v>
      </c>
      <c r="K52" s="917"/>
      <c r="L52" s="925"/>
      <c r="M52" s="922" t="str">
        <f t="shared" si="21"/>
        <v/>
      </c>
      <c r="N52" s="739"/>
      <c r="O52" s="739"/>
      <c r="P52" s="739"/>
      <c r="Q52" s="739"/>
      <c r="R52" s="739"/>
      <c r="S52" s="739"/>
      <c r="T52" s="687"/>
      <c r="U52" s="687"/>
      <c r="V52" s="740"/>
      <c r="W52" s="740"/>
      <c r="X52" s="664"/>
      <c r="Y52" s="664"/>
    </row>
    <row r="53" spans="2:31" hidden="1" outlineLevel="1">
      <c r="B53" s="923" t="s">
        <v>1800</v>
      </c>
      <c r="C53" s="933"/>
      <c r="D53" s="933"/>
      <c r="E53" s="933"/>
      <c r="F53" s="934">
        <f>Segments!T$84</f>
        <v>12.485072676387256</v>
      </c>
      <c r="G53" s="934">
        <f>Segments!W$84</f>
        <v>14.29400190721331</v>
      </c>
      <c r="H53" s="921">
        <f t="shared" si="19"/>
        <v>0.14488736090797794</v>
      </c>
      <c r="I53" s="934">
        <v>13.576216500000001</v>
      </c>
      <c r="J53" s="921">
        <f t="shared" si="20"/>
        <v>5.2870798518372952E-2</v>
      </c>
      <c r="K53" s="917"/>
      <c r="L53" s="925"/>
      <c r="M53" s="922" t="str">
        <f t="shared" si="21"/>
        <v/>
      </c>
      <c r="N53" s="739"/>
      <c r="O53" s="739"/>
      <c r="P53" s="739"/>
      <c r="Q53" s="739"/>
      <c r="R53" s="739"/>
      <c r="S53" s="739"/>
      <c r="T53" s="687"/>
      <c r="U53" s="687"/>
      <c r="V53" s="740"/>
      <c r="W53" s="740"/>
      <c r="X53" s="664"/>
      <c r="Y53" s="664"/>
    </row>
    <row r="54" spans="2:31" hidden="1" outlineLevel="1">
      <c r="B54" s="923" t="s">
        <v>1796</v>
      </c>
      <c r="C54" s="933"/>
      <c r="D54" s="933"/>
      <c r="E54" s="933"/>
      <c r="F54" s="934">
        <f>Segments!T$89</f>
        <v>0</v>
      </c>
      <c r="G54" s="934">
        <f>Segments!W$89</f>
        <v>0</v>
      </c>
      <c r="H54" s="921" t="str">
        <f t="shared" si="19"/>
        <v/>
      </c>
      <c r="I54" s="934">
        <v>0</v>
      </c>
      <c r="J54" s="921" t="str">
        <f t="shared" si="20"/>
        <v/>
      </c>
      <c r="K54" s="917"/>
      <c r="L54" s="925"/>
      <c r="M54" s="922" t="str">
        <f t="shared" si="21"/>
        <v/>
      </c>
      <c r="N54" s="739"/>
      <c r="O54" s="739"/>
      <c r="P54" s="739"/>
      <c r="Q54" s="739"/>
      <c r="R54" s="739"/>
      <c r="S54" s="739"/>
      <c r="T54" s="687"/>
      <c r="U54" s="687"/>
      <c r="V54" s="740"/>
      <c r="W54" s="740"/>
      <c r="X54" s="664"/>
      <c r="Y54" s="664"/>
    </row>
    <row r="55" spans="2:31" hidden="1" outlineLevel="1">
      <c r="B55" s="926" t="s">
        <v>1850</v>
      </c>
      <c r="C55" s="812"/>
      <c r="D55" s="812"/>
      <c r="E55" s="812"/>
      <c r="F55" s="932">
        <f>MODEL!T$44</f>
        <v>121.108</v>
      </c>
      <c r="G55" s="932">
        <f>MODEL!W$44</f>
        <v>131.011</v>
      </c>
      <c r="H55" s="928">
        <f t="shared" si="19"/>
        <v>8.1769990421772132E-2</v>
      </c>
      <c r="I55" s="932">
        <v>131.23942500385897</v>
      </c>
      <c r="J55" s="928">
        <f t="shared" si="20"/>
        <v>-1.7405212180124918E-3</v>
      </c>
      <c r="K55" s="929"/>
      <c r="L55" s="930">
        <v>118.77735894239957</v>
      </c>
      <c r="M55" s="922">
        <f t="shared" si="21"/>
        <v>0.10299640576730673</v>
      </c>
      <c r="N55" s="740"/>
      <c r="O55" s="740"/>
      <c r="P55" s="740"/>
      <c r="Q55" s="740"/>
      <c r="R55" s="740"/>
      <c r="S55" s="740"/>
      <c r="T55" s="686"/>
      <c r="U55" s="686"/>
      <c r="V55" s="740"/>
      <c r="W55" s="740"/>
      <c r="X55" s="664"/>
      <c r="Y55" s="664"/>
    </row>
    <row r="56" spans="2:31" hidden="1" outlineLevel="1">
      <c r="B56" s="923"/>
      <c r="C56" s="812"/>
      <c r="D56" s="812"/>
      <c r="E56" s="812"/>
      <c r="F56" s="935"/>
      <c r="G56" s="935"/>
      <c r="H56" s="921" t="str">
        <f t="shared" si="19"/>
        <v/>
      </c>
      <c r="I56" s="935"/>
      <c r="J56" s="921" t="str">
        <f t="shared" si="20"/>
        <v/>
      </c>
      <c r="K56" s="917"/>
      <c r="L56" s="925"/>
      <c r="M56" s="922" t="str">
        <f t="shared" si="21"/>
        <v/>
      </c>
      <c r="N56" s="739"/>
      <c r="O56" s="739"/>
      <c r="P56" s="739"/>
      <c r="Q56" s="739"/>
      <c r="R56" s="739"/>
      <c r="S56" s="741"/>
      <c r="T56" s="687"/>
      <c r="U56" s="687"/>
      <c r="V56" s="740"/>
      <c r="W56" s="740"/>
      <c r="X56" s="664"/>
      <c r="Y56" s="664"/>
    </row>
    <row r="57" spans="2:31" s="756" customFormat="1" hidden="1" outlineLevel="1">
      <c r="B57" s="936" t="s">
        <v>1711</v>
      </c>
      <c r="C57" s="814"/>
      <c r="D57" s="814"/>
      <c r="E57" s="814"/>
      <c r="F57" s="937">
        <f>F52/F48</f>
        <v>0.14098561020335121</v>
      </c>
      <c r="G57" s="937">
        <f>G52/G48</f>
        <v>0.14908289448561335</v>
      </c>
      <c r="H57" s="938" t="str">
        <f>TEXT((G57-F57)*10000,"0")&amp;" bp"</f>
        <v>81 bp</v>
      </c>
      <c r="I57" s="937">
        <v>0.14199999999999999</v>
      </c>
      <c r="J57" s="938" t="str">
        <f>TEXT((G57-I57)*10000,"0")&amp;" bp"</f>
        <v>71 bp</v>
      </c>
      <c r="K57" s="939"/>
      <c r="L57" s="939"/>
      <c r="M57" s="940" t="str">
        <f t="shared" si="21"/>
        <v/>
      </c>
      <c r="N57" s="758"/>
      <c r="O57" s="758"/>
      <c r="P57" s="758"/>
      <c r="Q57" s="758"/>
      <c r="R57" s="758"/>
      <c r="S57" s="758"/>
      <c r="T57" s="759"/>
      <c r="U57" s="759"/>
      <c r="V57" s="760"/>
      <c r="W57" s="760"/>
      <c r="X57" s="761"/>
      <c r="Y57" s="761"/>
    </row>
    <row r="58" spans="2:31" s="756" customFormat="1" hidden="1" outlineLevel="1">
      <c r="B58" s="936" t="s">
        <v>1800</v>
      </c>
      <c r="C58" s="941"/>
      <c r="D58" s="941"/>
      <c r="E58" s="941"/>
      <c r="F58" s="937">
        <f t="shared" ref="F58" si="24">F53/F49</f>
        <v>0.10621706674482748</v>
      </c>
      <c r="G58" s="937">
        <f>G53/G49</f>
        <v>0.1162113976196204</v>
      </c>
      <c r="H58" s="938" t="str">
        <f>TEXT((G58-F58)*10000,"0")&amp;" bp"</f>
        <v>100 bp</v>
      </c>
      <c r="I58" s="937">
        <v>0.11</v>
      </c>
      <c r="J58" s="938" t="str">
        <f>TEXT((G58-I58)*10000,"0")&amp;" bp"</f>
        <v>62 bp</v>
      </c>
      <c r="K58" s="939"/>
      <c r="L58" s="939"/>
      <c r="M58" s="940" t="str">
        <f t="shared" si="21"/>
        <v/>
      </c>
      <c r="N58" s="758"/>
      <c r="O58" s="758"/>
      <c r="P58" s="758"/>
      <c r="Q58" s="758"/>
      <c r="R58" s="758"/>
      <c r="S58" s="758"/>
      <c r="T58" s="759"/>
      <c r="U58" s="759"/>
      <c r="V58" s="760"/>
      <c r="W58" s="760"/>
      <c r="X58" s="761"/>
      <c r="Y58" s="761"/>
    </row>
    <row r="59" spans="2:31" s="756" customFormat="1" hidden="1" outlineLevel="1">
      <c r="B59" s="942" t="s">
        <v>1851</v>
      </c>
      <c r="C59" s="814"/>
      <c r="D59" s="814"/>
      <c r="E59" s="814"/>
      <c r="F59" s="943">
        <f>F55/F50</f>
        <v>0.13638334363742222</v>
      </c>
      <c r="G59" s="943">
        <f>G55/G50</f>
        <v>0.14463568116582026</v>
      </c>
      <c r="H59" s="944" t="str">
        <f>TEXT((G59-F59)*10000,"0")&amp;" bp"</f>
        <v>83 bp</v>
      </c>
      <c r="I59" s="943">
        <v>0.13785157297036599</v>
      </c>
      <c r="J59" s="944" t="str">
        <f>TEXT((G59-I59)*10000,"0")&amp;" bp"</f>
        <v>68 bp</v>
      </c>
      <c r="K59" s="945"/>
      <c r="L59" s="945">
        <f>L55/L50</f>
        <v>0.12436117573280239</v>
      </c>
      <c r="M59" s="940" t="str">
        <f>TEXT((G59-L59)*10000,"0")&amp;" bp"</f>
        <v>203 bp</v>
      </c>
      <c r="N59" s="760"/>
      <c r="O59" s="760"/>
      <c r="P59" s="760"/>
      <c r="Q59" s="760"/>
      <c r="R59" s="760"/>
      <c r="S59" s="760"/>
      <c r="T59" s="763"/>
      <c r="U59" s="763"/>
      <c r="V59" s="760"/>
      <c r="W59" s="760"/>
      <c r="X59" s="761"/>
      <c r="Y59" s="761"/>
    </row>
    <row r="60" spans="2:31" outlineLevel="1">
      <c r="B60" s="923"/>
      <c r="C60" s="812"/>
      <c r="D60" s="812"/>
      <c r="E60" s="812"/>
      <c r="F60" s="935"/>
      <c r="G60" s="935"/>
      <c r="H60" s="921"/>
      <c r="I60" s="935"/>
      <c r="J60" s="921"/>
      <c r="K60" s="917"/>
      <c r="L60" s="925"/>
      <c r="M60" s="922"/>
      <c r="N60" s="739"/>
      <c r="O60" s="739"/>
      <c r="P60" s="739"/>
      <c r="Q60" s="739"/>
      <c r="R60" s="739"/>
      <c r="S60" s="741"/>
      <c r="T60" s="687"/>
      <c r="U60" s="687"/>
      <c r="V60" s="740"/>
      <c r="W60" s="740"/>
      <c r="X60" s="664"/>
      <c r="Y60" s="664"/>
    </row>
    <row r="61" spans="2:31">
      <c r="B61" s="946" t="s">
        <v>1849</v>
      </c>
      <c r="C61" s="812"/>
      <c r="D61" s="812"/>
      <c r="E61" s="812"/>
      <c r="F61" s="935"/>
      <c r="G61" s="935"/>
      <c r="H61" s="916"/>
      <c r="I61" s="935"/>
      <c r="J61" s="916"/>
      <c r="K61" s="917"/>
      <c r="L61" s="925"/>
      <c r="M61" s="919"/>
      <c r="N61" s="739"/>
      <c r="O61" s="739"/>
      <c r="P61" s="739"/>
      <c r="Q61" s="739"/>
      <c r="R61" s="739"/>
      <c r="S61" s="741"/>
      <c r="T61" s="687"/>
      <c r="U61" s="687"/>
      <c r="V61" s="740"/>
      <c r="W61" s="740"/>
      <c r="X61" s="664"/>
      <c r="Y61" s="664"/>
    </row>
    <row r="62" spans="2:31">
      <c r="B62" s="923" t="s">
        <v>1559</v>
      </c>
      <c r="C62" s="812"/>
      <c r="D62" s="812"/>
      <c r="E62" s="812"/>
      <c r="F62" s="947">
        <f>F50</f>
        <v>887.99699999999996</v>
      </c>
      <c r="G62" s="947">
        <f>G50</f>
        <v>905.8</v>
      </c>
      <c r="H62" s="916">
        <f t="shared" ref="H62:H73" si="25">IFERROR(G62/F62-1,"")</f>
        <v>2.0048491154812442E-2</v>
      </c>
      <c r="I62" s="947">
        <v>952.0342943933731</v>
      </c>
      <c r="J62" s="916">
        <f t="shared" ref="J62:J73" si="26">IFERROR(G62/I62-1,"")</f>
        <v>-4.8563685852129113E-2</v>
      </c>
      <c r="K62" s="917"/>
      <c r="L62" s="947">
        <f>L50</f>
        <v>955.1</v>
      </c>
      <c r="M62" s="919">
        <f t="shared" ref="M62:M69" si="27">IFERROR(G62/L62-1,"")</f>
        <v>-5.1617631661606156E-2</v>
      </c>
      <c r="N62" s="739"/>
      <c r="O62" s="739"/>
      <c r="P62" s="739"/>
      <c r="Q62" s="739"/>
      <c r="R62" s="739"/>
      <c r="S62" s="741"/>
      <c r="T62" s="687"/>
      <c r="U62" s="687"/>
      <c r="V62" s="740"/>
      <c r="W62" s="740"/>
      <c r="X62" s="664"/>
      <c r="Y62" s="664"/>
    </row>
    <row r="63" spans="2:31">
      <c r="B63" s="923" t="s">
        <v>1840</v>
      </c>
      <c r="C63" s="812"/>
      <c r="D63" s="812"/>
      <c r="E63" s="812"/>
      <c r="F63" s="947">
        <f>MODEL!T11</f>
        <v>311.26599999999996</v>
      </c>
      <c r="G63" s="947">
        <v>332</v>
      </c>
      <c r="H63" s="916">
        <f t="shared" si="25"/>
        <v>6.6611836821239834E-2</v>
      </c>
      <c r="I63" s="947">
        <v>345.58844886479443</v>
      </c>
      <c r="J63" s="916">
        <f t="shared" si="26"/>
        <v>-3.9319742628639465E-2</v>
      </c>
      <c r="K63" s="917"/>
      <c r="L63" s="947">
        <v>336.53</v>
      </c>
      <c r="M63" s="919">
        <f t="shared" si="27"/>
        <v>-1.3460909874305371E-2</v>
      </c>
      <c r="N63" s="739"/>
      <c r="O63" s="739"/>
      <c r="P63" s="739"/>
      <c r="Q63" s="739"/>
      <c r="R63" s="739"/>
      <c r="S63" s="741"/>
      <c r="T63" s="687"/>
      <c r="U63" s="687"/>
      <c r="V63" s="740"/>
      <c r="W63" s="740"/>
      <c r="X63" s="664"/>
      <c r="Y63" s="664"/>
    </row>
    <row r="64" spans="2:31">
      <c r="B64" s="923" t="s">
        <v>1067</v>
      </c>
      <c r="C64" s="812"/>
      <c r="D64" s="812"/>
      <c r="E64" s="812"/>
      <c r="F64" s="934">
        <f>MODEL!T$33</f>
        <v>141.88599999999997</v>
      </c>
      <c r="G64" s="934">
        <v>159.19999999999999</v>
      </c>
      <c r="H64" s="916">
        <f t="shared" si="25"/>
        <v>0.12202754323893839</v>
      </c>
      <c r="I64" s="934">
        <v>161.79960395267625</v>
      </c>
      <c r="J64" s="916">
        <f t="shared" si="26"/>
        <v>-1.6066812830002997E-2</v>
      </c>
      <c r="K64" s="917"/>
      <c r="L64" s="925">
        <v>156</v>
      </c>
      <c r="M64" s="919">
        <f t="shared" si="27"/>
        <v>2.051282051282044E-2</v>
      </c>
      <c r="N64" s="739"/>
      <c r="O64" s="739"/>
      <c r="P64" s="739"/>
      <c r="Q64" s="739"/>
      <c r="R64" s="739"/>
      <c r="S64" s="739"/>
      <c r="T64" s="687"/>
      <c r="U64" s="687"/>
      <c r="V64" s="739"/>
      <c r="W64" s="739"/>
      <c r="X64" s="664"/>
      <c r="Y64" s="664"/>
    </row>
    <row r="65" spans="2:25">
      <c r="B65" s="923" t="s">
        <v>1639</v>
      </c>
      <c r="C65" s="933"/>
      <c r="D65" s="933"/>
      <c r="E65" s="933"/>
      <c r="F65" s="934">
        <f>MODEL!T$36</f>
        <v>-20.777999999999999</v>
      </c>
      <c r="G65" s="934">
        <f>G66-G64</f>
        <v>-28.199999999999989</v>
      </c>
      <c r="H65" s="916">
        <f t="shared" si="25"/>
        <v>0.35720473577822642</v>
      </c>
      <c r="I65" s="934">
        <v>-30.560178948817271</v>
      </c>
      <c r="J65" s="916">
        <f t="shared" si="26"/>
        <v>-7.7230534309702503E-2</v>
      </c>
      <c r="K65" s="917"/>
      <c r="L65" s="925">
        <f>L66-L64</f>
        <v>-27.099999999999994</v>
      </c>
      <c r="M65" s="919">
        <f t="shared" si="27"/>
        <v>4.0590405904058935E-2</v>
      </c>
      <c r="N65" s="739"/>
      <c r="O65" s="739"/>
      <c r="P65" s="739"/>
      <c r="Q65" s="739"/>
      <c r="R65" s="739"/>
      <c r="S65" s="741"/>
      <c r="T65" s="687"/>
      <c r="U65" s="687"/>
      <c r="V65" s="739"/>
      <c r="W65" s="739"/>
      <c r="X65" s="664"/>
      <c r="Y65" s="664"/>
    </row>
    <row r="66" spans="2:25">
      <c r="B66" s="923" t="s">
        <v>1107</v>
      </c>
      <c r="C66" s="812"/>
      <c r="D66" s="812"/>
      <c r="E66" s="812"/>
      <c r="F66" s="948">
        <f>F55</f>
        <v>121.108</v>
      </c>
      <c r="G66" s="948">
        <v>131</v>
      </c>
      <c r="H66" s="916">
        <f t="shared" si="25"/>
        <v>8.1679162400501992E-2</v>
      </c>
      <c r="I66" s="948">
        <v>131.23942500385897</v>
      </c>
      <c r="J66" s="916">
        <f t="shared" si="26"/>
        <v>-1.824337495016648E-3</v>
      </c>
      <c r="K66" s="917"/>
      <c r="L66" s="948">
        <v>128.9</v>
      </c>
      <c r="M66" s="919">
        <f t="shared" si="27"/>
        <v>1.6291698991466319E-2</v>
      </c>
      <c r="N66" s="739"/>
      <c r="O66" s="739"/>
      <c r="P66" s="739"/>
      <c r="Q66" s="739"/>
      <c r="R66" s="739"/>
      <c r="S66" s="739"/>
      <c r="T66" s="687"/>
      <c r="U66" s="687"/>
      <c r="V66" s="740"/>
      <c r="W66" s="740"/>
      <c r="X66" s="664"/>
      <c r="Y66" s="664"/>
    </row>
    <row r="67" spans="2:25">
      <c r="B67" s="926" t="s">
        <v>1786</v>
      </c>
      <c r="C67" s="933"/>
      <c r="D67" s="933"/>
      <c r="E67" s="933"/>
      <c r="F67" s="949">
        <f>MODEL!T$57</f>
        <v>78.719000000000008</v>
      </c>
      <c r="G67" s="949">
        <v>84</v>
      </c>
      <c r="H67" s="950">
        <f t="shared" si="25"/>
        <v>6.7086726203330782E-2</v>
      </c>
      <c r="I67" s="949">
        <v>86.414411370798661</v>
      </c>
      <c r="J67" s="950">
        <f t="shared" si="26"/>
        <v>-2.7939915721216679E-2</v>
      </c>
      <c r="K67" s="929"/>
      <c r="L67" s="930">
        <v>85.6</v>
      </c>
      <c r="M67" s="951">
        <f t="shared" si="27"/>
        <v>-1.869158878504662E-2</v>
      </c>
      <c r="N67" s="740"/>
      <c r="O67" s="740"/>
      <c r="P67" s="740"/>
      <c r="Q67" s="740"/>
      <c r="R67" s="740"/>
      <c r="S67" s="740"/>
      <c r="T67" s="686"/>
      <c r="U67" s="686"/>
      <c r="V67" s="740"/>
      <c r="W67" s="740"/>
      <c r="X67" s="664"/>
      <c r="Y67" s="664"/>
    </row>
    <row r="68" spans="2:25">
      <c r="B68" s="923" t="s">
        <v>1805</v>
      </c>
      <c r="C68" s="933"/>
      <c r="D68" s="933"/>
      <c r="E68" s="933"/>
      <c r="F68" s="935">
        <f t="shared" ref="F68" si="28">F67-F69</f>
        <v>0</v>
      </c>
      <c r="G68" s="935">
        <f>G67-G69</f>
        <v>0</v>
      </c>
      <c r="H68" s="916" t="str">
        <f t="shared" si="25"/>
        <v/>
      </c>
      <c r="I68" s="935">
        <v>0</v>
      </c>
      <c r="J68" s="916" t="str">
        <f t="shared" si="26"/>
        <v/>
      </c>
      <c r="K68" s="917"/>
      <c r="L68" s="925"/>
      <c r="M68" s="919" t="str">
        <f t="shared" si="27"/>
        <v/>
      </c>
      <c r="N68" s="739"/>
      <c r="O68" s="739"/>
      <c r="P68" s="739"/>
      <c r="Q68" s="739"/>
      <c r="R68" s="739"/>
      <c r="S68" s="739"/>
      <c r="T68" s="687"/>
      <c r="U68" s="687"/>
      <c r="V68" s="740"/>
      <c r="W68" s="740"/>
      <c r="X68" s="664"/>
      <c r="Y68" s="664"/>
    </row>
    <row r="69" spans="2:25">
      <c r="B69" s="923" t="s">
        <v>1797</v>
      </c>
      <c r="C69" s="812"/>
      <c r="D69" s="812"/>
      <c r="E69" s="812"/>
      <c r="F69" s="935">
        <f>MODEL!T$63</f>
        <v>78.719000000000008</v>
      </c>
      <c r="G69" s="935">
        <f>G67</f>
        <v>84</v>
      </c>
      <c r="H69" s="916">
        <f t="shared" si="25"/>
        <v>6.7086726203330782E-2</v>
      </c>
      <c r="I69" s="935">
        <v>86.414411370798661</v>
      </c>
      <c r="J69" s="916">
        <f t="shared" si="26"/>
        <v>-2.7939915721216679E-2</v>
      </c>
      <c r="K69" s="917"/>
      <c r="L69" s="925">
        <f>L67</f>
        <v>85.6</v>
      </c>
      <c r="M69" s="919">
        <f t="shared" si="27"/>
        <v>-1.869158878504662E-2</v>
      </c>
      <c r="N69" s="739"/>
      <c r="O69" s="739"/>
      <c r="P69" s="739"/>
      <c r="Q69" s="739"/>
      <c r="R69" s="739"/>
      <c r="S69" s="739"/>
      <c r="T69" s="687"/>
      <c r="U69" s="687"/>
      <c r="V69" s="739"/>
      <c r="W69" s="739"/>
      <c r="X69" s="662"/>
      <c r="Y69" s="662"/>
    </row>
    <row r="70" spans="2:25">
      <c r="B70" s="923"/>
      <c r="C70" s="812"/>
      <c r="D70" s="812"/>
      <c r="E70" s="812"/>
      <c r="F70" s="952"/>
      <c r="G70" s="952"/>
      <c r="H70" s="916" t="str">
        <f t="shared" si="25"/>
        <v/>
      </c>
      <c r="I70" s="952"/>
      <c r="J70" s="916" t="str">
        <f t="shared" si="26"/>
        <v/>
      </c>
      <c r="K70" s="917"/>
      <c r="L70" s="925"/>
      <c r="M70" s="919"/>
      <c r="N70" s="739"/>
      <c r="O70" s="739"/>
      <c r="P70" s="739"/>
      <c r="Q70" s="739"/>
      <c r="R70" s="739"/>
      <c r="S70" s="739"/>
      <c r="T70" s="687"/>
      <c r="U70" s="687">
        <v>398.2</v>
      </c>
      <c r="V70" s="739">
        <f t="shared" ref="V70:V72" si="29">U70/$U$74</f>
        <v>0.58233401579409183</v>
      </c>
      <c r="W70" s="739"/>
      <c r="X70" s="662"/>
      <c r="Y70" s="662"/>
    </row>
    <row r="71" spans="2:25">
      <c r="B71" s="923" t="s">
        <v>1798</v>
      </c>
      <c r="C71" s="812"/>
      <c r="D71" s="812"/>
      <c r="E71" s="812"/>
      <c r="F71" s="935">
        <v>55.8</v>
      </c>
      <c r="G71" s="935">
        <v>58.6</v>
      </c>
      <c r="H71" s="916">
        <f t="shared" si="25"/>
        <v>5.017921146953408E-2</v>
      </c>
      <c r="I71" s="935">
        <v>60.522155331380802</v>
      </c>
      <c r="J71" s="916">
        <f t="shared" si="26"/>
        <v>-3.1759532040065319E-2</v>
      </c>
      <c r="K71" s="953"/>
      <c r="L71" s="925">
        <v>59.64</v>
      </c>
      <c r="M71" s="919">
        <f>IFERROR(G71/L71-1,"")</f>
        <v>-1.7437961099932897E-2</v>
      </c>
      <c r="N71" s="739"/>
      <c r="O71" s="739"/>
      <c r="P71" s="739"/>
      <c r="Q71" s="739"/>
      <c r="R71" s="739"/>
      <c r="S71" s="739"/>
      <c r="T71" s="687"/>
      <c r="U71" s="687">
        <v>129.30000000000001</v>
      </c>
      <c r="V71" s="739">
        <f t="shared" si="29"/>
        <v>0.18909037730330508</v>
      </c>
      <c r="W71" s="739"/>
      <c r="X71" s="662"/>
      <c r="Y71" s="662"/>
    </row>
    <row r="72" spans="2:25">
      <c r="B72" s="923" t="str">
        <f>"DPS (A¢)"</f>
        <v>DPS (A¢)</v>
      </c>
      <c r="C72" s="812"/>
      <c r="D72" s="812"/>
      <c r="E72" s="812"/>
      <c r="F72" s="935">
        <f>MODEL!T$72</f>
        <v>15</v>
      </c>
      <c r="G72" s="935">
        <v>16</v>
      </c>
      <c r="H72" s="916">
        <f t="shared" si="25"/>
        <v>6.6666666666666652E-2</v>
      </c>
      <c r="I72" s="935">
        <v>17</v>
      </c>
      <c r="J72" s="916">
        <f t="shared" si="26"/>
        <v>-5.8823529411764719E-2</v>
      </c>
      <c r="K72" s="953"/>
      <c r="L72" s="925"/>
      <c r="M72" s="919" t="str">
        <f>IFERROR(G72/L72-1,"")</f>
        <v/>
      </c>
      <c r="N72" s="739"/>
      <c r="O72" s="739"/>
      <c r="P72" s="739"/>
      <c r="Q72" s="739"/>
      <c r="R72" s="739"/>
      <c r="S72" s="739"/>
      <c r="T72" s="687"/>
      <c r="U72" s="687">
        <v>48.9</v>
      </c>
      <c r="V72" s="739">
        <f t="shared" si="29"/>
        <v>7.151213805206201E-2</v>
      </c>
      <c r="W72" s="739"/>
      <c r="X72" s="662"/>
      <c r="Y72" s="662"/>
    </row>
    <row r="73" spans="2:25">
      <c r="B73" s="923"/>
      <c r="C73" s="812"/>
      <c r="D73" s="812"/>
      <c r="E73" s="812"/>
      <c r="F73" s="935"/>
      <c r="G73" s="935"/>
      <c r="H73" s="916" t="str">
        <f t="shared" si="25"/>
        <v/>
      </c>
      <c r="I73" s="935"/>
      <c r="J73" s="916" t="str">
        <f t="shared" si="26"/>
        <v/>
      </c>
      <c r="K73" s="953"/>
      <c r="L73" s="925"/>
      <c r="M73" s="919"/>
      <c r="N73" s="739"/>
      <c r="O73" s="739"/>
      <c r="P73" s="739"/>
      <c r="Q73" s="739"/>
      <c r="R73" s="739"/>
      <c r="S73" s="739"/>
      <c r="T73" s="687"/>
      <c r="U73" s="687">
        <v>107.4</v>
      </c>
      <c r="V73" s="739">
        <f>U73/$U$74</f>
        <v>0.15706346885054112</v>
      </c>
      <c r="W73" s="739"/>
      <c r="X73" s="662"/>
      <c r="Y73" s="662"/>
    </row>
    <row r="74" spans="2:25">
      <c r="B74" s="954" t="s">
        <v>1595</v>
      </c>
      <c r="C74" s="814"/>
      <c r="D74" s="814"/>
      <c r="E74" s="814"/>
      <c r="F74" s="955">
        <f>MODEL!T$13</f>
        <v>0.35052595898409566</v>
      </c>
      <c r="G74" s="955">
        <f>G63/G62</f>
        <v>0.36652682711415324</v>
      </c>
      <c r="H74" s="956" t="str">
        <f>TEXT((G74-F74)*10000,"0")&amp;" bp"</f>
        <v>160 bp</v>
      </c>
      <c r="I74" s="955">
        <v>0.36299999999999999</v>
      </c>
      <c r="J74" s="956" t="str">
        <f>TEXT((G74-I74)*10000,"0")&amp;" bp"</f>
        <v>35 bp</v>
      </c>
      <c r="K74" s="957"/>
      <c r="L74" s="958">
        <f>L63/L50</f>
        <v>0.35235053921055381</v>
      </c>
      <c r="M74" s="959" t="str">
        <f>TEXT((G74-L74)*10000,"0")&amp;" bp"</f>
        <v>142 bp</v>
      </c>
      <c r="N74" s="742"/>
      <c r="O74" s="742"/>
      <c r="P74" s="742"/>
      <c r="Q74" s="739"/>
      <c r="R74" s="739"/>
      <c r="S74" s="689"/>
      <c r="T74" s="687"/>
      <c r="U74" s="687">
        <f>683.8</f>
        <v>683.8</v>
      </c>
      <c r="V74" s="739"/>
      <c r="W74" s="739"/>
      <c r="X74" s="690"/>
      <c r="Y74" s="690"/>
    </row>
    <row r="75" spans="2:25">
      <c r="B75" s="954" t="s">
        <v>1551</v>
      </c>
      <c r="C75" s="814"/>
      <c r="D75" s="814"/>
      <c r="E75" s="814"/>
      <c r="F75" s="955">
        <f>MODEL!T$45</f>
        <v>0.13638334363742222</v>
      </c>
      <c r="G75" s="955">
        <f>G66/G62</f>
        <v>0.14462353720468096</v>
      </c>
      <c r="H75" s="956" t="str">
        <f>TEXT((G75-F75)*10000,"0")&amp;" bp"</f>
        <v>82 bp</v>
      </c>
      <c r="I75" s="955">
        <v>0.13785157297036599</v>
      </c>
      <c r="J75" s="956" t="str">
        <f>TEXT((G75-I75)*10000,"0")&amp;" bp"</f>
        <v>68 bp</v>
      </c>
      <c r="K75" s="957"/>
      <c r="L75" s="958">
        <f>L55/L50</f>
        <v>0.12436117573280239</v>
      </c>
      <c r="M75" s="959" t="str">
        <f>TEXT((G75-L75)*10000,"0")&amp;" bp"</f>
        <v>203 bp</v>
      </c>
      <c r="N75" s="742"/>
      <c r="O75" s="742"/>
      <c r="P75" s="742"/>
      <c r="Q75" s="739"/>
      <c r="R75" s="739"/>
      <c r="S75" s="689"/>
      <c r="T75" s="689"/>
      <c r="U75" s="689"/>
      <c r="V75" s="739"/>
      <c r="W75" s="739"/>
      <c r="X75" s="690"/>
      <c r="Y75" s="690"/>
    </row>
    <row r="76" spans="2:25" s="630" customFormat="1">
      <c r="B76" s="960" t="s">
        <v>1831</v>
      </c>
      <c r="C76" s="813"/>
      <c r="D76" s="813"/>
      <c r="E76" s="813"/>
      <c r="F76" s="961">
        <f>MODEL!T$57/MODEL!T$5</f>
        <v>8.8647822008407706E-2</v>
      </c>
      <c r="G76" s="961">
        <f>G67/G62</f>
        <v>9.2735703245749618E-2</v>
      </c>
      <c r="H76" s="962" t="str">
        <f>TEXT((G76-F76)*10000,"0")&amp;" bp"</f>
        <v>41 bp</v>
      </c>
      <c r="I76" s="961">
        <v>9.0768170726308842E-2</v>
      </c>
      <c r="J76" s="962" t="str">
        <f>TEXT((G76-I76)*10000,"0")&amp;" bp"</f>
        <v>20 bp</v>
      </c>
      <c r="K76" s="963"/>
      <c r="L76" s="964">
        <f>L67/L50</f>
        <v>8.9624123128468208E-2</v>
      </c>
      <c r="M76" s="965" t="str">
        <f>TEXT((G76-L76)*10000,"0")&amp;" bp"</f>
        <v>31 bp</v>
      </c>
      <c r="N76" s="807"/>
      <c r="O76" s="807"/>
      <c r="P76" s="807"/>
      <c r="Q76" s="740"/>
      <c r="R76" s="740"/>
      <c r="S76" s="808"/>
      <c r="T76" s="808"/>
      <c r="U76" s="808"/>
      <c r="V76" s="740"/>
      <c r="W76" s="740"/>
      <c r="X76" s="809"/>
      <c r="Y76" s="809"/>
    </row>
    <row r="77" spans="2:25">
      <c r="B77" s="923"/>
      <c r="C77" s="812"/>
      <c r="D77" s="812"/>
      <c r="E77" s="812"/>
      <c r="F77" s="935"/>
      <c r="G77" s="935"/>
      <c r="H77" s="916" t="str">
        <f>IFERROR(I77/F77-1,"")</f>
        <v/>
      </c>
      <c r="I77" s="935"/>
      <c r="J77" s="916" t="str">
        <f t="shared" ref="J77" si="30">IFERROR(H77/E77-1,"")</f>
        <v/>
      </c>
      <c r="K77" s="953"/>
      <c r="L77" s="925"/>
      <c r="M77" s="919"/>
      <c r="N77" s="739"/>
      <c r="O77" s="739"/>
      <c r="P77" s="739"/>
      <c r="Q77" s="739"/>
      <c r="R77" s="739"/>
      <c r="S77" s="739"/>
      <c r="T77" s="687"/>
      <c r="U77" s="687"/>
      <c r="V77" s="739"/>
      <c r="W77" s="739"/>
      <c r="X77" s="662"/>
      <c r="Y77" s="662"/>
    </row>
    <row r="78" spans="2:25">
      <c r="B78" s="923" t="s">
        <v>1787</v>
      </c>
      <c r="C78" s="812"/>
      <c r="D78" s="812"/>
      <c r="E78" s="812"/>
      <c r="F78" s="935">
        <f>MODEL!T$94</f>
        <v>-52.148000000000003</v>
      </c>
      <c r="G78" s="935">
        <v>81.664000000000001</v>
      </c>
      <c r="H78" s="916"/>
      <c r="I78" s="935">
        <v>57.645071255056195</v>
      </c>
      <c r="J78" s="916"/>
      <c r="K78" s="917"/>
      <c r="L78" s="925"/>
      <c r="M78" s="919"/>
      <c r="N78" s="739"/>
      <c r="O78" s="739"/>
      <c r="P78" s="739"/>
      <c r="Q78" s="739"/>
      <c r="R78" s="739"/>
      <c r="S78" s="739"/>
      <c r="T78" s="687"/>
      <c r="U78" s="687"/>
      <c r="V78" s="739"/>
      <c r="W78" s="739"/>
      <c r="X78" s="662"/>
      <c r="Y78" s="662"/>
    </row>
    <row r="79" spans="2:25">
      <c r="B79" s="923" t="s">
        <v>1806</v>
      </c>
      <c r="C79" s="812"/>
      <c r="D79" s="812"/>
      <c r="E79" s="812"/>
      <c r="F79" s="935">
        <v>-103.453</v>
      </c>
      <c r="G79" s="935">
        <v>-31.146000000000001</v>
      </c>
      <c r="H79" s="916"/>
      <c r="I79" s="935">
        <f>MODEL!Y101</f>
        <v>-61.862000000000002</v>
      </c>
      <c r="J79" s="916"/>
      <c r="K79" s="917"/>
      <c r="L79" s="925"/>
      <c r="M79" s="919"/>
      <c r="N79" s="739"/>
      <c r="O79" s="739"/>
      <c r="P79" s="739"/>
      <c r="Q79" s="739"/>
      <c r="R79" s="739"/>
      <c r="S79" s="739"/>
      <c r="T79" s="687"/>
      <c r="U79" s="687"/>
      <c r="V79" s="739"/>
      <c r="W79" s="739"/>
      <c r="X79" s="662"/>
      <c r="Y79" s="662"/>
    </row>
    <row r="80" spans="2:25">
      <c r="B80" s="923" t="s">
        <v>1807</v>
      </c>
      <c r="C80" s="812"/>
      <c r="D80" s="812"/>
      <c r="E80" s="812"/>
      <c r="F80" s="935">
        <f>MODEL!T$114-MODEL!T$157-MODEL!T$166</f>
        <v>212.17599999999999</v>
      </c>
      <c r="G80" s="935">
        <f>141.641+102.068-146.17</f>
        <v>97.539000000000016</v>
      </c>
      <c r="H80" s="916"/>
      <c r="I80" s="935">
        <v>133.0772826150473</v>
      </c>
      <c r="J80" s="916"/>
      <c r="K80" s="917"/>
      <c r="L80" s="925"/>
      <c r="M80" s="919"/>
      <c r="N80" s="739"/>
      <c r="O80" s="739"/>
      <c r="P80" s="739"/>
      <c r="Q80" s="739"/>
      <c r="R80" s="739"/>
      <c r="S80" s="739"/>
      <c r="T80" s="687"/>
      <c r="U80" s="687"/>
      <c r="V80" s="739"/>
      <c r="W80" s="739"/>
      <c r="X80" s="662"/>
      <c r="Y80" s="662"/>
    </row>
    <row r="81" spans="2:25">
      <c r="B81" s="923" t="s">
        <v>1808</v>
      </c>
      <c r="C81" s="812"/>
      <c r="D81" s="812"/>
      <c r="E81" s="812"/>
      <c r="F81" s="935">
        <f>MODEL!T$114</f>
        <v>290.87199999999996</v>
      </c>
      <c r="G81" s="935">
        <f>G80+20.888+21.704</f>
        <v>140.13100000000003</v>
      </c>
      <c r="H81" s="916"/>
      <c r="I81" s="935">
        <v>202.35755624251635</v>
      </c>
      <c r="J81" s="916"/>
      <c r="K81" s="917"/>
      <c r="L81" s="925"/>
      <c r="M81" s="919"/>
      <c r="N81" s="739"/>
      <c r="O81" s="739"/>
      <c r="P81" s="739"/>
      <c r="Q81" s="739"/>
      <c r="R81" s="739"/>
      <c r="S81" s="739"/>
      <c r="T81" s="687"/>
      <c r="U81" s="687"/>
      <c r="V81" s="739"/>
      <c r="W81" s="739"/>
      <c r="X81" s="662"/>
      <c r="Y81" s="662"/>
    </row>
    <row r="82" spans="2:25" hidden="1">
      <c r="B82" s="923" t="s">
        <v>1853</v>
      </c>
      <c r="C82" s="812"/>
      <c r="D82" s="812"/>
      <c r="E82" s="812"/>
      <c r="F82" s="966"/>
      <c r="G82" s="966"/>
      <c r="H82" s="916"/>
      <c r="I82" s="966"/>
      <c r="J82" s="916"/>
      <c r="K82" s="917"/>
      <c r="L82" s="925"/>
      <c r="M82" s="919"/>
      <c r="N82" s="739"/>
      <c r="O82" s="739"/>
      <c r="P82" s="739"/>
      <c r="Q82" s="739"/>
      <c r="R82" s="739"/>
      <c r="S82" s="739"/>
      <c r="T82" s="687"/>
      <c r="U82" s="687"/>
      <c r="V82" s="739"/>
      <c r="W82" s="739"/>
      <c r="X82" s="662"/>
      <c r="Y82" s="662"/>
    </row>
    <row r="83" spans="2:25" ht="13.5" thickBot="1">
      <c r="B83" s="967" t="s">
        <v>1852</v>
      </c>
      <c r="C83" s="968"/>
      <c r="D83" s="968"/>
      <c r="E83" s="968"/>
      <c r="F83" s="969">
        <f>F81/F64/2</f>
        <v>1.0250200865483559</v>
      </c>
      <c r="G83" s="969">
        <f>G81/G64/2</f>
        <v>0.44010992462311571</v>
      </c>
      <c r="H83" s="970"/>
      <c r="I83" s="969">
        <f>I81/I64/2</f>
        <v>0.62533390471617789</v>
      </c>
      <c r="J83" s="971"/>
      <c r="K83" s="972"/>
      <c r="L83" s="973"/>
      <c r="M83" s="974"/>
      <c r="N83" s="739"/>
      <c r="O83" s="739"/>
      <c r="P83" s="739"/>
      <c r="Q83" s="739"/>
      <c r="R83" s="739"/>
      <c r="S83" s="739"/>
      <c r="T83" s="687"/>
      <c r="U83" s="687"/>
      <c r="V83" s="739"/>
      <c r="W83" s="739"/>
      <c r="X83" s="662"/>
      <c r="Y83" s="662"/>
    </row>
    <row r="84" spans="2:25">
      <c r="B84" s="661"/>
      <c r="N84" s="518"/>
      <c r="O84" s="518"/>
      <c r="P84" s="518"/>
      <c r="Q84" s="518"/>
      <c r="R84" s="518"/>
      <c r="S84" s="518"/>
      <c r="T84" s="518"/>
      <c r="U84" s="518"/>
      <c r="V84" s="518"/>
      <c r="W84" s="518"/>
    </row>
    <row r="85" spans="2:25" ht="13.5" thickBot="1"/>
    <row r="86" spans="2:25">
      <c r="B86" s="727"/>
      <c r="C86" s="772"/>
      <c r="D86" s="772"/>
      <c r="E86" s="772"/>
      <c r="F86" s="1251" t="s">
        <v>391</v>
      </c>
      <c r="G86" s="1251"/>
      <c r="H86" s="1251"/>
      <c r="I86" s="1251"/>
      <c r="J86" s="1251"/>
      <c r="K86" s="1252"/>
      <c r="L86" s="1253" t="s">
        <v>1809</v>
      </c>
      <c r="M86" s="1254"/>
      <c r="N86" s="1254"/>
      <c r="O86" s="1255"/>
      <c r="P86" s="886" t="s">
        <v>1826</v>
      </c>
      <c r="Q86" s="878"/>
    </row>
    <row r="87" spans="2:25" ht="24">
      <c r="B87" s="728" t="s">
        <v>1694</v>
      </c>
      <c r="C87" s="773"/>
      <c r="D87" s="773"/>
      <c r="E87" s="773"/>
      <c r="F87" s="659" t="s">
        <v>1793</v>
      </c>
      <c r="G87" s="659" t="s">
        <v>1861</v>
      </c>
      <c r="H87" s="659" t="s">
        <v>1862</v>
      </c>
      <c r="I87" s="659" t="s">
        <v>1794</v>
      </c>
      <c r="J87" s="659" t="s">
        <v>1863</v>
      </c>
      <c r="K87" s="719" t="s">
        <v>1864</v>
      </c>
      <c r="L87" s="723" t="s">
        <v>1862</v>
      </c>
      <c r="M87" s="659" t="s">
        <v>1590</v>
      </c>
      <c r="N87" s="659" t="s">
        <v>1866</v>
      </c>
      <c r="O87" s="719" t="s">
        <v>1865</v>
      </c>
      <c r="P87" s="659" t="s">
        <v>1857</v>
      </c>
      <c r="Q87" s="729" t="s">
        <v>1847</v>
      </c>
    </row>
    <row r="88" spans="2:25">
      <c r="B88" s="810" t="s">
        <v>1848</v>
      </c>
      <c r="C88" s="774"/>
      <c r="D88" s="774"/>
      <c r="E88" s="774"/>
      <c r="F88" s="775"/>
      <c r="I88" s="776"/>
      <c r="K88" s="720"/>
      <c r="M88" s="776"/>
      <c r="N88" s="775"/>
      <c r="O88" s="720"/>
      <c r="P88" s="687"/>
      <c r="Q88" s="731"/>
    </row>
    <row r="89" spans="2:25">
      <c r="B89" s="743" t="s">
        <v>103</v>
      </c>
      <c r="C89" s="774"/>
      <c r="D89" s="774"/>
      <c r="E89" s="774"/>
      <c r="F89" s="775">
        <f>Segments!S$42</f>
        <v>605</v>
      </c>
      <c r="G89" s="775">
        <f>Segments!T$42</f>
        <v>450.71800000000002</v>
      </c>
      <c r="H89" s="677">
        <f>I89-G89</f>
        <v>250.48200000000003</v>
      </c>
      <c r="I89" s="776">
        <v>701.2</v>
      </c>
      <c r="J89" s="879">
        <f>IFERROR(H89/U89-1,"")</f>
        <v>6.6239288952456565E-2</v>
      </c>
      <c r="K89" s="766">
        <f>IFERROR(I89/F89-1,"")</f>
        <v>0.15900826446280991</v>
      </c>
      <c r="L89" s="775">
        <f>Segments!U$42</f>
        <v>250.48200000000003</v>
      </c>
      <c r="M89" s="776">
        <f>Segments!V$42</f>
        <v>701.2</v>
      </c>
      <c r="N89" s="879">
        <f>IFERROR(H89/L89-1,"")</f>
        <v>0</v>
      </c>
      <c r="O89" s="766">
        <f>IFERROR(I89/M89-1,"")</f>
        <v>0</v>
      </c>
      <c r="P89" s="687"/>
      <c r="Q89" s="770" t="str">
        <f t="shared" ref="Q89:Q102" si="31">IFERROR(I89/P89-1,"")</f>
        <v/>
      </c>
      <c r="U89" s="775">
        <f>Segments!R$42</f>
        <v>234.92099999999999</v>
      </c>
    </row>
    <row r="90" spans="2:25">
      <c r="B90" s="730" t="s">
        <v>1795</v>
      </c>
      <c r="C90" s="773"/>
      <c r="D90" s="773"/>
      <c r="E90" s="773"/>
      <c r="F90" s="777">
        <f>Segments!S$56</f>
        <v>295.10000000000002</v>
      </c>
      <c r="G90" s="777">
        <f>Segments!T$56</f>
        <v>156.541</v>
      </c>
      <c r="H90" s="677">
        <f t="shared" ref="H90:H99" si="32">I90-G90</f>
        <v>135.65899999999999</v>
      </c>
      <c r="I90" s="776">
        <v>292.2</v>
      </c>
      <c r="J90" s="879">
        <f t="shared" ref="J90:J119" si="33">IFERROR(H90/U90-1,"")</f>
        <v>0.44336511043963012</v>
      </c>
      <c r="K90" s="766">
        <f t="shared" ref="K90:K100" si="34">IFERROR(I90/F90-1,"")</f>
        <v>-9.8271772280583702E-3</v>
      </c>
      <c r="L90" s="777">
        <f>Segments!U$56</f>
        <v>129.25900000000001</v>
      </c>
      <c r="M90" s="778">
        <f>Segments!V$56</f>
        <v>285.8</v>
      </c>
      <c r="N90" s="879">
        <f t="shared" ref="N90:N117" si="35">IFERROR(H90/L90-1,"")</f>
        <v>4.9512993292536445E-2</v>
      </c>
      <c r="O90" s="766">
        <f t="shared" ref="O90:O100" si="36">IFERROR(I90/M90-1,"")</f>
        <v>2.2393282015395366E-2</v>
      </c>
      <c r="P90" s="684"/>
      <c r="Q90" s="770" t="str">
        <f t="shared" si="31"/>
        <v/>
      </c>
      <c r="U90" s="777">
        <f>Segments!R$56</f>
        <v>93.988000000000028</v>
      </c>
    </row>
    <row r="91" spans="2:25">
      <c r="B91" s="730" t="s">
        <v>1799</v>
      </c>
      <c r="C91" s="773"/>
      <c r="D91" s="773"/>
      <c r="E91" s="773"/>
      <c r="F91" s="777">
        <f>Segments!S$49</f>
        <v>278.39999999999998</v>
      </c>
      <c r="G91" s="777">
        <f>Segments!T$49</f>
        <v>163.19499999999999</v>
      </c>
      <c r="H91" s="677">
        <f t="shared" si="32"/>
        <v>122.60500000000002</v>
      </c>
      <c r="I91" s="776">
        <v>285.8</v>
      </c>
      <c r="J91" s="879">
        <f t="shared" si="33"/>
        <v>6.0211687795092228E-2</v>
      </c>
      <c r="K91" s="766">
        <f t="shared" si="34"/>
        <v>2.6580459770115139E-2</v>
      </c>
      <c r="L91" s="777">
        <f>Segments!U$49</f>
        <v>129.005</v>
      </c>
      <c r="M91" s="778">
        <f>Segments!V$49</f>
        <v>292.2</v>
      </c>
      <c r="N91" s="879">
        <f t="shared" si="35"/>
        <v>-4.9610480213944985E-2</v>
      </c>
      <c r="O91" s="766">
        <f t="shared" si="36"/>
        <v>-2.1902806297056765E-2</v>
      </c>
      <c r="P91" s="684"/>
      <c r="Q91" s="770" t="str">
        <f t="shared" si="31"/>
        <v/>
      </c>
      <c r="U91" s="777">
        <f>Segments!R$49</f>
        <v>115.64199999999997</v>
      </c>
    </row>
    <row r="92" spans="2:25">
      <c r="B92" s="732" t="s">
        <v>1711</v>
      </c>
      <c r="C92" s="884"/>
      <c r="D92" s="884"/>
      <c r="E92" s="884"/>
      <c r="F92" s="779">
        <f t="shared" ref="F92:G92" si="37">SUM(F89:F91)</f>
        <v>1178.5</v>
      </c>
      <c r="G92" s="779">
        <f t="shared" si="37"/>
        <v>770.45399999999995</v>
      </c>
      <c r="H92" s="882">
        <f t="shared" si="32"/>
        <v>508.74600000000009</v>
      </c>
      <c r="I92" s="780">
        <f>SUM(I89:I91)</f>
        <v>1279.2</v>
      </c>
      <c r="J92" s="880">
        <f t="shared" si="33"/>
        <v>0.14440412911004619</v>
      </c>
      <c r="K92" s="767">
        <f t="shared" si="34"/>
        <v>8.5447602885023288E-2</v>
      </c>
      <c r="L92" s="779">
        <f t="shared" ref="L92" si="38">SUM(L89:L91)</f>
        <v>508.74600000000004</v>
      </c>
      <c r="M92" s="781">
        <f t="shared" ref="M92" si="39">SUM(M89:M91)</f>
        <v>1279.2</v>
      </c>
      <c r="N92" s="880">
        <f t="shared" si="35"/>
        <v>2.2204460492503131E-16</v>
      </c>
      <c r="O92" s="767">
        <f t="shared" si="36"/>
        <v>0</v>
      </c>
      <c r="P92" s="685"/>
      <c r="Q92" s="770" t="str">
        <f t="shared" si="31"/>
        <v/>
      </c>
      <c r="U92" s="779">
        <f>SUM(U89:U91)</f>
        <v>444.55099999999993</v>
      </c>
    </row>
    <row r="93" spans="2:25">
      <c r="B93" s="730" t="s">
        <v>1712</v>
      </c>
      <c r="C93" s="773"/>
      <c r="D93" s="773"/>
      <c r="E93" s="773"/>
      <c r="F93" s="782">
        <f>Segments!S$77</f>
        <v>239.9</v>
      </c>
      <c r="G93" s="782">
        <f>Segments!T$77</f>
        <v>117.54300000000001</v>
      </c>
      <c r="H93" s="677">
        <f t="shared" si="32"/>
        <v>81.757000000000005</v>
      </c>
      <c r="I93" s="783">
        <v>199.3</v>
      </c>
      <c r="J93" s="879">
        <f t="shared" si="33"/>
        <v>-0.14111776447105784</v>
      </c>
      <c r="K93" s="766">
        <f t="shared" si="34"/>
        <v>-0.169237182159233</v>
      </c>
      <c r="L93" s="782">
        <f>Segments!U$77</f>
        <v>81.757000000000005</v>
      </c>
      <c r="M93" s="784">
        <f>Segments!V$77</f>
        <v>199.3</v>
      </c>
      <c r="N93" s="879">
        <f t="shared" si="35"/>
        <v>0</v>
      </c>
      <c r="O93" s="766">
        <f t="shared" si="36"/>
        <v>0</v>
      </c>
      <c r="P93" s="684"/>
      <c r="Q93" s="770" t="str">
        <f t="shared" si="31"/>
        <v/>
      </c>
      <c r="U93" s="782">
        <f>Segments!R$77</f>
        <v>95.19</v>
      </c>
    </row>
    <row r="94" spans="2:25">
      <c r="B94" s="732" t="s">
        <v>543</v>
      </c>
      <c r="C94" s="884"/>
      <c r="D94" s="884"/>
      <c r="E94" s="884"/>
      <c r="F94" s="785">
        <f t="shared" ref="F94:G94" si="40">SUM(F92:F93)</f>
        <v>1418.4</v>
      </c>
      <c r="G94" s="785">
        <f t="shared" si="40"/>
        <v>887.99699999999996</v>
      </c>
      <c r="H94" s="882">
        <f t="shared" si="32"/>
        <v>590.50300000000004</v>
      </c>
      <c r="I94" s="786">
        <f>I93+I92</f>
        <v>1478.5</v>
      </c>
      <c r="J94" s="880">
        <f t="shared" si="33"/>
        <v>9.4048812300714602E-2</v>
      </c>
      <c r="K94" s="767">
        <f t="shared" si="34"/>
        <v>4.2371686407219444E-2</v>
      </c>
      <c r="L94" s="785">
        <f t="shared" ref="L94" si="41">SUM(L92:L93)</f>
        <v>590.50300000000004</v>
      </c>
      <c r="M94" s="787">
        <f t="shared" ref="M94" si="42">SUM(M92:M93)</f>
        <v>1478.5</v>
      </c>
      <c r="N94" s="880">
        <f t="shared" si="35"/>
        <v>0</v>
      </c>
      <c r="O94" s="767">
        <f t="shared" si="36"/>
        <v>0</v>
      </c>
      <c r="P94" s="685" t="e">
        <f>#REF!</f>
        <v>#REF!</v>
      </c>
      <c r="Q94" s="885" t="str">
        <f t="shared" si="31"/>
        <v/>
      </c>
      <c r="U94" s="785">
        <f>SUM(U92:U93)</f>
        <v>539.74099999999999</v>
      </c>
    </row>
    <row r="95" spans="2:25">
      <c r="B95" s="730"/>
      <c r="C95" s="667"/>
      <c r="D95" s="667"/>
      <c r="E95" s="667"/>
      <c r="F95" s="788"/>
      <c r="G95" s="788"/>
      <c r="H95" s="677"/>
      <c r="I95" s="789"/>
      <c r="J95" s="879" t="str">
        <f t="shared" si="33"/>
        <v/>
      </c>
      <c r="K95" s="766" t="str">
        <f t="shared" si="34"/>
        <v/>
      </c>
      <c r="L95" s="788"/>
      <c r="M95" s="790"/>
      <c r="N95" s="879" t="str">
        <f t="shared" si="35"/>
        <v/>
      </c>
      <c r="O95" s="766" t="str">
        <f t="shared" si="36"/>
        <v/>
      </c>
      <c r="P95" s="684"/>
      <c r="Q95" s="770" t="str">
        <f t="shared" si="31"/>
        <v/>
      </c>
      <c r="U95" s="788"/>
    </row>
    <row r="96" spans="2:25" hidden="1">
      <c r="B96" s="730" t="s">
        <v>1711</v>
      </c>
      <c r="C96" s="773"/>
      <c r="D96" s="773"/>
      <c r="E96" s="773"/>
      <c r="F96" s="788">
        <f>Segments!S$71</f>
        <v>129.23642309582308</v>
      </c>
      <c r="G96" s="788">
        <f>Segments!T$71</f>
        <v>108.62292732361274</v>
      </c>
      <c r="H96" s="677">
        <f t="shared" si="32"/>
        <v>34.292919281102741</v>
      </c>
      <c r="I96" s="789">
        <v>142.91584660471548</v>
      </c>
      <c r="J96" s="879">
        <f t="shared" si="33"/>
        <v>3.9355020135025232E-2</v>
      </c>
      <c r="K96" s="766">
        <f t="shared" si="34"/>
        <v>0.10584805104633466</v>
      </c>
      <c r="L96" s="788">
        <f>Segments!U$71</f>
        <v>41.95121616533072</v>
      </c>
      <c r="M96" s="790">
        <f>Segments!V$71</f>
        <v>150.57414348894346</v>
      </c>
      <c r="N96" s="879">
        <f t="shared" si="35"/>
        <v>-0.18255244029270701</v>
      </c>
      <c r="O96" s="766">
        <f t="shared" si="36"/>
        <v>-5.0860637203560266E-2</v>
      </c>
      <c r="P96" s="684"/>
      <c r="Q96" s="770" t="str">
        <f t="shared" si="31"/>
        <v/>
      </c>
      <c r="U96" s="788">
        <f>Segments!R$71</f>
        <v>32.99442309582308</v>
      </c>
    </row>
    <row r="97" spans="2:21" hidden="1">
      <c r="B97" s="730" t="s">
        <v>1800</v>
      </c>
      <c r="C97" s="667"/>
      <c r="D97" s="667"/>
      <c r="E97" s="667"/>
      <c r="F97" s="788">
        <f>Segments!S$84</f>
        <v>27.16357690417691</v>
      </c>
      <c r="G97" s="788">
        <f>Segments!T$84</f>
        <v>12.485072676387256</v>
      </c>
      <c r="H97" s="677">
        <f t="shared" si="32"/>
        <v>10.617297323612744</v>
      </c>
      <c r="I97" s="789">
        <v>23.102370000000001</v>
      </c>
      <c r="J97" s="879">
        <f t="shared" si="33"/>
        <v>-2.5451156387528928E-2</v>
      </c>
      <c r="K97" s="766">
        <f t="shared" si="34"/>
        <v>-0.14950928290862986</v>
      </c>
      <c r="L97" s="788">
        <f>Segments!U$84</f>
        <v>8.9617838346692604</v>
      </c>
      <c r="M97" s="790">
        <f>Segments!V$84</f>
        <v>21.446856511056517</v>
      </c>
      <c r="N97" s="879">
        <f t="shared" si="35"/>
        <v>0.18473035273837102</v>
      </c>
      <c r="O97" s="766">
        <f t="shared" si="36"/>
        <v>7.7191428407702434E-2</v>
      </c>
      <c r="P97" s="684"/>
      <c r="Q97" s="770" t="str">
        <f t="shared" si="31"/>
        <v/>
      </c>
      <c r="U97" s="788">
        <f>Segments!R$84</f>
        <v>10.894576904176912</v>
      </c>
    </row>
    <row r="98" spans="2:21" hidden="1">
      <c r="B98" s="730" t="s">
        <v>1796</v>
      </c>
      <c r="C98" s="667"/>
      <c r="D98" s="667"/>
      <c r="E98" s="667"/>
      <c r="F98" s="788">
        <f>Segments!S$89</f>
        <v>0</v>
      </c>
      <c r="G98" s="788">
        <f>Segments!T$89</f>
        <v>0</v>
      </c>
      <c r="H98" s="677">
        <f t="shared" si="32"/>
        <v>0</v>
      </c>
      <c r="I98" s="789">
        <v>0</v>
      </c>
      <c r="J98" s="879" t="str">
        <f t="shared" si="33"/>
        <v/>
      </c>
      <c r="K98" s="766" t="str">
        <f t="shared" si="34"/>
        <v/>
      </c>
      <c r="L98" s="788">
        <f>Segments!U$89</f>
        <v>0</v>
      </c>
      <c r="M98" s="790">
        <f>Segments!V$89</f>
        <v>0</v>
      </c>
      <c r="N98" s="879" t="str">
        <f t="shared" si="35"/>
        <v/>
      </c>
      <c r="O98" s="766" t="str">
        <f t="shared" si="36"/>
        <v/>
      </c>
      <c r="P98" s="684"/>
      <c r="Q98" s="770" t="str">
        <f t="shared" si="31"/>
        <v/>
      </c>
      <c r="U98" s="788">
        <f>Segments!R$89</f>
        <v>0</v>
      </c>
    </row>
    <row r="99" spans="2:21">
      <c r="B99" s="732" t="s">
        <v>1859</v>
      </c>
      <c r="C99" s="884"/>
      <c r="D99" s="884"/>
      <c r="E99" s="884"/>
      <c r="F99" s="785">
        <f>MODEL!S$44</f>
        <v>156.4</v>
      </c>
      <c r="G99" s="785">
        <f>MODEL!T$44</f>
        <v>121.108</v>
      </c>
      <c r="H99" s="882">
        <f t="shared" si="32"/>
        <v>50.891999999999996</v>
      </c>
      <c r="I99" s="786">
        <v>172</v>
      </c>
      <c r="J99" s="880">
        <f t="shared" si="33"/>
        <v>0.15956162136298402</v>
      </c>
      <c r="K99" s="767">
        <f t="shared" si="34"/>
        <v>9.9744245524296726E-2</v>
      </c>
      <c r="L99" s="785">
        <f>MODEL!U$44</f>
        <v>50.912999999999982</v>
      </c>
      <c r="M99" s="787">
        <f>MODEL!V$44</f>
        <v>172.02099999999999</v>
      </c>
      <c r="N99" s="880">
        <f t="shared" si="35"/>
        <v>-4.124683283245334E-4</v>
      </c>
      <c r="O99" s="767">
        <f t="shared" si="36"/>
        <v>-1.2207811836917326E-4</v>
      </c>
      <c r="P99" s="685" t="e">
        <f>#REF!</f>
        <v>#REF!</v>
      </c>
      <c r="Q99" s="885" t="str">
        <f t="shared" si="31"/>
        <v/>
      </c>
      <c r="U99" s="785">
        <f>MODEL!R$44</f>
        <v>43.888999999999996</v>
      </c>
    </row>
    <row r="100" spans="2:21">
      <c r="B100" s="730"/>
      <c r="C100" s="773"/>
      <c r="D100" s="773"/>
      <c r="E100" s="773"/>
      <c r="F100" s="721"/>
      <c r="G100" s="721"/>
      <c r="I100" s="752"/>
      <c r="J100" s="879" t="str">
        <f t="shared" si="33"/>
        <v/>
      </c>
      <c r="K100" s="766" t="str">
        <f t="shared" si="34"/>
        <v/>
      </c>
      <c r="L100" s="721"/>
      <c r="M100" s="724"/>
      <c r="N100" s="879" t="str">
        <f t="shared" si="35"/>
        <v/>
      </c>
      <c r="O100" s="766" t="str">
        <f t="shared" si="36"/>
        <v/>
      </c>
      <c r="P100" s="684"/>
      <c r="Q100" s="770" t="str">
        <f t="shared" si="31"/>
        <v/>
      </c>
      <c r="U100" s="721"/>
    </row>
    <row r="101" spans="2:21" hidden="1" outlineLevel="1">
      <c r="B101" s="757" t="s">
        <v>1711</v>
      </c>
      <c r="C101" s="791"/>
      <c r="D101" s="791"/>
      <c r="E101" s="791"/>
      <c r="F101" s="792">
        <f>F96/F92</f>
        <v>0.10966179303845829</v>
      </c>
      <c r="G101" s="792">
        <f>G96/G92</f>
        <v>0.14098561020335121</v>
      </c>
      <c r="H101" s="792">
        <f>H96/H92</f>
        <v>6.7406759524601151E-2</v>
      </c>
      <c r="I101" s="793">
        <v>0.115</v>
      </c>
      <c r="J101" s="879">
        <f t="shared" si="33"/>
        <v>-9.1793717186876234E-2</v>
      </c>
      <c r="K101" s="768" t="str">
        <f>TEXT((I101-F101)*10000,"0")&amp;" bp"</f>
        <v>53 bp</v>
      </c>
      <c r="L101" s="792">
        <f>L96/L92</f>
        <v>8.2460041288443975E-2</v>
      </c>
      <c r="M101" s="794">
        <f>M96/M92</f>
        <v>0.11770961811205712</v>
      </c>
      <c r="N101" s="879">
        <f t="shared" si="35"/>
        <v>-0.18255244029270701</v>
      </c>
      <c r="O101" s="768" t="str">
        <f>TEXT((I101-M101)*10000,"0")&amp;" bp"</f>
        <v>-27 bp</v>
      </c>
      <c r="P101" s="764"/>
      <c r="Q101" s="771" t="str">
        <f t="shared" si="31"/>
        <v/>
      </c>
      <c r="U101" s="792">
        <f>U96/U92</f>
        <v>7.4219657802643765E-2</v>
      </c>
    </row>
    <row r="102" spans="2:21" hidden="1" outlineLevel="1">
      <c r="B102" s="757" t="s">
        <v>1800</v>
      </c>
      <c r="C102" s="795"/>
      <c r="D102" s="795"/>
      <c r="E102" s="795"/>
      <c r="F102" s="792">
        <f t="shared" ref="F102:G102" si="43">F97/F93</f>
        <v>0.11322874907952026</v>
      </c>
      <c r="G102" s="792">
        <f t="shared" si="43"/>
        <v>0.10621706674482748</v>
      </c>
      <c r="H102" s="792">
        <f t="shared" ref="H102" si="44">H97/H93</f>
        <v>0.12986407675933245</v>
      </c>
      <c r="I102" s="793">
        <v>0.107</v>
      </c>
      <c r="J102" s="879">
        <f t="shared" si="33"/>
        <v>0.1346710914474738</v>
      </c>
      <c r="K102" s="768" t="str">
        <f>TEXT((I102-F102)*10000,"0")&amp;" bp"</f>
        <v>-62 bp</v>
      </c>
      <c r="L102" s="792">
        <f t="shared" ref="L102" si="45">L97/L93</f>
        <v>0.10961488110705211</v>
      </c>
      <c r="M102" s="794">
        <f t="shared" ref="M102" si="46">M97/M93</f>
        <v>0.1076109207780056</v>
      </c>
      <c r="N102" s="879">
        <f t="shared" si="35"/>
        <v>0.18473035273837102</v>
      </c>
      <c r="O102" s="768" t="str">
        <f>TEXT((I102-M102)*10000,"0")&amp;" bp"</f>
        <v>-6 bp</v>
      </c>
      <c r="P102" s="764"/>
      <c r="Q102" s="771" t="str">
        <f t="shared" si="31"/>
        <v/>
      </c>
      <c r="U102" s="792">
        <f t="shared" ref="U102" si="47">U97/U93</f>
        <v>0.11445085517572132</v>
      </c>
    </row>
    <row r="103" spans="2:21" collapsed="1">
      <c r="B103" s="762" t="s">
        <v>1860</v>
      </c>
      <c r="C103" s="800"/>
      <c r="D103" s="800"/>
      <c r="E103" s="800"/>
      <c r="F103" s="796">
        <f>F99/F94</f>
        <v>0.11026508742244782</v>
      </c>
      <c r="G103" s="796">
        <f>G99/G94</f>
        <v>0.13638334363742222</v>
      </c>
      <c r="H103" s="796">
        <f>H99/H94</f>
        <v>8.618415147763854E-2</v>
      </c>
      <c r="I103" s="796">
        <f>I99/I94</f>
        <v>0.11633412242137302</v>
      </c>
      <c r="J103" s="887">
        <f t="shared" si="33"/>
        <v>5.9881065932058108E-2</v>
      </c>
      <c r="K103" s="769" t="str">
        <f>TEXT((I103-F103)*10000,"0")&amp;" bp"</f>
        <v>61 bp</v>
      </c>
      <c r="L103" s="796">
        <f>L99/L94</f>
        <v>8.6219714379097104E-2</v>
      </c>
      <c r="M103" s="797">
        <f>M99/M94</f>
        <v>0.11634832600608724</v>
      </c>
      <c r="N103" s="887">
        <f t="shared" si="35"/>
        <v>-4.124683283245334E-4</v>
      </c>
      <c r="O103" s="769" t="str">
        <f>TEXT((I103-M103)*10000,"0")&amp;" bp"</f>
        <v>0 bp</v>
      </c>
      <c r="P103" s="765" t="e">
        <f>P99/P94</f>
        <v>#REF!</v>
      </c>
      <c r="Q103" s="883" t="e">
        <f>TEXT((I103-P103)*10000,"0")&amp;" bp"</f>
        <v>#REF!</v>
      </c>
      <c r="U103" s="796">
        <f>U99/U94</f>
        <v>8.1314926974233939E-2</v>
      </c>
    </row>
    <row r="104" spans="2:21">
      <c r="B104" s="730"/>
      <c r="C104" s="773"/>
      <c r="D104" s="773"/>
      <c r="E104" s="773"/>
      <c r="F104" s="721"/>
      <c r="G104" s="721"/>
      <c r="I104" s="752"/>
      <c r="J104" s="879" t="str">
        <f t="shared" si="33"/>
        <v/>
      </c>
      <c r="K104" s="766"/>
      <c r="L104" s="721"/>
      <c r="M104" s="724"/>
      <c r="N104" s="879" t="str">
        <f t="shared" si="35"/>
        <v/>
      </c>
      <c r="O104" s="766"/>
      <c r="P104" s="684"/>
      <c r="Q104" s="770"/>
      <c r="U104" s="721"/>
    </row>
    <row r="105" spans="2:21">
      <c r="B105" s="811" t="s">
        <v>1849</v>
      </c>
      <c r="C105" s="773"/>
      <c r="D105" s="773"/>
      <c r="E105" s="773"/>
      <c r="F105" s="721"/>
      <c r="G105" s="721"/>
      <c r="I105" s="752"/>
      <c r="J105" s="879" t="str">
        <f t="shared" si="33"/>
        <v/>
      </c>
      <c r="K105" s="720"/>
      <c r="L105" s="721"/>
      <c r="M105" s="724"/>
      <c r="N105" s="879" t="str">
        <f t="shared" si="35"/>
        <v/>
      </c>
      <c r="O105" s="720"/>
      <c r="P105" s="684"/>
      <c r="Q105" s="731"/>
      <c r="U105" s="721"/>
    </row>
    <row r="106" spans="2:21">
      <c r="B106" s="730" t="s">
        <v>1559</v>
      </c>
      <c r="C106" s="773"/>
      <c r="D106" s="773"/>
      <c r="E106" s="773"/>
      <c r="F106" s="721">
        <f>F94</f>
        <v>1418.4</v>
      </c>
      <c r="G106" s="721">
        <f>G94</f>
        <v>887.99699999999996</v>
      </c>
      <c r="H106" s="677">
        <f t="shared" ref="H106:H113" si="48">I106-G106</f>
        <v>590.60299999999995</v>
      </c>
      <c r="I106" s="721">
        <v>1478.6</v>
      </c>
      <c r="J106" s="879">
        <f t="shared" si="33"/>
        <v>9.423408634882291E-2</v>
      </c>
      <c r="K106" s="720">
        <f t="shared" ref="K106:K117" si="49">IFERROR(I106/F106-1,"")</f>
        <v>4.2442188381274448E-2</v>
      </c>
      <c r="L106" s="721">
        <f>L94</f>
        <v>590.50300000000004</v>
      </c>
      <c r="M106" s="721">
        <f>M94</f>
        <v>1478.5</v>
      </c>
      <c r="N106" s="879">
        <f t="shared" si="35"/>
        <v>1.6934714980254562E-4</v>
      </c>
      <c r="O106" s="720">
        <f t="shared" ref="O106:O117" si="50">IFERROR(I106/M106-1,"")</f>
        <v>6.763611768678679E-5</v>
      </c>
      <c r="P106" s="721" t="e">
        <f>P94</f>
        <v>#REF!</v>
      </c>
      <c r="Q106" s="731" t="str">
        <f>IFERROR(I106/P106-1,"")</f>
        <v/>
      </c>
      <c r="U106" s="721">
        <f>U94</f>
        <v>539.74099999999999</v>
      </c>
    </row>
    <row r="107" spans="2:21">
      <c r="B107" s="730" t="s">
        <v>1840</v>
      </c>
      <c r="C107" s="773"/>
      <c r="D107" s="773"/>
      <c r="E107" s="773"/>
      <c r="F107" s="721">
        <f>MODEL!S11</f>
        <v>485.90000000000009</v>
      </c>
      <c r="G107" s="721">
        <f>MODEL!T11</f>
        <v>311.26599999999996</v>
      </c>
      <c r="H107" s="721">
        <f>MODEL!U11</f>
        <v>205.67600000000016</v>
      </c>
      <c r="I107" s="721">
        <v>516.9</v>
      </c>
      <c r="J107" s="879">
        <f t="shared" si="33"/>
        <v>6.3298645759087648</v>
      </c>
      <c r="K107" s="720">
        <f t="shared" si="49"/>
        <v>6.3799135624613923E-2</v>
      </c>
      <c r="L107" s="721">
        <f>MODEL!U11</f>
        <v>205.67600000000016</v>
      </c>
      <c r="M107" s="721">
        <f>MODEL!V11</f>
        <v>516.94200000000012</v>
      </c>
      <c r="N107" s="879">
        <f t="shared" si="35"/>
        <v>0</v>
      </c>
      <c r="O107" s="720">
        <f t="shared" si="50"/>
        <v>-8.1247025778830029E-5</v>
      </c>
      <c r="P107" s="721"/>
      <c r="Q107" s="731"/>
      <c r="U107" s="721">
        <f>MODEL!R63</f>
        <v>28.060000000000031</v>
      </c>
    </row>
    <row r="108" spans="2:21">
      <c r="B108" s="730" t="s">
        <v>1067</v>
      </c>
      <c r="C108" s="773"/>
      <c r="D108" s="773"/>
      <c r="E108" s="773"/>
      <c r="F108" s="788">
        <f>MODEL!S$33</f>
        <v>186.78800000000007</v>
      </c>
      <c r="G108" s="788">
        <f>MODEL!T$33</f>
        <v>141.88599999999997</v>
      </c>
      <c r="H108" s="677">
        <f t="shared" si="48"/>
        <v>76.314000000000021</v>
      </c>
      <c r="I108" s="789">
        <v>218.2</v>
      </c>
      <c r="J108" s="879">
        <f t="shared" si="33"/>
        <v>0.24362818590704705</v>
      </c>
      <c r="K108" s="720">
        <f t="shared" si="49"/>
        <v>0.1681692614086554</v>
      </c>
      <c r="L108" s="788">
        <f>MODEL!U$33</f>
        <v>76.276999999999987</v>
      </c>
      <c r="M108" s="790">
        <f>MODEL!V$33</f>
        <v>218.16299999999998</v>
      </c>
      <c r="N108" s="879">
        <f t="shared" si="35"/>
        <v>4.8507413768295038E-4</v>
      </c>
      <c r="O108" s="720">
        <f t="shared" si="50"/>
        <v>1.6959796115756376E-4</v>
      </c>
      <c r="P108" s="684" t="e">
        <f>#REF!</f>
        <v>#REF!</v>
      </c>
      <c r="Q108" s="731" t="str">
        <f t="shared" ref="Q108:Q113" si="51">IFERROR(I108/P108-1,"")</f>
        <v/>
      </c>
      <c r="U108" s="788">
        <f>MODEL!R$33</f>
        <v>61.36399999999999</v>
      </c>
    </row>
    <row r="109" spans="2:21">
      <c r="B109" s="730" t="s">
        <v>1639</v>
      </c>
      <c r="C109" s="667"/>
      <c r="D109" s="667"/>
      <c r="E109" s="667"/>
      <c r="F109" s="788">
        <f>MODEL!S$36</f>
        <v>-30.463999999999999</v>
      </c>
      <c r="G109" s="788">
        <f>MODEL!T$36</f>
        <v>-20.777999999999999</v>
      </c>
      <c r="H109" s="677">
        <f t="shared" si="48"/>
        <v>-25.42199999999999</v>
      </c>
      <c r="I109" s="789">
        <f>I110-I108</f>
        <v>-46.199999999999989</v>
      </c>
      <c r="J109" s="879">
        <f t="shared" si="33"/>
        <v>0.45476394849785362</v>
      </c>
      <c r="K109" s="720">
        <f t="shared" si="49"/>
        <v>0.51654411764705843</v>
      </c>
      <c r="L109" s="788">
        <f>MODEL!U$36</f>
        <v>-25.364000000000004</v>
      </c>
      <c r="M109" s="790">
        <f>MODEL!V$36</f>
        <v>-46.141999999999996</v>
      </c>
      <c r="N109" s="879">
        <f t="shared" si="35"/>
        <v>2.2867055669446579E-3</v>
      </c>
      <c r="O109" s="720">
        <f t="shared" si="50"/>
        <v>1.2569892939187088E-3</v>
      </c>
      <c r="P109" s="684" t="e">
        <f>#REF!</f>
        <v>#REF!</v>
      </c>
      <c r="Q109" s="731" t="str">
        <f t="shared" si="51"/>
        <v/>
      </c>
      <c r="U109" s="788">
        <f>MODEL!R$36</f>
        <v>-17.474999999999998</v>
      </c>
    </row>
    <row r="110" spans="2:21">
      <c r="B110" s="730" t="s">
        <v>1107</v>
      </c>
      <c r="C110" s="773"/>
      <c r="D110" s="773"/>
      <c r="E110" s="773"/>
      <c r="F110" s="788">
        <f>F99</f>
        <v>156.4</v>
      </c>
      <c r="G110" s="788">
        <f>G99</f>
        <v>121.108</v>
      </c>
      <c r="H110" s="677">
        <f t="shared" si="48"/>
        <v>50.891999999999996</v>
      </c>
      <c r="I110" s="788">
        <v>172</v>
      </c>
      <c r="J110" s="879">
        <f t="shared" si="33"/>
        <v>0.15956162136298402</v>
      </c>
      <c r="K110" s="720">
        <f t="shared" si="49"/>
        <v>9.9744245524296726E-2</v>
      </c>
      <c r="L110" s="788">
        <f>L99</f>
        <v>50.912999999999982</v>
      </c>
      <c r="M110" s="788">
        <f>M99</f>
        <v>172.02099999999999</v>
      </c>
      <c r="N110" s="879">
        <f t="shared" si="35"/>
        <v>-4.124683283245334E-4</v>
      </c>
      <c r="O110" s="720">
        <f t="shared" si="50"/>
        <v>-1.2207811836917326E-4</v>
      </c>
      <c r="P110" s="788" t="e">
        <f>#REF!</f>
        <v>#REF!</v>
      </c>
      <c r="Q110" s="731" t="str">
        <f t="shared" si="51"/>
        <v/>
      </c>
      <c r="U110" s="788">
        <f>U99</f>
        <v>43.888999999999996</v>
      </c>
    </row>
    <row r="111" spans="2:21">
      <c r="B111" s="732" t="s">
        <v>1786</v>
      </c>
      <c r="C111" s="667"/>
      <c r="D111" s="667"/>
      <c r="E111" s="667"/>
      <c r="F111" s="722">
        <f>MODEL!S$57</f>
        <v>105.75600000000003</v>
      </c>
      <c r="G111" s="722">
        <f>MODEL!T$57</f>
        <v>78.719000000000008</v>
      </c>
      <c r="H111" s="882">
        <f t="shared" si="48"/>
        <v>31.480999999999995</v>
      </c>
      <c r="I111" s="753">
        <v>110.2</v>
      </c>
      <c r="J111" s="880">
        <f t="shared" si="33"/>
        <v>0.12191732002850886</v>
      </c>
      <c r="K111" s="750">
        <f t="shared" si="49"/>
        <v>4.2021256477173585E-2</v>
      </c>
      <c r="L111" s="722">
        <f>MODEL!U$57</f>
        <v>31.488999999999976</v>
      </c>
      <c r="M111" s="725">
        <f>MODEL!V$57</f>
        <v>110.20799999999998</v>
      </c>
      <c r="N111" s="880">
        <f t="shared" si="35"/>
        <v>-2.5405697227542934E-4</v>
      </c>
      <c r="O111" s="750">
        <f t="shared" si="50"/>
        <v>-7.2590011614193095E-5</v>
      </c>
      <c r="P111" s="685" t="e">
        <f>#REF!</f>
        <v>#REF!</v>
      </c>
      <c r="Q111" s="751" t="str">
        <f t="shared" si="51"/>
        <v/>
      </c>
      <c r="U111" s="722">
        <f>MODEL!R$57</f>
        <v>28.060000000000031</v>
      </c>
    </row>
    <row r="112" spans="2:21">
      <c r="B112" s="730" t="s">
        <v>1805</v>
      </c>
      <c r="C112" s="667"/>
      <c r="D112" s="667"/>
      <c r="E112" s="667"/>
      <c r="F112" s="721">
        <f t="shared" ref="F112:G112" si="52">F111-F113</f>
        <v>0</v>
      </c>
      <c r="G112" s="721">
        <f t="shared" si="52"/>
        <v>0</v>
      </c>
      <c r="H112" s="677">
        <f t="shared" si="48"/>
        <v>0</v>
      </c>
      <c r="I112" s="752">
        <v>0</v>
      </c>
      <c r="J112" s="879" t="str">
        <f t="shared" si="33"/>
        <v/>
      </c>
      <c r="K112" s="720" t="str">
        <f t="shared" si="49"/>
        <v/>
      </c>
      <c r="L112" s="721">
        <f t="shared" ref="L112" si="53">L111-L113</f>
        <v>0</v>
      </c>
      <c r="M112" s="724">
        <f t="shared" ref="M112" si="54">M111-M113</f>
        <v>0</v>
      </c>
      <c r="N112" s="879" t="str">
        <f t="shared" si="35"/>
        <v/>
      </c>
      <c r="O112" s="720" t="str">
        <f t="shared" si="50"/>
        <v/>
      </c>
      <c r="P112" s="684"/>
      <c r="Q112" s="731" t="str">
        <f t="shared" si="51"/>
        <v/>
      </c>
      <c r="U112" s="721">
        <f t="shared" ref="U112" si="55">U111-U113</f>
        <v>0</v>
      </c>
    </row>
    <row r="113" spans="2:21">
      <c r="B113" s="730" t="s">
        <v>1797</v>
      </c>
      <c r="C113" s="773"/>
      <c r="D113" s="773"/>
      <c r="E113" s="773"/>
      <c r="F113" s="721">
        <f>MODEL!S$63</f>
        <v>105.75600000000003</v>
      </c>
      <c r="G113" s="721">
        <f>MODEL!T$63</f>
        <v>78.719000000000008</v>
      </c>
      <c r="H113" s="677">
        <f t="shared" si="48"/>
        <v>31.480999999999995</v>
      </c>
      <c r="I113" s="752">
        <f>I111</f>
        <v>110.2</v>
      </c>
      <c r="J113" s="879">
        <f t="shared" si="33"/>
        <v>0.12191732002850886</v>
      </c>
      <c r="K113" s="720">
        <f t="shared" si="49"/>
        <v>4.2021256477173585E-2</v>
      </c>
      <c r="L113" s="721">
        <f>MODEL!U$63</f>
        <v>31.488999999999976</v>
      </c>
      <c r="M113" s="724">
        <f>MODEL!V$63</f>
        <v>110.20799999999998</v>
      </c>
      <c r="N113" s="879">
        <f t="shared" si="35"/>
        <v>-2.5405697227542934E-4</v>
      </c>
      <c r="O113" s="720">
        <f t="shared" si="50"/>
        <v>-7.2590011614193095E-5</v>
      </c>
      <c r="P113" s="684"/>
      <c r="Q113" s="731" t="str">
        <f t="shared" si="51"/>
        <v/>
      </c>
      <c r="U113" s="721">
        <f>MODEL!R$63</f>
        <v>28.060000000000031</v>
      </c>
    </row>
    <row r="114" spans="2:21">
      <c r="B114" s="730"/>
      <c r="C114" s="773"/>
      <c r="D114" s="773"/>
      <c r="E114" s="773"/>
      <c r="F114" s="684"/>
      <c r="G114" s="684"/>
      <c r="I114" s="755"/>
      <c r="J114" s="879" t="str">
        <f t="shared" si="33"/>
        <v/>
      </c>
      <c r="K114" s="720" t="str">
        <f t="shared" si="49"/>
        <v/>
      </c>
      <c r="L114" s="684"/>
      <c r="M114" s="726"/>
      <c r="N114" s="879" t="str">
        <f t="shared" si="35"/>
        <v/>
      </c>
      <c r="O114" s="720" t="str">
        <f t="shared" si="50"/>
        <v/>
      </c>
      <c r="P114" s="684"/>
      <c r="Q114" s="731"/>
      <c r="U114" s="684"/>
    </row>
    <row r="115" spans="2:21">
      <c r="B115" s="730" t="s">
        <v>1798</v>
      </c>
      <c r="C115" s="773"/>
      <c r="D115" s="773"/>
      <c r="E115" s="773"/>
      <c r="F115" s="721">
        <f>MODEL!S$66</f>
        <v>75.922868178098128</v>
      </c>
      <c r="G115" s="721" t="e">
        <f>MODEL!T$66</f>
        <v>#REF!</v>
      </c>
      <c r="H115" s="677" t="e">
        <f t="shared" ref="H115:H116" si="56">I115-G115</f>
        <v>#REF!</v>
      </c>
      <c r="I115" s="752">
        <v>77.2</v>
      </c>
      <c r="J115" s="879" t="str">
        <f t="shared" si="33"/>
        <v/>
      </c>
      <c r="K115" s="720">
        <f t="shared" si="49"/>
        <v>1.6821438027156743E-2</v>
      </c>
      <c r="L115" s="721" t="e">
        <f>MODEL!U$66</f>
        <v>#REF!</v>
      </c>
      <c r="M115" s="724">
        <f>MODEL!V$66</f>
        <v>77.232718506475294</v>
      </c>
      <c r="N115" s="879" t="str">
        <f t="shared" si="35"/>
        <v/>
      </c>
      <c r="O115" s="720">
        <f t="shared" si="50"/>
        <v>-4.2363530778144476E-4</v>
      </c>
      <c r="P115" s="684" t="e">
        <f>#REF!</f>
        <v>#REF!</v>
      </c>
      <c r="Q115" s="731" t="str">
        <f>IFERROR(I115/P115-1,"")</f>
        <v/>
      </c>
      <c r="U115" s="721">
        <f>MODEL!R$66</f>
        <v>20.086789956593357</v>
      </c>
    </row>
    <row r="116" spans="2:21">
      <c r="B116" s="730" t="str">
        <f>"DPS (A¢)"</f>
        <v>DPS (A¢)</v>
      </c>
      <c r="C116" s="773"/>
      <c r="D116" s="773"/>
      <c r="E116" s="773"/>
      <c r="F116" s="721">
        <f>MODEL!S$72</f>
        <v>30</v>
      </c>
      <c r="G116" s="721">
        <f>MODEL!T$72</f>
        <v>15</v>
      </c>
      <c r="H116" s="677">
        <f t="shared" si="56"/>
        <v>15.5</v>
      </c>
      <c r="I116" s="752">
        <v>30.5</v>
      </c>
      <c r="J116" s="879">
        <f t="shared" si="33"/>
        <v>3.3333333333333437E-2</v>
      </c>
      <c r="K116" s="720">
        <f t="shared" si="49"/>
        <v>1.6666666666666607E-2</v>
      </c>
      <c r="L116" s="721">
        <f>MODEL!U$72</f>
        <v>15.5</v>
      </c>
      <c r="M116" s="724">
        <f>MODEL!V$72</f>
        <v>30.5</v>
      </c>
      <c r="N116" s="879">
        <f t="shared" si="35"/>
        <v>0</v>
      </c>
      <c r="O116" s="720">
        <f t="shared" si="50"/>
        <v>0</v>
      </c>
      <c r="P116" s="684"/>
      <c r="Q116" s="731" t="str">
        <f>IFERROR(I116/P116-1,"")</f>
        <v/>
      </c>
      <c r="U116" s="721">
        <f>MODEL!R$72</f>
        <v>15</v>
      </c>
    </row>
    <row r="117" spans="2:21">
      <c r="B117" s="730"/>
      <c r="C117" s="773"/>
      <c r="D117" s="773"/>
      <c r="E117" s="773"/>
      <c r="F117" s="721"/>
      <c r="G117" s="721"/>
      <c r="I117" s="752"/>
      <c r="J117" s="879" t="str">
        <f t="shared" si="33"/>
        <v/>
      </c>
      <c r="K117" s="720" t="str">
        <f t="shared" si="49"/>
        <v/>
      </c>
      <c r="L117" s="721"/>
      <c r="M117" s="724"/>
      <c r="N117" s="879" t="str">
        <f t="shared" si="35"/>
        <v/>
      </c>
      <c r="O117" s="720" t="str">
        <f t="shared" si="50"/>
        <v/>
      </c>
      <c r="P117" s="684"/>
      <c r="Q117" s="731"/>
      <c r="U117" s="721"/>
    </row>
    <row r="118" spans="2:21">
      <c r="B118" s="744" t="s">
        <v>1595</v>
      </c>
      <c r="C118" s="791"/>
      <c r="D118" s="791"/>
      <c r="E118" s="791"/>
      <c r="F118" s="745">
        <f>MODEL!S$13</f>
        <v>0.34256909193457419</v>
      </c>
      <c r="G118" s="745">
        <f>MODEL!T$13</f>
        <v>0.35052595898409566</v>
      </c>
      <c r="H118" s="754">
        <f>H107/H106</f>
        <v>0.34824746911207727</v>
      </c>
      <c r="I118" s="754">
        <f>I107/I106</f>
        <v>0.34958744758555393</v>
      </c>
      <c r="J118" s="879">
        <f t="shared" si="33"/>
        <v>1.1094277201423086E-2</v>
      </c>
      <c r="K118" s="746" t="str">
        <f>TEXT((I118-F118)*10000,"0")&amp;" bp"</f>
        <v>70 bp</v>
      </c>
      <c r="L118" s="745">
        <f>MODEL!U$13</f>
        <v>0.34830644382839737</v>
      </c>
      <c r="M118" s="747">
        <f>MODEL!V$13</f>
        <v>0.34962672989961818</v>
      </c>
      <c r="N118" s="888" t="str">
        <f>TEXT((H118-L118)*10000,"0")&amp;" bp"</f>
        <v>-1 bp</v>
      </c>
      <c r="O118" s="746" t="str">
        <f>TEXT((I118-M118)*10000,"0")&amp;" bp"</f>
        <v>0 bp</v>
      </c>
      <c r="P118" s="748"/>
      <c r="Q118" s="749"/>
      <c r="U118" s="745">
        <f>MODEL!R$13</f>
        <v>0.3444263081737351</v>
      </c>
    </row>
    <row r="119" spans="2:21">
      <c r="B119" s="744" t="s">
        <v>1551</v>
      </c>
      <c r="C119" s="791"/>
      <c r="D119" s="791"/>
      <c r="E119" s="791"/>
      <c r="F119" s="745">
        <f>MODEL!S$45</f>
        <v>0.11026508742244782</v>
      </c>
      <c r="G119" s="745">
        <f>MODEL!T$45</f>
        <v>0.13638334363742222</v>
      </c>
      <c r="H119" s="754">
        <f>H110/H106</f>
        <v>8.6169558908437652E-2</v>
      </c>
      <c r="I119" s="754">
        <f>I110/I106</f>
        <v>0.11632625456512918</v>
      </c>
      <c r="J119" s="879">
        <f t="shared" si="33"/>
        <v>5.9701608485020152E-2</v>
      </c>
      <c r="K119" s="746" t="str">
        <f>TEXT((I119-F119)*10000,"0")&amp;" bp"</f>
        <v>61 bp</v>
      </c>
      <c r="L119" s="745">
        <f>MODEL!U$45</f>
        <v>8.6219714379097104E-2</v>
      </c>
      <c r="M119" s="747">
        <f>MODEL!V$45</f>
        <v>0.11634407671278829</v>
      </c>
      <c r="N119" s="888" t="str">
        <f t="shared" ref="N119:N120" si="57">TEXT((H119-L119)*10000,"0")&amp;" bp"</f>
        <v>-1 bp</v>
      </c>
      <c r="O119" s="746" t="str">
        <f>TEXT((I119-M119)*10000,"0")&amp;" bp"</f>
        <v>0 bp</v>
      </c>
      <c r="P119" s="748" t="e">
        <f>P99/P94</f>
        <v>#REF!</v>
      </c>
      <c r="Q119" s="749" t="e">
        <f>TEXT((I119-P119)*10000,"0")&amp;" bp"</f>
        <v>#REF!</v>
      </c>
      <c r="U119" s="745">
        <f>MODEL!R$45</f>
        <v>8.1314926974233939E-2</v>
      </c>
    </row>
    <row r="120" spans="2:21">
      <c r="B120" s="799" t="s">
        <v>1831</v>
      </c>
      <c r="C120" s="800"/>
      <c r="D120" s="800"/>
      <c r="E120" s="800"/>
      <c r="F120" s="801">
        <f>MODEL!S$57/MODEL!S$5</f>
        <v>7.4560067681895104E-2</v>
      </c>
      <c r="G120" s="801">
        <f>MODEL!T$57/MODEL!T$5</f>
        <v>8.8647822008407706E-2</v>
      </c>
      <c r="H120" s="802">
        <f>H111/H106</f>
        <v>5.3303149492975821E-2</v>
      </c>
      <c r="I120" s="802">
        <f>I111/I106</f>
        <v>7.4529960773704856E-2</v>
      </c>
      <c r="J120" s="880">
        <f>IFERROR(H120/U120-1,"")</f>
        <v>2.529918782923124E-2</v>
      </c>
      <c r="K120" s="803" t="str">
        <f>TEXT((I120-F120)*10000,"0")&amp;" bp"</f>
        <v>0 bp</v>
      </c>
      <c r="L120" s="801">
        <f>MODEL!U$57/MODEL!U$5</f>
        <v>5.3325724001402147E-2</v>
      </c>
      <c r="M120" s="804">
        <f>MODEL!V$57/MODEL!V$5</f>
        <v>7.4537690202725077E-2</v>
      </c>
      <c r="N120" s="888" t="str">
        <f t="shared" si="57"/>
        <v>0 bp</v>
      </c>
      <c r="O120" s="803" t="str">
        <f>TEXT((I120-M120)*10000,"0")&amp;" bp"</f>
        <v>0 bp</v>
      </c>
      <c r="P120" s="805" t="e">
        <f>P111/P94</f>
        <v>#REF!</v>
      </c>
      <c r="Q120" s="806" t="e">
        <f>TEXT((I120-P120)*10000,"0")&amp;" bp"</f>
        <v>#REF!</v>
      </c>
      <c r="U120" s="801">
        <f>MODEL!R$57/MODEL!R$5</f>
        <v>5.1987897899177626E-2</v>
      </c>
    </row>
    <row r="121" spans="2:21">
      <c r="B121" s="730"/>
      <c r="C121" s="773"/>
      <c r="D121" s="773"/>
      <c r="E121" s="773"/>
      <c r="F121" s="721"/>
      <c r="I121" s="752"/>
      <c r="K121" s="720" t="str">
        <f>IFERROR(M121/F121-1,"")</f>
        <v/>
      </c>
      <c r="M121" s="724"/>
      <c r="N121" s="721"/>
      <c r="O121" s="720" t="str">
        <f>IFERROR(K121/E121-1,"")</f>
        <v/>
      </c>
      <c r="P121" s="684"/>
      <c r="Q121" s="731"/>
    </row>
    <row r="122" spans="2:21">
      <c r="B122" s="730" t="s">
        <v>1787</v>
      </c>
      <c r="C122" s="773"/>
      <c r="D122" s="773"/>
      <c r="E122" s="773"/>
      <c r="F122" s="721">
        <f>MODEL!S$94</f>
        <v>-42.152999999999999</v>
      </c>
      <c r="I122" s="752">
        <v>90.254000000000005</v>
      </c>
      <c r="K122" s="720"/>
      <c r="M122" s="724">
        <f>MODEL!V$94</f>
        <v>90.254000000000005</v>
      </c>
      <c r="N122" s="721"/>
      <c r="O122" s="720"/>
      <c r="P122" s="684" t="e">
        <f>#REF!</f>
        <v>#REF!</v>
      </c>
      <c r="Q122" s="731"/>
    </row>
    <row r="123" spans="2:21">
      <c r="B123" s="730" t="s">
        <v>1806</v>
      </c>
      <c r="C123" s="773"/>
      <c r="D123" s="773"/>
      <c r="E123" s="773"/>
      <c r="F123" s="721">
        <f>SUM(MODEL!S$96:S$97)</f>
        <v>-42.692</v>
      </c>
      <c r="I123" s="752">
        <f>-20.479-32.764</f>
        <v>-53.243000000000002</v>
      </c>
      <c r="K123" s="720"/>
      <c r="M123" s="724">
        <f>SUM(MODEL!V$96:V$97)</f>
        <v>-53.243000000000002</v>
      </c>
      <c r="N123" s="721"/>
      <c r="O123" s="720"/>
      <c r="P123" s="684"/>
      <c r="Q123" s="731"/>
    </row>
    <row r="124" spans="2:21">
      <c r="B124" s="730" t="s">
        <v>1807</v>
      </c>
      <c r="C124" s="773"/>
      <c r="D124" s="773"/>
      <c r="E124" s="773"/>
      <c r="F124" s="721">
        <f>MODEL!S$114-MODEL!S$157-MODEL!S$166</f>
        <v>4.0929999999999893</v>
      </c>
      <c r="I124" s="752">
        <f>202.2+3.245-84.155</f>
        <v>121.28999999999999</v>
      </c>
      <c r="K124" s="720"/>
      <c r="M124" s="724">
        <f>MODEL!V$114-MODEL!V$157-MODEL!V$166</f>
        <v>121.28999999999989</v>
      </c>
      <c r="N124" s="721"/>
      <c r="O124" s="720"/>
      <c r="P124" s="684" t="e">
        <f>#REF!</f>
        <v>#REF!</v>
      </c>
      <c r="Q124" s="731"/>
    </row>
    <row r="125" spans="2:21">
      <c r="B125" s="730" t="s">
        <v>1867</v>
      </c>
      <c r="C125" s="773"/>
      <c r="D125" s="773"/>
      <c r="E125" s="773"/>
      <c r="F125" s="721">
        <f>MODEL!S$114</f>
        <v>53.907999999999987</v>
      </c>
      <c r="K125" s="720"/>
      <c r="M125" s="724">
        <f>MODEL!V$114</f>
        <v>196.33899999999991</v>
      </c>
      <c r="N125" s="721"/>
      <c r="O125" s="720"/>
      <c r="P125" s="684"/>
      <c r="Q125" s="731"/>
    </row>
    <row r="126" spans="2:21" ht="13.5" thickBot="1">
      <c r="B126" s="733" t="s">
        <v>1853</v>
      </c>
      <c r="C126" s="798"/>
      <c r="D126" s="798"/>
      <c r="E126" s="798"/>
      <c r="F126" s="815">
        <f>F124/(F108+PPE_and_intangibles!S99+PPE_and_intangibles!R95+MODEL!O85+PPE_and_intangibles!O99+PPE_and_intangibles!O95)</f>
        <v>2.1697352483010159E-2</v>
      </c>
      <c r="G126" s="881"/>
      <c r="H126" s="881"/>
      <c r="I126" s="815">
        <f>I124/I108</f>
        <v>0.55586617781851511</v>
      </c>
      <c r="J126" s="881"/>
      <c r="K126" s="734"/>
      <c r="L126" s="881"/>
      <c r="M126" s="815">
        <f>M124/(M108+PPE_and_intangibles!T99+PPE_and_intangibles!U95+MODEL!R85+PPE_and_intangibles!R99+PPE_and_intangibles!R95)</f>
        <v>0.55596045158894913</v>
      </c>
      <c r="N126" s="815"/>
      <c r="O126" s="734"/>
      <c r="P126" s="735"/>
      <c r="Q126" s="736"/>
    </row>
    <row r="127" spans="2:21" ht="13.5" thickBot="1">
      <c r="B127" s="733" t="s">
        <v>1852</v>
      </c>
      <c r="C127" s="798"/>
      <c r="D127" s="798"/>
      <c r="E127" s="798"/>
      <c r="F127" s="815">
        <f>'Results Table'!F125/(F108)</f>
        <v>0.28860526372143802</v>
      </c>
      <c r="G127" s="881"/>
      <c r="H127" s="881"/>
      <c r="J127" s="881"/>
      <c r="K127" s="816"/>
      <c r="L127" s="881"/>
      <c r="M127" s="815">
        <f>'Results Table'!M125/(M108)</f>
        <v>0.89996470528916417</v>
      </c>
      <c r="N127" s="815"/>
      <c r="O127" s="734"/>
      <c r="P127" s="735"/>
      <c r="Q127" s="736"/>
    </row>
  </sheetData>
  <mergeCells count="7">
    <mergeCell ref="F86:K86"/>
    <mergeCell ref="L86:O86"/>
    <mergeCell ref="L4:R4"/>
    <mergeCell ref="T4:Y4"/>
    <mergeCell ref="F42:H42"/>
    <mergeCell ref="I42:J42"/>
    <mergeCell ref="F4:J4"/>
  </mergeCells>
  <printOptions horizontalCentered="1" verticalCentered="1"/>
  <pageMargins left="0.7" right="0.7" top="0.75" bottom="0.75" header="0.3" footer="0.3"/>
  <pageSetup paperSize="9" scale="12" orientation="portrait" r:id="rId1"/>
  <customProperties>
    <customPr name="Qube.Worksheet.Visibility"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B5:H8"/>
  <sheetViews>
    <sheetView workbookViewId="0"/>
  </sheetViews>
  <sheetFormatPr defaultRowHeight="12.75"/>
  <sheetData>
    <row r="5" spans="2:8">
      <c r="C5" t="s">
        <v>1555</v>
      </c>
    </row>
    <row r="6" spans="2:8">
      <c r="C6" t="s">
        <v>1531</v>
      </c>
      <c r="D6" t="s">
        <v>1553</v>
      </c>
      <c r="E6" t="s">
        <v>1556</v>
      </c>
      <c r="F6" t="s">
        <v>1552</v>
      </c>
      <c r="G6" t="s">
        <v>1554</v>
      </c>
      <c r="H6" t="s">
        <v>1557</v>
      </c>
    </row>
    <row r="7" spans="2:8">
      <c r="B7" t="s">
        <v>1107</v>
      </c>
      <c r="C7" t="e">
        <f>MODEL!#REF!</f>
        <v>#REF!</v>
      </c>
      <c r="D7" t="e">
        <f>MODEL!#REF!</f>
        <v>#REF!</v>
      </c>
      <c r="E7" t="e">
        <f>MODEL!#REF!</f>
        <v>#REF!</v>
      </c>
      <c r="F7" t="e">
        <f>MODEL!#REF!</f>
        <v>#REF!</v>
      </c>
      <c r="G7" t="e">
        <f>H7-F7</f>
        <v>#REF!</v>
      </c>
      <c r="H7" t="e">
        <f>E7</f>
        <v>#REF!</v>
      </c>
    </row>
    <row r="8" spans="2:8">
      <c r="G8" t="e">
        <f>G7/D7-1</f>
        <v>#REF!</v>
      </c>
      <c r="H8" t="e">
        <f>H7/E7-1</f>
        <v>#REF!</v>
      </c>
    </row>
  </sheetData>
  <pageMargins left="0.7" right="0.7" top="0.75" bottom="0.75" header="0.3" footer="0.3"/>
  <pageSetup paperSize="9" orientation="portrait" horizontalDpi="300" verticalDpi="300" r:id="rId1"/>
  <customProperties>
    <customPr name="Qube.Worksheet.Visibility" r:id="rId2"/>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dimension ref="D2:G20"/>
  <sheetViews>
    <sheetView workbookViewId="0"/>
  </sheetViews>
  <sheetFormatPr defaultRowHeight="12.75"/>
  <cols>
    <col min="4" max="4" width="20.85546875" customWidth="1"/>
    <col min="5" max="5" width="38.85546875" customWidth="1"/>
    <col min="6" max="6" width="23.28515625" style="175" customWidth="1"/>
  </cols>
  <sheetData>
    <row r="2" spans="4:7">
      <c r="D2" s="305" t="s">
        <v>1548</v>
      </c>
      <c r="E2" s="305"/>
      <c r="F2" s="306"/>
      <c r="G2" s="304"/>
    </row>
    <row r="3" spans="4:7">
      <c r="D3" s="305"/>
      <c r="E3" s="305"/>
      <c r="F3" s="306"/>
      <c r="G3" s="304"/>
    </row>
    <row r="4" spans="4:7">
      <c r="D4" s="305" t="s">
        <v>1532</v>
      </c>
      <c r="E4" s="306" t="s">
        <v>1534</v>
      </c>
      <c r="F4" s="306" t="s">
        <v>1550</v>
      </c>
      <c r="G4" s="304"/>
    </row>
    <row r="5" spans="4:7">
      <c r="D5" s="304"/>
      <c r="E5" s="304"/>
      <c r="F5" s="307" t="s">
        <v>1535</v>
      </c>
      <c r="G5" s="304"/>
    </row>
    <row r="6" spans="4:7">
      <c r="D6" s="304" t="s">
        <v>1533</v>
      </c>
      <c r="E6" s="308" t="s">
        <v>1549</v>
      </c>
      <c r="F6" s="307">
        <v>29</v>
      </c>
      <c r="G6" s="304"/>
    </row>
    <row r="7" spans="4:7">
      <c r="D7" s="304"/>
      <c r="E7" s="308" t="s">
        <v>1538</v>
      </c>
      <c r="F7" s="307"/>
      <c r="G7" s="304"/>
    </row>
    <row r="8" spans="4:7">
      <c r="D8" s="304"/>
      <c r="E8" s="308"/>
      <c r="F8" s="307"/>
      <c r="G8" s="304"/>
    </row>
    <row r="9" spans="4:7">
      <c r="D9" s="304" t="s">
        <v>1536</v>
      </c>
      <c r="E9" s="308" t="s">
        <v>1537</v>
      </c>
      <c r="F9" s="307">
        <v>40</v>
      </c>
      <c r="G9" s="304"/>
    </row>
    <row r="10" spans="4:7">
      <c r="D10" s="304"/>
      <c r="E10" s="308" t="s">
        <v>1539</v>
      </c>
      <c r="F10" s="307"/>
      <c r="G10" s="304"/>
    </row>
    <row r="11" spans="4:7">
      <c r="D11" s="304"/>
      <c r="E11" s="308"/>
      <c r="F11" s="307"/>
      <c r="G11" s="304"/>
    </row>
    <row r="12" spans="4:7">
      <c r="D12" s="304" t="s">
        <v>1540</v>
      </c>
      <c r="E12" s="308" t="s">
        <v>1541</v>
      </c>
      <c r="F12" s="307">
        <v>31</v>
      </c>
      <c r="G12" s="304"/>
    </row>
    <row r="13" spans="4:7">
      <c r="D13" s="304"/>
      <c r="E13" s="308"/>
      <c r="F13" s="307"/>
      <c r="G13" s="304"/>
    </row>
    <row r="14" spans="4:7">
      <c r="D14" s="304" t="s">
        <v>1542</v>
      </c>
      <c r="E14" s="308" t="s">
        <v>1543</v>
      </c>
      <c r="F14" s="307">
        <v>10</v>
      </c>
      <c r="G14" s="304"/>
    </row>
    <row r="15" spans="4:7">
      <c r="D15" s="304"/>
      <c r="E15" s="308"/>
      <c r="F15" s="307"/>
      <c r="G15" s="304"/>
    </row>
    <row r="16" spans="4:7">
      <c r="D16" s="304" t="s">
        <v>1544</v>
      </c>
      <c r="E16" s="308" t="s">
        <v>1545</v>
      </c>
      <c r="F16" s="307">
        <v>18</v>
      </c>
      <c r="G16" s="304"/>
    </row>
    <row r="17" spans="4:7">
      <c r="D17" s="304"/>
      <c r="E17" s="308" t="s">
        <v>1546</v>
      </c>
      <c r="F17" s="307"/>
      <c r="G17" s="304"/>
    </row>
    <row r="18" spans="4:7">
      <c r="D18" s="304"/>
      <c r="E18" s="304"/>
      <c r="F18" s="307"/>
      <c r="G18" s="304"/>
    </row>
    <row r="19" spans="4:7">
      <c r="D19" s="304" t="s">
        <v>1547</v>
      </c>
      <c r="E19" s="304"/>
      <c r="F19" s="307"/>
      <c r="G19" s="304"/>
    </row>
    <row r="20" spans="4:7">
      <c r="D20" s="304"/>
    </row>
  </sheetData>
  <pageMargins left="0.7" right="0.7" top="0.75" bottom="0.75" header="0.3" footer="0.3"/>
  <pageSetup paperSize="9" orientation="portrait" horizontalDpi="200" verticalDpi="200" r:id="rId1"/>
  <customProperties>
    <customPr name="Qube.Worksheet.Visibility" r:id="rId2"/>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
  <dimension ref="A1:R4"/>
  <sheetViews>
    <sheetView workbookViewId="0"/>
  </sheetViews>
  <sheetFormatPr defaultRowHeight="12.75"/>
  <cols>
    <col min="1" max="1" width="18.5703125" customWidth="1"/>
  </cols>
  <sheetData>
    <row r="1" spans="1:18">
      <c r="Q1" s="172" t="s">
        <v>1243</v>
      </c>
    </row>
    <row r="2" spans="1:18">
      <c r="A2" s="132" t="s">
        <v>396</v>
      </c>
      <c r="B2" s="171">
        <v>1995</v>
      </c>
      <c r="C2" s="171">
        <v>1996</v>
      </c>
      <c r="D2" s="171">
        <v>1997</v>
      </c>
      <c r="E2" s="171">
        <v>1998</v>
      </c>
      <c r="F2" s="171">
        <v>1999</v>
      </c>
      <c r="G2" s="171">
        <v>2000</v>
      </c>
      <c r="H2" s="171">
        <v>2001</v>
      </c>
      <c r="I2" s="171">
        <v>2002</v>
      </c>
      <c r="J2" s="171">
        <v>2003</v>
      </c>
      <c r="K2" s="171">
        <v>2004</v>
      </c>
      <c r="L2" s="171">
        <v>2005</v>
      </c>
      <c r="M2" s="171">
        <v>2006</v>
      </c>
      <c r="N2" s="171">
        <v>2007</v>
      </c>
      <c r="O2" s="171">
        <v>2008</v>
      </c>
      <c r="P2" s="171" t="s">
        <v>1414</v>
      </c>
      <c r="Q2" t="s">
        <v>1241</v>
      </c>
      <c r="R2" t="s">
        <v>1242</v>
      </c>
    </row>
    <row r="3" spans="1:18">
      <c r="A3" s="132" t="s">
        <v>518</v>
      </c>
      <c r="B3" s="143">
        <v>8.6987038510130524E-2</v>
      </c>
      <c r="C3" s="143">
        <v>8.0208585079288353E-2</v>
      </c>
      <c r="D3" s="143">
        <v>9.441757000105927E-2</v>
      </c>
      <c r="E3" s="143">
        <v>0.15442329571661387</v>
      </c>
      <c r="F3" s="143">
        <v>8.2688402607176845E-2</v>
      </c>
      <c r="G3" s="162">
        <v>0.10281641126564506</v>
      </c>
      <c r="H3" s="162">
        <v>8.0419488976645651E-2</v>
      </c>
      <c r="I3" s="162">
        <v>7.640850423691517E-2</v>
      </c>
      <c r="J3" s="162">
        <v>7.8373707734077216E-2</v>
      </c>
      <c r="K3" s="162">
        <v>8.8172179294430275E-2</v>
      </c>
      <c r="L3" s="162">
        <v>7.9947870305590987E-2</v>
      </c>
      <c r="M3" s="162">
        <v>9.6026064217430415E-2</v>
      </c>
      <c r="N3" s="162">
        <v>7.6651901310901646E-2</v>
      </c>
      <c r="O3" s="162">
        <v>7.5524176991458233E-2</v>
      </c>
      <c r="P3" s="162" t="e">
        <f>MODEL!#REF!</f>
        <v>#REF!</v>
      </c>
      <c r="Q3" s="173" t="e">
        <f>AVERAGE(B3:P3)</f>
        <v>#REF!</v>
      </c>
      <c r="R3" s="173" t="e">
        <f>SUM(B3:P3)/P4</f>
        <v>#REF!</v>
      </c>
    </row>
    <row r="4" spans="1:18">
      <c r="A4" s="132"/>
      <c r="B4" s="174">
        <v>1</v>
      </c>
      <c r="C4" s="174">
        <f>B4+1</f>
        <v>2</v>
      </c>
      <c r="D4" s="174">
        <f t="shared" ref="D4:P4" si="0">C4+1</f>
        <v>3</v>
      </c>
      <c r="E4" s="174">
        <f t="shared" si="0"/>
        <v>4</v>
      </c>
      <c r="F4" s="174">
        <f t="shared" si="0"/>
        <v>5</v>
      </c>
      <c r="G4" s="174">
        <f t="shared" si="0"/>
        <v>6</v>
      </c>
      <c r="H4" s="174">
        <f t="shared" si="0"/>
        <v>7</v>
      </c>
      <c r="I4" s="174">
        <f t="shared" si="0"/>
        <v>8</v>
      </c>
      <c r="J4" s="174">
        <f t="shared" si="0"/>
        <v>9</v>
      </c>
      <c r="K4" s="174">
        <f t="shared" si="0"/>
        <v>10</v>
      </c>
      <c r="L4" s="174">
        <f t="shared" si="0"/>
        <v>11</v>
      </c>
      <c r="M4" s="174">
        <f t="shared" si="0"/>
        <v>12</v>
      </c>
      <c r="N4" s="174">
        <f t="shared" si="0"/>
        <v>13</v>
      </c>
      <c r="O4" s="174">
        <f t="shared" si="0"/>
        <v>14</v>
      </c>
      <c r="P4" s="174">
        <f t="shared" si="0"/>
        <v>15</v>
      </c>
    </row>
  </sheetData>
  <phoneticPr fontId="45" type="noConversion"/>
  <pageMargins left="0.75" right="0.75" top="1" bottom="1" header="0.5" footer="0.5"/>
  <pageSetup paperSize="9" orientation="portrait" r:id="rId1"/>
  <headerFooter alignWithMargins="0"/>
  <customProperties>
    <customPr name="Qube.Worksheet.Visibility" r:id="rId2"/>
  </customProperties>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
  <dimension ref="A3:G15"/>
  <sheetViews>
    <sheetView workbookViewId="0"/>
  </sheetViews>
  <sheetFormatPr defaultColWidth="9.140625" defaultRowHeight="12.75"/>
  <cols>
    <col min="1" max="1" width="1.7109375" style="118" customWidth="1"/>
    <col min="2" max="2" width="20" style="118" customWidth="1"/>
    <col min="3" max="3" width="11.85546875" style="118" bestFit="1" customWidth="1"/>
    <col min="4" max="4" width="11.85546875" style="118" customWidth="1"/>
    <col min="5" max="5" width="13.140625" style="118" bestFit="1" customWidth="1"/>
    <col min="6" max="6" width="11.85546875" style="118" customWidth="1"/>
    <col min="7" max="7" width="15" style="118" bestFit="1" customWidth="1"/>
    <col min="8" max="16384" width="9.140625" style="118"/>
  </cols>
  <sheetData>
    <row r="3" spans="1:7">
      <c r="A3" s="113"/>
      <c r="B3" s="114" t="s">
        <v>730</v>
      </c>
      <c r="C3" s="115" t="s">
        <v>720</v>
      </c>
      <c r="D3" s="115" t="s">
        <v>721</v>
      </c>
      <c r="E3" s="116" t="s">
        <v>1449</v>
      </c>
      <c r="F3" s="115" t="s">
        <v>1450</v>
      </c>
      <c r="G3" s="117" t="s">
        <v>722</v>
      </c>
    </row>
    <row r="4" spans="1:7">
      <c r="A4" s="135"/>
      <c r="B4" s="136"/>
      <c r="C4" s="137"/>
      <c r="D4" s="137"/>
      <c r="E4" s="138"/>
      <c r="F4" s="137"/>
      <c r="G4" s="139" t="s">
        <v>1451</v>
      </c>
    </row>
    <row r="5" spans="1:7" ht="6.75" customHeight="1">
      <c r="A5" s="119"/>
      <c r="B5" s="120"/>
      <c r="C5" s="121"/>
      <c r="D5" s="121"/>
      <c r="E5" s="122"/>
      <c r="F5" s="121"/>
      <c r="G5" s="123"/>
    </row>
    <row r="6" spans="1:7">
      <c r="A6" s="119"/>
      <c r="B6" s="118" t="s">
        <v>1065</v>
      </c>
      <c r="C6" s="124" t="e">
        <v>#NAME?</v>
      </c>
      <c r="D6" s="124">
        <v>0</v>
      </c>
      <c r="E6" s="125" t="e">
        <v>#NAME?</v>
      </c>
      <c r="F6" s="140">
        <v>0</v>
      </c>
      <c r="G6" s="126" t="e">
        <f>E6/C6-1</f>
        <v>#NAME?</v>
      </c>
    </row>
    <row r="7" spans="1:7">
      <c r="A7" s="119"/>
      <c r="B7" s="118" t="s">
        <v>1107</v>
      </c>
      <c r="C7" s="124" t="e">
        <f>Total_EBIT _2003H1</f>
        <v>#NAME?</v>
      </c>
      <c r="D7" s="124" t="e">
        <v>#NAME?</v>
      </c>
      <c r="E7" s="125" t="e">
        <f>Total_EBIT _2004H1</f>
        <v>#NAME?</v>
      </c>
      <c r="F7" s="140" t="e">
        <v>#NAME?</v>
      </c>
      <c r="G7" s="126" t="e">
        <f t="shared" ref="G7:G13" si="0">E7/C7-1</f>
        <v>#NAME?</v>
      </c>
    </row>
    <row r="8" spans="1:7">
      <c r="A8" s="119"/>
      <c r="B8" s="118" t="s">
        <v>723</v>
      </c>
      <c r="C8" s="124" t="e">
        <f>NPAT _2003H1</f>
        <v>#NAME?</v>
      </c>
      <c r="D8" s="124" t="e">
        <v>#VALUE!</v>
      </c>
      <c r="E8" s="125" t="e">
        <f>NPAT _2004H1</f>
        <v>#NAME?</v>
      </c>
      <c r="F8" s="140" t="e">
        <v>#VALUE!</v>
      </c>
      <c r="G8" s="126" t="e">
        <f t="shared" si="0"/>
        <v>#NAME?</v>
      </c>
    </row>
    <row r="9" spans="1:7">
      <c r="A9" s="119"/>
      <c r="B9" s="118" t="s">
        <v>724</v>
      </c>
      <c r="C9" s="124" t="e">
        <f>Abnormal_items_after_tax _2003H1</f>
        <v>#NAME?</v>
      </c>
      <c r="D9" s="124" t="e">
        <v>#VALUE!</v>
      </c>
      <c r="E9" s="125" t="e">
        <f>Abnormal_items_after_tax _2004H1</f>
        <v>#NAME?</v>
      </c>
      <c r="F9" s="140" t="e">
        <v>#VALUE!</v>
      </c>
      <c r="G9" s="126" t="s">
        <v>725</v>
      </c>
    </row>
    <row r="10" spans="1:7">
      <c r="A10" s="119"/>
      <c r="B10" s="118" t="s">
        <v>726</v>
      </c>
      <c r="C10" s="124" t="e">
        <f>C8+C9</f>
        <v>#NAME?</v>
      </c>
      <c r="D10" s="124" t="e">
        <f>D8+D9</f>
        <v>#VALUE!</v>
      </c>
      <c r="E10" s="125" t="e">
        <f>E8+E9</f>
        <v>#NAME?</v>
      </c>
      <c r="F10" s="140" t="e">
        <f>F8+F9</f>
        <v>#VALUE!</v>
      </c>
      <c r="G10" s="126" t="e">
        <f t="shared" si="0"/>
        <v>#NAME?</v>
      </c>
    </row>
    <row r="11" spans="1:7">
      <c r="A11" s="119"/>
      <c r="B11" s="118" t="s">
        <v>727</v>
      </c>
      <c r="C11" s="124" t="e">
        <f>EPS _2003H1</f>
        <v>#NAME?</v>
      </c>
      <c r="D11" s="124" t="e">
        <v>#VALUE!</v>
      </c>
      <c r="E11" s="125" t="e">
        <f>EPS _2004H1</f>
        <v>#NAME?</v>
      </c>
      <c r="F11" s="140" t="e">
        <v>#VALUE!</v>
      </c>
      <c r="G11" s="126" t="e">
        <f t="shared" si="0"/>
        <v>#NAME?</v>
      </c>
    </row>
    <row r="12" spans="1:7">
      <c r="A12" s="119"/>
      <c r="B12" s="118" t="s">
        <v>728</v>
      </c>
      <c r="C12" s="124" t="e">
        <f>EPS_pre_ga _2003H1</f>
        <v>#NAME?</v>
      </c>
      <c r="D12" s="124" t="e">
        <v>#VALUE!</v>
      </c>
      <c r="E12" s="125" t="e">
        <f>EPS_pre_ga _2004H1</f>
        <v>#NAME?</v>
      </c>
      <c r="F12" s="140" t="e">
        <v>#VALUE!</v>
      </c>
      <c r="G12" s="126" t="e">
        <f t="shared" si="0"/>
        <v>#NAME?</v>
      </c>
    </row>
    <row r="13" spans="1:7">
      <c r="A13" s="119"/>
      <c r="B13" s="118" t="s">
        <v>729</v>
      </c>
      <c r="C13" s="124" t="e">
        <f>DPS _2003H1</f>
        <v>#NAME?</v>
      </c>
      <c r="D13" s="124" t="e">
        <v>#VALUE!</v>
      </c>
      <c r="E13" s="125" t="e">
        <f>DPS _2004H1</f>
        <v>#NAME?</v>
      </c>
      <c r="F13" s="140" t="e">
        <v>#VALUE!</v>
      </c>
      <c r="G13" s="126" t="e">
        <f t="shared" si="0"/>
        <v>#NAME?</v>
      </c>
    </row>
    <row r="14" spans="1:7" ht="6" customHeight="1">
      <c r="A14" s="127"/>
      <c r="B14" s="128"/>
      <c r="C14" s="129"/>
      <c r="D14" s="129"/>
      <c r="E14" s="130"/>
      <c r="F14" s="129"/>
      <c r="G14" s="131"/>
    </row>
    <row r="15" spans="1:7">
      <c r="B15" s="134" t="s">
        <v>827</v>
      </c>
    </row>
  </sheetData>
  <phoneticPr fontId="45" type="noConversion"/>
  <pageMargins left="0.75" right="0.75" top="1" bottom="1" header="0.5" footer="0.5"/>
  <pageSetup paperSize="9" orientation="portrait" r:id="rId1"/>
  <headerFooter alignWithMargins="0"/>
  <customProperties>
    <customPr name="Qube.Worksheet.Visibility"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dimension ref="C1:P15"/>
  <sheetViews>
    <sheetView workbookViewId="0"/>
  </sheetViews>
  <sheetFormatPr defaultRowHeight="12.75"/>
  <cols>
    <col min="3" max="3" width="12.85546875" bestFit="1" customWidth="1"/>
    <col min="4" max="4" width="12.85546875" style="175" bestFit="1" customWidth="1"/>
    <col min="8" max="9" width="9.140625" customWidth="1"/>
  </cols>
  <sheetData>
    <row r="1" spans="3:16">
      <c r="E1" s="175"/>
      <c r="F1" s="165"/>
      <c r="G1" s="165"/>
      <c r="H1" s="165"/>
      <c r="I1" s="165"/>
      <c r="J1" s="165">
        <v>2015</v>
      </c>
      <c r="K1" s="165" t="s">
        <v>1268</v>
      </c>
      <c r="L1" s="165" t="s">
        <v>1009</v>
      </c>
      <c r="M1" s="165" t="s">
        <v>524</v>
      </c>
      <c r="N1" s="165" t="s">
        <v>438</v>
      </c>
      <c r="O1" s="165" t="s">
        <v>959</v>
      </c>
      <c r="P1" s="165" t="s">
        <v>479</v>
      </c>
    </row>
    <row r="2" spans="3:16">
      <c r="C2" s="303" t="s">
        <v>105</v>
      </c>
      <c r="D2" s="303" t="s">
        <v>1559</v>
      </c>
      <c r="E2" s="303" t="s">
        <v>1561</v>
      </c>
      <c r="F2" s="176"/>
      <c r="G2" s="176"/>
      <c r="H2" s="176"/>
      <c r="I2" s="176"/>
      <c r="J2" s="176" t="e">
        <f>MODEL!#REF!</f>
        <v>#REF!</v>
      </c>
      <c r="K2" s="176" t="e">
        <f>K5+K7</f>
        <v>#REF!</v>
      </c>
      <c r="L2" s="176"/>
      <c r="M2" s="176"/>
      <c r="N2" s="176"/>
      <c r="O2" s="176"/>
    </row>
    <row r="3" spans="3:16">
      <c r="D3" s="303" t="s">
        <v>1067</v>
      </c>
      <c r="E3" s="303" t="s">
        <v>1561</v>
      </c>
      <c r="K3" s="311" t="e">
        <f>K2/J2-1</f>
        <v>#REF!</v>
      </c>
    </row>
    <row r="4" spans="3:16">
      <c r="J4" s="309">
        <v>0.15</v>
      </c>
      <c r="K4" s="309"/>
      <c r="L4" s="309"/>
      <c r="M4" s="309"/>
    </row>
    <row r="5" spans="3:16">
      <c r="D5" s="303" t="s">
        <v>1560</v>
      </c>
      <c r="E5" s="303" t="s">
        <v>1561</v>
      </c>
      <c r="J5" s="310" t="e">
        <f>J2*J4</f>
        <v>#REF!</v>
      </c>
      <c r="K5" s="310" t="e">
        <f>+J5</f>
        <v>#REF!</v>
      </c>
    </row>
    <row r="6" spans="3:16">
      <c r="J6" s="309">
        <v>0.85</v>
      </c>
    </row>
    <row r="7" spans="3:16">
      <c r="D7" s="303" t="s">
        <v>1097</v>
      </c>
      <c r="E7" s="303" t="s">
        <v>1561</v>
      </c>
      <c r="J7" s="310" t="e">
        <f>+J6*J2</f>
        <v>#REF!</v>
      </c>
      <c r="K7" t="e">
        <f>J7*(1+K8)</f>
        <v>#REF!</v>
      </c>
    </row>
    <row r="8" spans="3:16">
      <c r="D8" s="303" t="s">
        <v>1359</v>
      </c>
      <c r="K8" s="309">
        <v>0.09</v>
      </c>
    </row>
    <row r="11" spans="3:16">
      <c r="C11" s="302" t="s">
        <v>1229</v>
      </c>
      <c r="D11" s="303" t="s">
        <v>1559</v>
      </c>
      <c r="E11" s="302" t="s">
        <v>1558</v>
      </c>
      <c r="J11" t="e">
        <f>MODEL!#REF!</f>
        <v>#REF!</v>
      </c>
    </row>
    <row r="12" spans="3:16">
      <c r="D12" s="303" t="s">
        <v>681</v>
      </c>
    </row>
    <row r="13" spans="3:16">
      <c r="D13" s="303" t="s">
        <v>1562</v>
      </c>
    </row>
    <row r="14" spans="3:16">
      <c r="D14" s="303"/>
    </row>
    <row r="15" spans="3:16">
      <c r="D15" s="303" t="s">
        <v>1067</v>
      </c>
      <c r="E15" s="302" t="s">
        <v>1558</v>
      </c>
    </row>
  </sheetData>
  <pageMargins left="0.7" right="0.7" top="0.75" bottom="0.75" header="0.3" footer="0.3"/>
  <pageSetup paperSize="9" orientation="portrait" horizontalDpi="300" verticalDpi="300" r:id="rId1"/>
  <customProperties>
    <customPr name="Qube.Worksheet.Visibility"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dsFormulaCache xmlns="urn:fdsformulacache" version="2" timestamp="1771196188"><![CDATA[{"BRG-AU^FE_ESTIMATE(EBITDA,MEAN,ANN_ROLL,+2,NOW,,,'')":297.98163,"BRG-AU^FE_ESTIMATE(NET_INC_ADJ,MEAN,ANN_ROLL,+1,NOW,,,'')":134.31723,"BRG-AU^FE_ESTIMATE(INT_EXP,MEAN,ANN_ROLL,+1,NOW,,,'')":17.288328,"BRG-AU^FE_ESTIMATE(CF_OP,MEAN,ANN_ROLL,+2,NOW,,,'')":196.92226,"BRG-AU^FE_ESTIMATE(EBIT,MEAN,ANN_ROLL,+3,NOW,,,'')":248.29292,"BRG-AU^FE_ESTIMATE(DEP_AMORT_EXP,MEAN,ANN_ROLL,+2,NOW,,,'')":67.665,"BRG-AU^FE_ESTIMATE(NET_DEBT,MEAN,ANN_ROLL,+1,NOW,,,'')":-38.031136,"BRG-AU^FE_ESTIMATE(DEP_AMORT_EXP,MEAN,ANN_ROLL,+3,NOW,,,'')":70.30636,"BRG-AU^FE_ESTIMATE(CF_OP,MEAN,ANN_ROLL,+1,NOW,,,'')":176.06413,"BRG-AU^FE_ESTIMATE(NET_DEBT,MEAN,ANN_ROLL,+3,NOW,,,'')":-156.51245,"BRG-AU^FE_ESTIMATE(GROSS_INC,MEAN,ANN_ROLL,+4,NOW,,,'')":null,"BRG-AU^FE_ESTIMATE(INT_EXP,MEAN,ANN_ROLL,+2,NOW,,,'')":14.248021,"BRG-AU^FE_ESTIMATE(EPS,MEAN,ANN_ROLL,+4,NOW,,,'')":0.820141,"BRG-AU^FE_ESTIMATE(NET_DEBT,MEAN,ANN_ROLL,+4,NOW,,,'')":-144.38531,"BRG-AU^FE_ESTIMATE(CF_OP,MEAN,ANN_ROLL,+3,NOW,,,'')":219.34052,"BRG-AU^FE_ESTIMATE(SALES,MEAN,ANN_ROLL,+3,NOW,,,'')":2020.1178,"BRG-AU^FE_ESTIMATE(PTX_INC,MEAN,ANN_ROLL,+2,NOW,,,'')":209.27827,"BRG-AU^FE_ESTIMATE(PTX_INC,MEAN,ANN_ROLL,+1,NOW,,,'')":187.19884,"BRG-AU^FE_ESTIMATE(EPS,MEAN,ANN_ROLL,+3,NOW,,,'')":1.1624058,"BRG-AU^FE_ESTIMATE(CF_OP,MEAN,ANN_ROLL,+4,NOW,,,'')":null,"BRG-AU^FE_ESTIMATE(DEP_AMORT_EXP,MEAN,ANN_ROLL,+4,NOW,,,'')":null,"BRG-AU^FE_ESTIMATE(EBITDA,MEAN,ANN_ROLL,+3,NOW,,,'')":328.29944,"BRG-AU^FE_ESTIMATE(GROSS_INC,MEAN,ANN_ROLL,+2,NOW,,,'')":664.60736,"BRG-AU^FE_ESTIMATE(NET_INC_ADJ,MEAN,ANN_ROLL,+2,NOW,,,'')":148.19608,"BRG-AU^FE_ESTIMATE(EPS,MEAN,ANN_ROLL,+1,NOW,,,'')":0.9278523,"BRG-AU^FE_ESTIMATE(NET_INC_ADJ,MEAN,ANN_ROLL,+3,NOW,,,'')":166.17966,"BRG-AU^FE_ESTIMATE(SALES,MEAN,ANN_ROLL,+1,NOW,,,'')":1683.6089,"BRG-AU^FE_ESTIMATE(SALES,MEAN,ANN_ROLL,+4,NOW,,,'')":1767.2346,"BRG-AU^FE_ESTIMATE(EBIT,MEAN,ANN_ROLL,+1,NOW,,,'')":203.50465,"BRG-AU^FE_ESTIMATE(DEP_AMORT_EXP,MEAN,ANN_ROLL,+1,NOW,,,'')":60.709488,"BRG-AU^FE_ESTIMATE(NET_DEBT,MEAN,ANN_ROLL,+2,NOW,,,'')":-90.46801,"BRG-AU^FE_ESTIMATE(INT_EXP,MEAN,ANN_ROLL,+3,NOW,,,'')":13.432518,"BRG-AU^FE_ESTIMATE(EBITDA,MEAN,ANN_ROLL,+1,NOW,,,'')":271.07925,"COL-AU^FE_ESTIMATE(NET_DEBT,MEAN,ANN_ROLL,+1,NOW,,,'')":9169.901,"COL-AU^FE_ESTIMATE(NET_DEBT,MEAN,SEMI,+1,NOW,,,'')":null,"COL-AU^FE_ESTIMATE(,MEAN,ANN_ROLL,+1,NOW,,,'')":0.7582956,"COL-AU^FE_ESTIMATE(,MEAN,SEMI,+1,NOW,,,'')":0.343175,"COL-AU^FE_ESTIMATE(CAPEX,MEAN,ANN_ROLL,+1,NOW,,,'')":1171.6943,"COL-AU^FE_ESTIMATE(CAPEX,MEAN,SEMI,+1,NOW,,,'')":null,"COL-AU^FE_ESTIMATE(CF_OP,MEAN,ANN_ROLL,+1,NOW,,,'')":2583.3262,"COL-AU^FE_ESTIMATE(CF_OP,MEAN,SEMI,+1,NOW,,,'')":null,"COL-AU^FE_ESTIMATE(DPS,MEAN,ANN_ROLL,+1,NOW,,,'')":0.6141058,"COL-AU^FE_ESTIMATE(DPS,MEAN,SEMI,+1,NOW,,,'')":0.27,"COL-AU^FE_ESTIMATE(EPS,MEAN,ANN_ROLL,+1,NOW,,,'')":0.7582956,"COL-AU^FE_ESTIMATE(EPS,MEAN,SEMI,+1,NOW,,,'')":0.343175,"COL-AU^FE_ESTIMATE(NET_INC_REP,MEAN,ANN_ROLL,+1,NOW,,,'')":999.064,"COL-AU^FE_ESTIMATE(NET_INC_REP,MEAN,SEMI,+1,NOW,,,'')":null,"COL-AU^FE_ESTIMATE(NET_INC_ADJ,MEAN,ANN_ROLL,+1,NOW,,,'')":1010.3425,"COL-AU^FE_ESTIMATE(NET_INC_ADJ,MEAN,SEMI,+1,NOW,,,'')":429.0,"COL-AU^FE_ESTIMATE(EBIT,MEAN,ANN_ROLL,+1,NOW,,,'')":1847.6527,"COL-AU^FE_ESTIMATE(EBIT,MEAN,SEMI,+1,NOW,,,'')":867.0735,"COL-AU^FE_ESTIMATE(DEP_AMORT_EXP,MEAN,ANN_ROLL,+1,NOW,,,'')":1494.5209,"COL-AU^FE_ESTIMATE(DEP_AMORT_EXP,MEAN,SEMI,+1,NOW,,,'')":null,"COL-AU^FE_ESTIMATE(EBITDA,MEAN,ANN_ROLL,+1,NOW,,,'')":3462.6687,"COL-AU^FE_ESTIMATE(EBITDA,MEAN,SEMI,+1,NOW,,,'')":1647.0,"COL-AU^FE_ESTIMATE(SALES,MEAN,ANN_ROLL,+1,NOW,,,'')":39600.83,"COL-AU^FE_ESTIMATE(SALES,MEAN,SEMI,+1,NOW,,,'')":18920.318,"BRG^FE_ESTIMATE(NET_DEBT,MEAN,SEMI,+1,NOW,,,'')":null,"BRG^FE_ESTIMATE(,MEAN,SEMI,+1,NOW,,,'')":null,"BRG^FE_ESTIMATE(CAPEX,MEAN,SEMI,+1,NOW,,,'')":null,"BRG^FE_ESTIMATE(CF_OP,MEAN,SEMI,+1,NOW,,,'')":null,"BRG^FE_ESTIMATE(DPS,MEAN,SEMI,+1,NOW,,,'')":null,"BRG^FE_ESTIMATE(EPS,MEAN,SEMI,+1,NOW,,,'')":null,"BRG^FE_ESTIMATE(NET_INC_REP,MEAN,SEMI,+1,NOW,,,'')":null,"BRG^FE_ESTIMATE(NET_INC_ADJ,MEAN,SEMI,+1,NOW,,,'')":null,"BRG^FE_ESTIMATE(EBIT,MEAN,SEMI,+1,NOW,,,'')":null,"BRG^FE_ESTIMATE(DEP_AMORT_EXP,MEAN,SEMI,+1,NOW,,,'')":null,"BRG^FE_ESTIMATE(EBITDA,MEAN,SEMI,+1,NOW,,,'')":null,"BRG^FE_ESTIMATE(SALES,MEAN,SEMI,+1,NOW,,,'')":null,"$AA$5^FE_ESTIMATE(SALES,MEAN,SEMI,+1,NOW,,,'')":null,"BRG-AU^FE_ESTIMATE(NET_DEBT,MEAN,SEMI,+1,NOW,,,'')":null,"BRG-AU^FE_ESTIMATE(,MEAN,SEMI,+1,NOW,,,'')":0.20166667,"BRG-AU^FE_ESTIMATE(CAPEX,MEAN,SEMI,+1,NOW,,,'')":null,"BRG-AU^FE_ESTIMATE(CF_OP,MEAN,SEMI,+1,NOW,,,'')":null,"BRG-AU^FE_ESTIMATE(DPS,MEAN,SEMI,+1,NOW,,,'')":0.1495,"BRG-AU^FE_ESTIMATE(EPS,MEAN,SEMI,+1,NOW,,,'')":0.20166667,"BRG-AU^FE_ESTIMATE(NET_INC_REP,MEAN,SEMI,+1,NOW,,,'')":26.5,"BRG-AU^FE_ESTIMATE(NET_INC_ADJ,MEAN,SEMI,+1,NOW,,,'')":26.5,"BRG-AU^FE_ESTIMATE(EBIT,MEAN,SEMI,+1,NOW,,,'')":44.594,"BRG-AU^FE_ESTIMATE(DEP_AMORT_EXP,MEAN,SEMI,+1,NOW,,,'')":null,"BRG-AU^FE_ESTIMATE(EBITDA,MEAN,SEMI,+1,NOW,,,'')":59.4,"BRG-AU^FE_ESTIMATE(SALES,MEAN,SEMI,+1,NOW,,,'')":540.09235,"BRG-AU^FE_ESTIMATE(NET_DEBT,MEAN,ANNUAL_ROLL,+1,NOW,,,'')":-25.628664,"BRG-AU^FE_ESTIMATE(,MEAN,ANNUAL_ROLL,+1,NOW,,,'')":0.7556208,"BRG-AU^FE_ESTIMATE(CAPEX,MEAN,ANNUAL_ROLL,+1,NOW,,,'')":20.35158,"BRG-AU^FE_ESTIMATE(CF_OP,MEAN,ANNUAL_ROLL,+1,NOW,,,'')":13.426358,"BRG-AU^FE_ESTIMATE(DPS,MEAN,ANNUAL_ROLL,+1,NOW,,,'')":0.29124296,"BRG-AU^FE_ESTIMATE(EPS,MEAN,ANNUAL_ROLL,+1,NOW,,,'')":0.7556208,"BRG-AU^FE_ESTIMATE(NET_INC_REP,MEAN,ANNUAL_ROLL,+1,NOW,,,'')":105.28187,"BRG-AU^FE_ESTIMATE(NET_INC_ADJ,MEAN,ANNUAL_ROLL,+1,NOW,,,'')":104.87039,"BRG-AU^FE_ESTIMATE(EBIT,MEAN,ANNUAL_ROLL,+1,NOW,,,'')":156.29417,"BRG-AU^FE_ESTIMATE(DEP_AMORT_EXP,MEAN,ANNUAL_ROLL,+1,NOW,,,'')":27.725,"BRG-AU^FE_ESTIMATE(EBITDA,MEAN,ANNUAL_ROLL,+1,NOW,,,'')":183.45651,"BRG-AU^FE_ESTIMATE(SALES,MEAN,ANNUAL_ROLL,+1,NOW,,,'')":1429.2782,"BRG-AU^FE_ESTIMATE(GROSS_INC,MEAN,ANN_ROLL,+1,NOW,,,'')":615.1029,"BRG-AU^FE_ESTIMATE(EPS,MEAN,ANN_ROLL,+2,NOW,,,'')":1.0337453,"BRG-AU^FE_ESTIMATE(,MEAN,ANN_ROLL,+4,NOW,,,'')":1.061,"BRG-AU^FE_ESTIMATE(EBIT,MEAN,ANN_ROLL,+4,NOW,,,'')":172.48204,"BRG-AU^FE_ESTIMATE(SALES,MEAN,ANN_ROLL,+2,NOW,,,'')":1856.186,"BRG-AU^FE_ESTIMATE(GROSS_INC,MEAN,ANN_ROLL,+3,NOW,,,'')":716.346,"BRG-AU^FE_ESTIMATE(EBIT,MEAN,ANN_ROLL,+2,NOW,,,'')":223.26013,"BRG-AU^FE_ESTIMATE(NET_INC_ADJ,MEAN,ANN_ROLL,+4,NOW,,,'')":117.99651,"BRG-AU^FE_ESTIMATE(PTX_INC,MEAN,ANN_ROLL,+4,NOW,,,'')":165.03009,"BRG-AU^FE_ESTIMATE(PTX_INC,MEAN,ANN_ROLL,+3,NOW,,,'')":236.2148,"BRG-AU^FE_ESTIMATE(EBITDA,MEAN,ANN_ROLL,+4,NOW,,,'')":231.21442,"BRG-AU^FE_ESTIMATE(INT_EXP,MEAN,ANN_ROLL,+4,NOW,,,'')":null}]]></FdsFormulaCache>
</file>

<file path=customXml/itemProps1.xml><?xml version="1.0" encoding="utf-8"?>
<ds:datastoreItem xmlns:ds="http://schemas.openxmlformats.org/officeDocument/2006/customXml" ds:itemID="{F7065DE9-1660-4633-BDB0-F692ABC6187E}">
  <ds:schemaRefs>
    <ds:schemaRef ds:uri="urn:fdsformulacache"/>
  </ds:schemaRefs>
</ds:datastoreItem>
</file>

<file path=docMetadata/LabelInfo.xml><?xml version="1.0" encoding="utf-8"?>
<clbl:labelList xmlns:clbl="http://schemas.microsoft.com/office/2020/mipLabelMetadata">
  <clbl:label id="{a64882d5-5c68-43ae-b974-91da18426e9b}" enabled="1" method="Standard" siteId="{38651f6f-836b-4bdf-9615-4e255c290fe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152</vt:i4>
      </vt:variant>
    </vt:vector>
  </HeadingPairs>
  <TitlesOfParts>
    <vt:vector size="175" baseType="lpstr">
      <vt:lpstr>INDUST_TPLATE</vt:lpstr>
      <vt:lpstr>TPLATE_VALID</vt:lpstr>
      <vt:lpstr>_QP_BRG.AX</vt:lpstr>
      <vt:lpstr>COVER</vt:lpstr>
      <vt:lpstr>Sheet2</vt:lpstr>
      <vt:lpstr>Sheet1</vt:lpstr>
      <vt:lpstr>Template</vt:lpstr>
      <vt:lpstr>Valuation</vt:lpstr>
      <vt:lpstr>Valuation Summary</vt:lpstr>
      <vt:lpstr>DCF</vt:lpstr>
      <vt:lpstr>Summary</vt:lpstr>
      <vt:lpstr>MODEL</vt:lpstr>
      <vt:lpstr>Segments</vt:lpstr>
      <vt:lpstr>PPE_and_intangibles</vt:lpstr>
      <vt:lpstr>Debt</vt:lpstr>
      <vt:lpstr>Results Table</vt:lpstr>
      <vt:lpstr>Sheet3</vt:lpstr>
      <vt:lpstr>KeyProducts</vt:lpstr>
      <vt:lpstr>Margin</vt:lpstr>
      <vt:lpstr>Pre-ResSUM</vt:lpstr>
      <vt:lpstr>Sheet4</vt:lpstr>
      <vt:lpstr>Chart7</vt:lpstr>
      <vt:lpstr>Chart8</vt:lpstr>
      <vt:lpstr>Segments!_2017</vt:lpstr>
      <vt:lpstr>_2017</vt:lpstr>
      <vt:lpstr>Segments!_2017H1</vt:lpstr>
      <vt:lpstr>_2017H1</vt:lpstr>
      <vt:lpstr>Segments!_2017H2</vt:lpstr>
      <vt:lpstr>_2017H2</vt:lpstr>
      <vt:lpstr>Segments!_2018</vt:lpstr>
      <vt:lpstr>_2018</vt:lpstr>
      <vt:lpstr>Segments!_2018H1</vt:lpstr>
      <vt:lpstr>_2018H1</vt:lpstr>
      <vt:lpstr>Segments!_2018H2</vt:lpstr>
      <vt:lpstr>_2018H2</vt:lpstr>
      <vt:lpstr>Segments!_2019</vt:lpstr>
      <vt:lpstr>_2019</vt:lpstr>
      <vt:lpstr>Segments!_2019H1</vt:lpstr>
      <vt:lpstr>_2019H1</vt:lpstr>
      <vt:lpstr>Segments!_2019H2</vt:lpstr>
      <vt:lpstr>_2019H2</vt:lpstr>
      <vt:lpstr>Segments!_2020</vt:lpstr>
      <vt:lpstr>_2020</vt:lpstr>
      <vt:lpstr>Segments!_2020H1</vt:lpstr>
      <vt:lpstr>_2020H1</vt:lpstr>
      <vt:lpstr>Segments!_2020H2</vt:lpstr>
      <vt:lpstr>_2020H2</vt:lpstr>
      <vt:lpstr>Segments!_2021</vt:lpstr>
      <vt:lpstr>_2021</vt:lpstr>
      <vt:lpstr>Segments!_2021H1</vt:lpstr>
      <vt:lpstr>_2021H1</vt:lpstr>
      <vt:lpstr>Segments!_2021H2</vt:lpstr>
      <vt:lpstr>_2021H2</vt:lpstr>
      <vt:lpstr>Segments!_2022</vt:lpstr>
      <vt:lpstr>_2022</vt:lpstr>
      <vt:lpstr>Segments!_2022H1</vt:lpstr>
      <vt:lpstr>_2022H1</vt:lpstr>
      <vt:lpstr>Segments!_2023</vt:lpstr>
      <vt:lpstr>_2023</vt:lpstr>
      <vt:lpstr>Segments!_2023H1</vt:lpstr>
      <vt:lpstr>_2023H1</vt:lpstr>
      <vt:lpstr>Segments!_2024</vt:lpstr>
      <vt:lpstr>_2024</vt:lpstr>
      <vt:lpstr>Abnormal_items_after_tax</vt:lpstr>
      <vt:lpstr>Acquisitions</vt:lpstr>
      <vt:lpstr>Amortisation</vt:lpstr>
      <vt:lpstr>Asset_sales</vt:lpstr>
      <vt:lpstr>Associates</vt:lpstr>
      <vt:lpstr>Borrowings_current</vt:lpstr>
      <vt:lpstr>Borrowings_incurred_repaid</vt:lpstr>
      <vt:lpstr>Borrowings_non_current</vt:lpstr>
      <vt:lpstr>Capex</vt:lpstr>
      <vt:lpstr>Cash</vt:lpstr>
      <vt:lpstr>CFPS</vt:lpstr>
      <vt:lpstr>Change_in_working_capital</vt:lpstr>
      <vt:lpstr>Creditors_turnover</vt:lpstr>
      <vt:lpstr>DCF_VAL</vt:lpstr>
      <vt:lpstr>Debt_equity</vt:lpstr>
      <vt:lpstr>Debtors_turnover</vt:lpstr>
      <vt:lpstr>Deferred_income_tax_provision</vt:lpstr>
      <vt:lpstr>Depreciation</vt:lpstr>
      <vt:lpstr>Depreciation___amortisation</vt:lpstr>
      <vt:lpstr>Depreciation_amortisation</vt:lpstr>
      <vt:lpstr>Segments!Distr_EBIT</vt:lpstr>
      <vt:lpstr>Segments!distr_sales</vt:lpstr>
      <vt:lpstr>Segments!distribution</vt:lpstr>
      <vt:lpstr>Segments!distribution_sales</vt:lpstr>
      <vt:lpstr>Dividend_payout</vt:lpstr>
      <vt:lpstr>Dividends_paid</vt:lpstr>
      <vt:lpstr>DPS</vt:lpstr>
      <vt:lpstr>EBITDA</vt:lpstr>
      <vt:lpstr>EFPO</vt:lpstr>
      <vt:lpstr>EFPOWA</vt:lpstr>
      <vt:lpstr>EPS</vt:lpstr>
      <vt:lpstr>EPS_growth_pre_ga</vt:lpstr>
      <vt:lpstr>EPS_pre_ga</vt:lpstr>
      <vt:lpstr>Equity_raised</vt:lpstr>
      <vt:lpstr>Final_dividend</vt:lpstr>
      <vt:lpstr>Financial_Summary_Table</vt:lpstr>
      <vt:lpstr>FITB</vt:lpstr>
      <vt:lpstr>Franking</vt:lpstr>
      <vt:lpstr>Segments!Global_prod_EBIT</vt:lpstr>
      <vt:lpstr>Segments!global_prod_sales</vt:lpstr>
      <vt:lpstr>Segments!global_product</vt:lpstr>
      <vt:lpstr>Segments!global_product_sales</vt:lpstr>
      <vt:lpstr>gross_operating_cashflow</vt:lpstr>
      <vt:lpstr>Segments!HK_sales</vt:lpstr>
      <vt:lpstr>Interest_Rev</vt:lpstr>
      <vt:lpstr>Interim_dividend</vt:lpstr>
      <vt:lpstr>Inventories</vt:lpstr>
      <vt:lpstr>Inventory_turnover</vt:lpstr>
      <vt:lpstr>Investments</vt:lpstr>
      <vt:lpstr>Lease_liabilities_current</vt:lpstr>
      <vt:lpstr>Lease_liabilities_non_current</vt:lpstr>
      <vt:lpstr>maintenance</vt:lpstr>
      <vt:lpstr>Minorities</vt:lpstr>
      <vt:lpstr>Minority_interests</vt:lpstr>
      <vt:lpstr>model</vt:lpstr>
      <vt:lpstr>Net_debt</vt:lpstr>
      <vt:lpstr>Net_Fin_CF</vt:lpstr>
      <vt:lpstr>Net_goodwill</vt:lpstr>
      <vt:lpstr>Net_interest_expense</vt:lpstr>
      <vt:lpstr>Net_Inv_CF</vt:lpstr>
      <vt:lpstr>Net_Op_CF</vt:lpstr>
      <vt:lpstr>Net_plant___equipment</vt:lpstr>
      <vt:lpstr>NPAT</vt:lpstr>
      <vt:lpstr>NPAT_post_NRIs</vt:lpstr>
      <vt:lpstr>NRIs_Pre_Tax</vt:lpstr>
      <vt:lpstr>NRIs_Tax</vt:lpstr>
      <vt:lpstr>NTA</vt:lpstr>
      <vt:lpstr>Other_creditors</vt:lpstr>
      <vt:lpstr>Other_current</vt:lpstr>
      <vt:lpstr>Other_financing</vt:lpstr>
      <vt:lpstr>Other_intangibles</vt:lpstr>
      <vt:lpstr>Other_investing</vt:lpstr>
      <vt:lpstr>Other_liabilities_current</vt:lpstr>
      <vt:lpstr>Other_liabilities_non_current</vt:lpstr>
      <vt:lpstr>Other_non_current</vt:lpstr>
      <vt:lpstr>Segments!Other_Sales</vt:lpstr>
      <vt:lpstr>Payout_ratio</vt:lpstr>
      <vt:lpstr>PPE_and_intangibles</vt:lpstr>
      <vt:lpstr>Pre_tax_profit</vt:lpstr>
      <vt:lpstr>INDUST_TPLATE!Print_Area</vt:lpstr>
      <vt:lpstr>MODEL!Print_Area</vt:lpstr>
      <vt:lpstr>Segments!Print_Area</vt:lpstr>
      <vt:lpstr>Template!Print_Area</vt:lpstr>
      <vt:lpstr>Margin!Print_Titles</vt:lpstr>
      <vt:lpstr>MODEL!Print_Titles</vt:lpstr>
      <vt:lpstr>Segments!Print_Titles</vt:lpstr>
      <vt:lpstr>Profit_loss_on_asset_sales</vt:lpstr>
      <vt:lpstr>Provisions</vt:lpstr>
      <vt:lpstr>Provisions_current</vt:lpstr>
      <vt:lpstr>Provisions_non_current</vt:lpstr>
      <vt:lpstr>Reserves</vt:lpstr>
      <vt:lpstr>Retained_profits</vt:lpstr>
      <vt:lpstr>Share_capital</vt:lpstr>
      <vt:lpstr>SOTP__VAL</vt:lpstr>
      <vt:lpstr>SOTP_VAL</vt:lpstr>
      <vt:lpstr>Tax_expense</vt:lpstr>
      <vt:lpstr>Tax_paid</vt:lpstr>
      <vt:lpstr>Tot_CF</vt:lpstr>
      <vt:lpstr>Tot_Curr_Assets</vt:lpstr>
      <vt:lpstr>Tot_Curr_Liabs</vt:lpstr>
      <vt:lpstr>Tot_NC_Assets</vt:lpstr>
      <vt:lpstr>Tot_NC_Liabs</vt:lpstr>
      <vt:lpstr>Total_assets</vt:lpstr>
      <vt:lpstr>Segments!Total_EBIT</vt:lpstr>
      <vt:lpstr>Total_equity</vt:lpstr>
      <vt:lpstr>Total_liabilities</vt:lpstr>
      <vt:lpstr>Segments!Total_sales</vt:lpstr>
      <vt:lpstr>TP</vt:lpstr>
      <vt:lpstr>Trade_creditors</vt:lpstr>
      <vt:lpstr>Trade_debtors</vt:lpstr>
      <vt:lpstr>Segments!US_sales</vt:lpstr>
      <vt:lpstr>working_capital_adjustment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Dinshaw, Anita Z [GIR]</dc:creator>
  <cp:lastModifiedBy>Leigh, James [GIR]</cp:lastModifiedBy>
  <cp:lastPrinted>2026-02-12T09:16:59Z</cp:lastPrinted>
  <dcterms:created xsi:type="dcterms:W3CDTF">1997-08-27T11:22:10Z</dcterms:created>
  <dcterms:modified xsi:type="dcterms:W3CDTF">2026-02-15T23:11:38Z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5dcc0db9-d4a4-4da9-bd1e-0eb3aaf1210a</vt:lpwstr>
  </property>
  <property fmtid="{D5CDD505-2E9C-101B-9397-08002B2CF9AE}" pid="3" name="Classification">
    <vt:lpwstr>I</vt:lpwstr>
  </property>
  <property fmtid="{D5CDD505-2E9C-101B-9397-08002B2CF9AE}" pid="4" name="DocNoClass">
    <vt:lpwstr>Not In Use</vt:lpwstr>
  </property>
</Properties>
</file>