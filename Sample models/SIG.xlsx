
<file path=[Content_Types].xml><?xml version="1.0" encoding="utf-8"?>
<Types xmlns="http://schemas.openxmlformats.org/package/2006/content-types">
  <Default Extension="bin" ContentType="application/vnd.openxmlformats-officedocument.spreadsheetml.customProperty"/>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extended-properties" Target="docProps/app.xml"/><Relationship Id="rId5" Type="http://schemas.openxmlformats.org/package/2006/relationships/metadata/core-properties" Target="docProps/core.xml"/><Relationship Id="rId4" Type="http://schemas.openxmlformats.org/package/2006/relationships/metadata/thumbnail" Target="docProps/thumbnail.emf"/></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updateLinks="never"/>
  <mc:AlternateContent xmlns:mc="http://schemas.openxmlformats.org/markup-compatibility/2006">
    <mc:Choice Requires="x15">
      <x15ac:absPath xmlns:x15ac="http://schemas.microsoft.com/office/spreadsheetml/2010/11/ac" url="\\firmwide.corp.gs.com\irroot\projects\au\Consumer\5 - PM\Coverage\6 - SIG\1 - Model\1 - New Model\Portal Models\"/>
    </mc:Choice>
  </mc:AlternateContent>
  <xr:revisionPtr revIDLastSave="0" documentId="13_ncr:1_{9F89DA84-1640-4D5C-8366-305449F488E9}" xr6:coauthVersionLast="47" xr6:coauthVersionMax="47" xr10:uidLastSave="{00000000-0000-0000-0000-000000000000}"/>
  <bookViews>
    <workbookView xWindow="24735" yWindow="405" windowWidth="31245" windowHeight="22950" xr2:uid="{B9896C97-FC28-4D0D-980C-40EB3D011DE8}"/>
  </bookViews>
  <sheets>
    <sheet name="Cover" sheetId="17" r:id="rId1"/>
    <sheet name="Summary" sheetId="18" r:id="rId2"/>
    <sheet name="Australia Stores" sheetId="15" state="hidden" r:id="rId3"/>
    <sheet name="Model" sheetId="3" r:id="rId4"/>
    <sheet name="PL" sheetId="5" r:id="rId5"/>
    <sheet name="CF" sheetId="6" r:id="rId6"/>
    <sheet name="BS" sheetId="7" r:id="rId7"/>
    <sheet name="Ireland Model" sheetId="4" r:id="rId8"/>
    <sheet name="Valuation" sheetId="22" r:id="rId9"/>
  </sheets>
  <definedNames>
    <definedName name="A_ALL_SIG.AX">#REF!</definedName>
    <definedName name="Abnormals_PostTAX">#REF!</definedName>
    <definedName name="AEndDrinks_Sales">#REF!</definedName>
    <definedName name="Continuing_sales">#REF!</definedName>
    <definedName name="DCF_INF">#REF!</definedName>
    <definedName name="DPS">#REF!</definedName>
    <definedName name="E_ALL_SIG.AX">#REF!</definedName>
    <definedName name="EPS_Pre_Goodwill">#REF!</definedName>
    <definedName name="L_ALL_SIG.AX">#REF!</definedName>
    <definedName name="NET_PROFIT">#REF!</definedName>
    <definedName name="NPAT_post_Abn">#REF!</definedName>
    <definedName name="Sales_Aust_FL">#REF!</definedName>
    <definedName name="Sales_NZ_FL">#REF!</definedName>
    <definedName name="TOTAL_SALES">#REF!</definedName>
    <definedName name="V_ALL_SIG.A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5" i="4" l="1"/>
  <c r="AA75" i="4"/>
  <c r="U75" i="4"/>
  <c r="V75" i="4"/>
  <c r="W75" i="4"/>
  <c r="T75" i="4"/>
  <c r="U68" i="4"/>
  <c r="V68" i="4"/>
  <c r="W68" i="4"/>
  <c r="X68" i="4"/>
  <c r="Y68" i="4"/>
  <c r="Z68" i="4"/>
  <c r="AA68" i="4"/>
  <c r="AB68" i="4"/>
  <c r="AC68" i="4"/>
  <c r="T68" i="4"/>
  <c r="W141" i="3"/>
  <c r="X141" i="3"/>
  <c r="D58" i="6"/>
  <c r="F49" i="18" s="1"/>
  <c r="C58" i="6"/>
  <c r="W76" i="4" l="1"/>
  <c r="X76" i="4"/>
  <c r="V76" i="4"/>
  <c r="U76" i="4"/>
  <c r="D57" i="6" l="1"/>
  <c r="C57" i="6"/>
  <c r="C33" i="5" l="1"/>
  <c r="C26" i="5"/>
  <c r="C27" i="5" s="1"/>
  <c r="C24" i="5"/>
  <c r="W175" i="3"/>
  <c r="D67" i="5" l="1"/>
  <c r="X189" i="3" l="1"/>
  <c r="X194" i="3" s="1"/>
  <c r="V195" i="3"/>
  <c r="V194" i="3"/>
  <c r="W195" i="3"/>
  <c r="W194" i="3"/>
  <c r="X156" i="3" l="1"/>
  <c r="Y166" i="3"/>
  <c r="Y158" i="3"/>
  <c r="C21" i="3"/>
  <c r="C7" i="3"/>
  <c r="D7" i="3"/>
  <c r="E7" i="3"/>
  <c r="F7" i="3"/>
  <c r="G7" i="3"/>
  <c r="H7" i="3"/>
  <c r="I7" i="3"/>
  <c r="J7" i="3"/>
  <c r="K7" i="3"/>
  <c r="L7" i="3"/>
  <c r="M7" i="3"/>
  <c r="N7" i="3"/>
  <c r="O7" i="3"/>
  <c r="P7" i="3"/>
  <c r="Q7" i="3"/>
  <c r="R7" i="3"/>
  <c r="S7" i="3"/>
  <c r="T7" i="3"/>
  <c r="D65" i="22"/>
  <c r="Z11" i="3"/>
  <c r="AA11" i="3"/>
  <c r="AB11" i="3"/>
  <c r="AC11" i="3"/>
  <c r="Y11" i="3"/>
  <c r="AJ37" i="3"/>
  <c r="X54" i="3"/>
  <c r="AG35" i="3"/>
  <c r="AG34" i="3"/>
  <c r="G28" i="15"/>
  <c r="G29" i="15"/>
  <c r="G30" i="15"/>
  <c r="G31" i="15"/>
  <c r="G32" i="15"/>
  <c r="G33" i="15"/>
  <c r="G34" i="15"/>
  <c r="G35" i="15"/>
  <c r="G39" i="15"/>
  <c r="G40" i="15"/>
  <c r="G41" i="15"/>
  <c r="G42" i="15"/>
  <c r="G43" i="15"/>
  <c r="G44" i="15"/>
  <c r="G45" i="15"/>
  <c r="G46" i="15"/>
  <c r="G50" i="15"/>
  <c r="G51" i="15"/>
  <c r="G52" i="15"/>
  <c r="G53" i="15"/>
  <c r="G54" i="15"/>
  <c r="G55" i="15"/>
  <c r="G56" i="15"/>
  <c r="G57" i="15"/>
  <c r="G61" i="15"/>
  <c r="G62" i="15"/>
  <c r="G63" i="15"/>
  <c r="G64" i="15"/>
  <c r="G65" i="15"/>
  <c r="G66" i="15"/>
  <c r="G67" i="15"/>
  <c r="G68" i="15"/>
  <c r="G72" i="15"/>
  <c r="G73" i="15"/>
  <c r="G74" i="15"/>
  <c r="G75" i="15"/>
  <c r="G76" i="15"/>
  <c r="G77" i="15"/>
  <c r="G78" i="15"/>
  <c r="G79" i="15"/>
  <c r="G83" i="15"/>
  <c r="G84" i="15"/>
  <c r="G85" i="15"/>
  <c r="G86" i="15"/>
  <c r="G87" i="15"/>
  <c r="G88" i="15"/>
  <c r="G89" i="15"/>
  <c r="G90" i="15"/>
  <c r="D18" i="15"/>
  <c r="E18" i="15"/>
  <c r="F18" i="15"/>
  <c r="D19" i="15"/>
  <c r="E19" i="15"/>
  <c r="F19" i="15"/>
  <c r="D20" i="15"/>
  <c r="E20" i="15"/>
  <c r="F20" i="15"/>
  <c r="D21" i="15"/>
  <c r="E21" i="15"/>
  <c r="F21" i="15"/>
  <c r="D22" i="15"/>
  <c r="E22" i="15"/>
  <c r="F22" i="15"/>
  <c r="D23" i="15"/>
  <c r="E23" i="15"/>
  <c r="F23" i="15"/>
  <c r="D24" i="15"/>
  <c r="E24" i="15"/>
  <c r="F24" i="15"/>
  <c r="E17" i="15"/>
  <c r="F17" i="15"/>
  <c r="D17" i="15"/>
  <c r="Z158" i="3" l="1"/>
  <c r="Y165" i="3"/>
  <c r="Z166" i="3"/>
  <c r="G24" i="15"/>
  <c r="G22" i="15"/>
  <c r="G20" i="15"/>
  <c r="G18" i="15"/>
  <c r="G17" i="15"/>
  <c r="G19" i="15"/>
  <c r="G23" i="15"/>
  <c r="G21" i="15"/>
  <c r="AA166" i="3" l="1"/>
  <c r="AB166" i="3" s="1"/>
  <c r="AA158" i="3"/>
  <c r="Z165" i="3"/>
  <c r="V191" i="3"/>
  <c r="V193" i="3" s="1"/>
  <c r="W191" i="3"/>
  <c r="AA165" i="3" l="1"/>
  <c r="AC166" i="3"/>
  <c r="AB158" i="3"/>
  <c r="W192" i="3"/>
  <c r="F57" i="5"/>
  <c r="G57" i="5"/>
  <c r="H57" i="5"/>
  <c r="I57" i="5"/>
  <c r="E57" i="5"/>
  <c r="AC158" i="3" l="1"/>
  <c r="AI34" i="3"/>
  <c r="AH37" i="3"/>
  <c r="AG45" i="3"/>
  <c r="J35" i="15"/>
  <c r="Z54" i="3"/>
  <c r="AA54" i="3"/>
  <c r="AB54" i="3"/>
  <c r="AC54" i="3"/>
  <c r="Y54" i="3"/>
  <c r="S45" i="3"/>
  <c r="T45" i="3"/>
  <c r="U45" i="3"/>
  <c r="V45" i="3"/>
  <c r="W45" i="3"/>
  <c r="X45" i="3"/>
  <c r="AG70" i="3"/>
  <c r="AG68" i="3"/>
  <c r="AG66" i="3"/>
  <c r="AG65" i="3"/>
  <c r="AG64" i="3"/>
  <c r="R28" i="3"/>
  <c r="V20" i="3"/>
  <c r="U8" i="3"/>
  <c r="U7" i="3"/>
  <c r="U25" i="3"/>
  <c r="W20" i="3"/>
  <c r="F54" i="18" l="1"/>
  <c r="M15" i="18" l="1"/>
  <c r="M16" i="18"/>
  <c r="M17" i="18"/>
  <c r="M18" i="18"/>
  <c r="M20" i="18"/>
  <c r="M21" i="18"/>
  <c r="M22" i="18"/>
  <c r="M23" i="18"/>
  <c r="M25" i="18"/>
  <c r="M26" i="18"/>
  <c r="M27" i="18"/>
  <c r="M29" i="18"/>
  <c r="M30" i="18"/>
  <c r="M31" i="18"/>
  <c r="M33" i="18"/>
  <c r="M34" i="18"/>
  <c r="M35" i="18"/>
  <c r="M36" i="18"/>
  <c r="M14" i="18"/>
  <c r="F51" i="18"/>
  <c r="F48" i="18"/>
  <c r="I47" i="18"/>
  <c r="H47" i="18"/>
  <c r="G47" i="18"/>
  <c r="F47" i="18"/>
  <c r="G45" i="18"/>
  <c r="F45" i="18"/>
  <c r="V111" i="4"/>
  <c r="W111" i="4"/>
  <c r="V107" i="4"/>
  <c r="W107" i="4"/>
  <c r="W124" i="4"/>
  <c r="E44" i="22"/>
  <c r="D44" i="22"/>
  <c r="D34" i="22"/>
  <c r="D32" i="22"/>
  <c r="L19" i="5" l="1"/>
  <c r="K19" i="5"/>
  <c r="D19" i="5"/>
  <c r="C19" i="5"/>
  <c r="L16" i="5"/>
  <c r="K16" i="5"/>
  <c r="D16" i="5"/>
  <c r="C16" i="5"/>
  <c r="L11" i="5"/>
  <c r="K11" i="5"/>
  <c r="D11" i="5"/>
  <c r="C11" i="5"/>
  <c r="L8" i="5"/>
  <c r="K8" i="5"/>
  <c r="D8" i="5"/>
  <c r="C8" i="5"/>
  <c r="K5" i="5"/>
  <c r="D5" i="5"/>
  <c r="C5" i="5"/>
  <c r="C1" i="22"/>
  <c r="D60" i="22"/>
  <c r="D64" i="22" s="1"/>
  <c r="D53" i="22"/>
  <c r="F51" i="22"/>
  <c r="C18" i="22"/>
  <c r="C17" i="22"/>
  <c r="C16" i="22"/>
  <c r="C15" i="22"/>
  <c r="C14" i="22"/>
  <c r="C13" i="22"/>
  <c r="C12" i="22"/>
  <c r="B1" i="4"/>
  <c r="B2" i="7"/>
  <c r="B1" i="7"/>
  <c r="B2" i="6"/>
  <c r="B1" i="6"/>
  <c r="B2" i="5"/>
  <c r="B1" i="5"/>
  <c r="C30" i="5" l="1"/>
  <c r="C22" i="5"/>
  <c r="C15" i="5"/>
  <c r="F52" i="22"/>
  <c r="E52" i="22"/>
  <c r="G51" i="22"/>
  <c r="C37" i="5" l="1"/>
  <c r="H51" i="22"/>
  <c r="G52" i="22"/>
  <c r="C40" i="5" l="1"/>
  <c r="I51" i="22"/>
  <c r="H52" i="22"/>
  <c r="J51" i="22" l="1"/>
  <c r="I52" i="22"/>
  <c r="K51" i="22" l="1"/>
  <c r="J52" i="22"/>
  <c r="L51" i="22" l="1"/>
  <c r="K52" i="22"/>
  <c r="M51" i="22" l="1"/>
  <c r="L52" i="22"/>
  <c r="N51" i="22" l="1"/>
  <c r="O51" i="22" s="1"/>
  <c r="M52" i="22"/>
  <c r="O52" i="22" l="1"/>
  <c r="P51" i="22"/>
  <c r="N52" i="22"/>
  <c r="Q51" i="22" l="1"/>
  <c r="P52" i="22"/>
  <c r="R51" i="22" l="1"/>
  <c r="Q52" i="22"/>
  <c r="S51" i="22" l="1"/>
  <c r="R52" i="22"/>
  <c r="T51" i="22" l="1"/>
  <c r="S52" i="22"/>
  <c r="D45" i="22"/>
  <c r="U51" i="22" l="1"/>
  <c r="T52" i="22"/>
  <c r="V51" i="22" l="1"/>
  <c r="U52" i="22"/>
  <c r="D36" i="22"/>
  <c r="W51" i="22" l="1"/>
  <c r="W52" i="22" s="1"/>
  <c r="V52" i="22"/>
  <c r="X82" i="3"/>
  <c r="X80" i="3"/>
  <c r="X78" i="3"/>
  <c r="W82" i="3"/>
  <c r="W80" i="3"/>
  <c r="W78" i="3"/>
  <c r="F13" i="15"/>
  <c r="E13" i="15"/>
  <c r="D13" i="15"/>
  <c r="F12" i="15"/>
  <c r="E12" i="15"/>
  <c r="D12" i="15"/>
  <c r="F11" i="15"/>
  <c r="E11" i="15"/>
  <c r="D11" i="15"/>
  <c r="F10" i="15"/>
  <c r="E10" i="15"/>
  <c r="D10" i="15"/>
  <c r="F9" i="15"/>
  <c r="E9" i="15"/>
  <c r="D9" i="15"/>
  <c r="F8" i="15"/>
  <c r="E8" i="15"/>
  <c r="D8" i="15"/>
  <c r="F7" i="15"/>
  <c r="E7" i="15"/>
  <c r="D7" i="15"/>
  <c r="F6" i="15"/>
  <c r="E6" i="15"/>
  <c r="D6" i="15"/>
  <c r="E91" i="15"/>
  <c r="E80" i="15"/>
  <c r="E69" i="15"/>
  <c r="E58" i="15"/>
  <c r="E47" i="15"/>
  <c r="E36" i="15"/>
  <c r="L39" i="18"/>
  <c r="M39" i="18"/>
  <c r="N39" i="18"/>
  <c r="O39" i="18"/>
  <c r="P39" i="18"/>
  <c r="D91" i="15"/>
  <c r="D80" i="15"/>
  <c r="D69" i="15"/>
  <c r="D58" i="15"/>
  <c r="D47" i="15"/>
  <c r="D36" i="15"/>
  <c r="F91" i="15"/>
  <c r="N25" i="15" s="1"/>
  <c r="F80" i="15"/>
  <c r="N24" i="15" s="1"/>
  <c r="F69" i="15"/>
  <c r="N23" i="15" s="1"/>
  <c r="X68" i="3"/>
  <c r="X66" i="3"/>
  <c r="X65" i="3"/>
  <c r="X64" i="3"/>
  <c r="W70" i="3"/>
  <c r="W81" i="3" s="1"/>
  <c r="W68" i="3"/>
  <c r="W79" i="3" s="1"/>
  <c r="W66" i="3"/>
  <c r="W77" i="3" s="1"/>
  <c r="W65" i="3"/>
  <c r="W76" i="3" s="1"/>
  <c r="W64" i="3"/>
  <c r="G6" i="15" l="1"/>
  <c r="G8" i="15"/>
  <c r="G10" i="15"/>
  <c r="G12" i="15"/>
  <c r="G13" i="15"/>
  <c r="G69" i="15"/>
  <c r="G7" i="15"/>
  <c r="G9" i="15"/>
  <c r="G11" i="15"/>
  <c r="G91" i="15"/>
  <c r="E25" i="15"/>
  <c r="G80" i="15"/>
  <c r="D25" i="15"/>
  <c r="J38" i="15"/>
  <c r="J37" i="15"/>
  <c r="D93" i="15"/>
  <c r="E93" i="15"/>
  <c r="X76" i="3"/>
  <c r="X75" i="3"/>
  <c r="X77" i="3"/>
  <c r="X81" i="3"/>
  <c r="X79" i="3"/>
  <c r="W75" i="3"/>
  <c r="D14" i="15"/>
  <c r="E14" i="15"/>
  <c r="P51" i="18"/>
  <c r="O51" i="18"/>
  <c r="N51" i="18"/>
  <c r="M51" i="18"/>
  <c r="F31" i="18" s="1"/>
  <c r="L51" i="18"/>
  <c r="P13" i="18"/>
  <c r="O13" i="18"/>
  <c r="N13" i="18"/>
  <c r="M13" i="18"/>
  <c r="L13" i="18"/>
  <c r="D26" i="5"/>
  <c r="D40" i="22" s="1"/>
  <c r="D41" i="22" s="1"/>
  <c r="O41" i="18" l="1"/>
  <c r="O48" i="18"/>
  <c r="H28" i="18"/>
  <c r="H19" i="18"/>
  <c r="P41" i="18"/>
  <c r="P48" i="18"/>
  <c r="I28" i="18"/>
  <c r="I19" i="18"/>
  <c r="E23" i="18"/>
  <c r="L48" i="18"/>
  <c r="E19" i="18"/>
  <c r="E27" i="18"/>
  <c r="E22" i="18"/>
  <c r="E25" i="18"/>
  <c r="L50" i="18"/>
  <c r="L41" i="18"/>
  <c r="E26" i="18"/>
  <c r="E20" i="18"/>
  <c r="L47" i="18"/>
  <c r="L42" i="18"/>
  <c r="F19" i="18"/>
  <c r="F25" i="18"/>
  <c r="M50" i="18"/>
  <c r="F22" i="18"/>
  <c r="M47" i="18"/>
  <c r="M48" i="18"/>
  <c r="F28" i="18"/>
  <c r="F26" i="18"/>
  <c r="F20" i="18"/>
  <c r="F27" i="18"/>
  <c r="M41" i="18"/>
  <c r="M42" i="18"/>
  <c r="F23" i="18"/>
  <c r="N41" i="18"/>
  <c r="G28" i="18"/>
  <c r="N48" i="18"/>
  <c r="G19" i="18"/>
  <c r="D27" i="5"/>
  <c r="U39" i="4"/>
  <c r="T33" i="4"/>
  <c r="T84" i="4" s="1"/>
  <c r="U33" i="4"/>
  <c r="T29" i="4"/>
  <c r="U29" i="4"/>
  <c r="T51" i="4"/>
  <c r="U51" i="4"/>
  <c r="T102" i="3"/>
  <c r="U102" i="3"/>
  <c r="V102" i="3"/>
  <c r="W102" i="3"/>
  <c r="X102" i="3"/>
  <c r="S102" i="3"/>
  <c r="Y12" i="4"/>
  <c r="W39" i="4"/>
  <c r="W29" i="4"/>
  <c r="V29" i="4"/>
  <c r="V120" i="4"/>
  <c r="W120" i="4"/>
  <c r="V102" i="4"/>
  <c r="W102" i="4"/>
  <c r="W51" i="4"/>
  <c r="V51" i="4"/>
  <c r="V33" i="4"/>
  <c r="W33" i="4"/>
  <c r="W84" i="4" s="1"/>
  <c r="W57" i="4"/>
  <c r="W63" i="4" s="1"/>
  <c r="V57" i="4"/>
  <c r="V63" i="4" s="1"/>
  <c r="U70" i="4"/>
  <c r="V70" i="4"/>
  <c r="W70" i="4"/>
  <c r="T72" i="4"/>
  <c r="U72" i="4"/>
  <c r="U96" i="3" s="1"/>
  <c r="U9" i="3" s="1"/>
  <c r="V72" i="4"/>
  <c r="V96" i="3" s="1"/>
  <c r="W72" i="4"/>
  <c r="W96" i="3" s="1"/>
  <c r="V87" i="4"/>
  <c r="W87" i="4"/>
  <c r="Y70" i="4"/>
  <c r="Z70" i="4"/>
  <c r="AA70" i="4"/>
  <c r="AB70" i="4"/>
  <c r="AC70" i="4"/>
  <c r="X70" i="4"/>
  <c r="W54" i="4"/>
  <c r="V54" i="4"/>
  <c r="U54" i="4"/>
  <c r="U55" i="4" s="1"/>
  <c r="W53" i="4"/>
  <c r="V53" i="4"/>
  <c r="U53" i="4"/>
  <c r="V42" i="4"/>
  <c r="W42" i="4"/>
  <c r="U42" i="4"/>
  <c r="U43" i="4" s="1"/>
  <c r="W41" i="4"/>
  <c r="V41" i="4"/>
  <c r="U41" i="4"/>
  <c r="U20" i="4"/>
  <c r="V20" i="4"/>
  <c r="W20" i="4"/>
  <c r="X20" i="4" s="1"/>
  <c r="T20" i="4"/>
  <c r="W19" i="4"/>
  <c r="V19" i="4"/>
  <c r="U19" i="4"/>
  <c r="W7" i="4"/>
  <c r="V7" i="4"/>
  <c r="U7" i="4"/>
  <c r="T15" i="4"/>
  <c r="T78" i="4" s="1"/>
  <c r="V13" i="4"/>
  <c r="V9" i="4" s="1"/>
  <c r="W15" i="4"/>
  <c r="W78" i="4" s="1"/>
  <c r="D53" i="6"/>
  <c r="E53" i="6"/>
  <c r="F53" i="6"/>
  <c r="G53" i="6"/>
  <c r="H53" i="6"/>
  <c r="H46" i="22" s="1"/>
  <c r="I53" i="6"/>
  <c r="I46" i="22" s="1"/>
  <c r="C8" i="6"/>
  <c r="C9" i="6"/>
  <c r="C10" i="6"/>
  <c r="D10" i="6"/>
  <c r="F40" i="18" s="1"/>
  <c r="E10" i="6"/>
  <c r="G40" i="18" s="1"/>
  <c r="F10" i="6"/>
  <c r="H40" i="18" s="1"/>
  <c r="G10" i="6"/>
  <c r="I40" i="18" s="1"/>
  <c r="H10" i="6"/>
  <c r="I10" i="6"/>
  <c r="E41" i="7"/>
  <c r="E51" i="7"/>
  <c r="N70" i="5"/>
  <c r="M62" i="5"/>
  <c r="M52" i="5" s="1"/>
  <c r="M40" i="5" s="1"/>
  <c r="M28" i="5"/>
  <c r="N22" i="5"/>
  <c r="E65" i="5"/>
  <c r="E67" i="5"/>
  <c r="D45" i="5"/>
  <c r="F62" i="5"/>
  <c r="F52" i="5" s="1"/>
  <c r="F40" i="5" s="1"/>
  <c r="F11" i="6" s="1"/>
  <c r="H43" i="18" s="1"/>
  <c r="G62" i="5"/>
  <c r="G52" i="5" s="1"/>
  <c r="G40" i="5" s="1"/>
  <c r="G11" i="6" s="1"/>
  <c r="I43" i="18" s="1"/>
  <c r="H62" i="5"/>
  <c r="H52" i="5" s="1"/>
  <c r="H40" i="5" s="1"/>
  <c r="H11" i="6" s="1"/>
  <c r="I62" i="5"/>
  <c r="I52" i="5" s="1"/>
  <c r="I40" i="5" s="1"/>
  <c r="I11" i="6" s="1"/>
  <c r="E62" i="5"/>
  <c r="E52" i="5" s="1"/>
  <c r="E40" i="5" s="1"/>
  <c r="E11" i="6" s="1"/>
  <c r="G43" i="18" s="1"/>
  <c r="X191" i="3"/>
  <c r="X190" i="3" s="1"/>
  <c r="W193" i="3"/>
  <c r="E29" i="6"/>
  <c r="F29" i="6" s="1"/>
  <c r="G29" i="6" s="1"/>
  <c r="H29" i="6" s="1"/>
  <c r="I29" i="6" s="1"/>
  <c r="E28" i="6"/>
  <c r="C53" i="6"/>
  <c r="H45" i="18"/>
  <c r="E58" i="6" l="1"/>
  <c r="G49" i="18" s="1"/>
  <c r="V89" i="4"/>
  <c r="W89" i="4"/>
  <c r="Z12" i="4"/>
  <c r="Z102" i="3" s="1"/>
  <c r="Y75" i="4"/>
  <c r="Y76" i="4" s="1"/>
  <c r="U10" i="3"/>
  <c r="E45" i="5"/>
  <c r="E66" i="5"/>
  <c r="F33" i="18"/>
  <c r="F65" i="5"/>
  <c r="X193" i="3"/>
  <c r="Y191" i="3"/>
  <c r="W121" i="4"/>
  <c r="F46" i="22"/>
  <c r="H46" i="18"/>
  <c r="E46" i="22"/>
  <c r="G46" i="18"/>
  <c r="D46" i="22"/>
  <c r="F46" i="18"/>
  <c r="F51" i="7"/>
  <c r="N33" i="18"/>
  <c r="F41" i="7"/>
  <c r="N30" i="18"/>
  <c r="G46" i="22"/>
  <c r="I46" i="18"/>
  <c r="W114" i="4"/>
  <c r="W103" i="4"/>
  <c r="V114" i="4"/>
  <c r="V103" i="4"/>
  <c r="F44" i="22"/>
  <c r="N28" i="5"/>
  <c r="V97" i="3"/>
  <c r="T96" i="3"/>
  <c r="U97" i="3" s="1"/>
  <c r="W97" i="3"/>
  <c r="E17" i="7"/>
  <c r="V21" i="4"/>
  <c r="N62" i="5"/>
  <c r="M67" i="5"/>
  <c r="M45" i="5" s="1"/>
  <c r="F28" i="6"/>
  <c r="F58" i="6" s="1"/>
  <c r="H49" i="18" s="1"/>
  <c r="N67" i="5"/>
  <c r="N45" i="5" s="1"/>
  <c r="U21" i="4"/>
  <c r="N52" i="5"/>
  <c r="N40" i="5" s="1"/>
  <c r="Y102" i="3"/>
  <c r="F67" i="5"/>
  <c r="M65" i="5"/>
  <c r="W21" i="4"/>
  <c r="N65" i="5"/>
  <c r="AA102" i="3"/>
  <c r="U34" i="4"/>
  <c r="U84" i="4"/>
  <c r="U85" i="4" s="1"/>
  <c r="V34" i="4"/>
  <c r="U73" i="4"/>
  <c r="W34" i="4"/>
  <c r="V84" i="4"/>
  <c r="W85" i="4" s="1"/>
  <c r="W88" i="4"/>
  <c r="V55" i="4"/>
  <c r="V73" i="4"/>
  <c r="W55" i="4"/>
  <c r="W73" i="4"/>
  <c r="X13" i="4"/>
  <c r="X9" i="4" s="1"/>
  <c r="X40" i="4" s="1"/>
  <c r="U13" i="4"/>
  <c r="U9" i="4" s="1"/>
  <c r="V43" i="4"/>
  <c r="W43" i="4"/>
  <c r="W13" i="4"/>
  <c r="W9" i="4" s="1"/>
  <c r="V15" i="4"/>
  <c r="U15" i="4"/>
  <c r="Y20" i="4"/>
  <c r="G33" i="18" l="1"/>
  <c r="W62" i="22"/>
  <c r="E18" i="22" s="1"/>
  <c r="AB12" i="4"/>
  <c r="Z75" i="4"/>
  <c r="G67" i="5"/>
  <c r="G45" i="5" s="1"/>
  <c r="G65" i="5"/>
  <c r="H67" i="5" s="1"/>
  <c r="H45" i="5" s="1"/>
  <c r="G28" i="6"/>
  <c r="G58" i="6" s="1"/>
  <c r="I49" i="18" s="1"/>
  <c r="Z191" i="3"/>
  <c r="G44" i="22"/>
  <c r="I45" i="18"/>
  <c r="G41" i="7"/>
  <c r="O30" i="18"/>
  <c r="G51" i="7"/>
  <c r="O33" i="18"/>
  <c r="W115" i="4"/>
  <c r="I44" i="22"/>
  <c r="H44" i="22"/>
  <c r="F17" i="7"/>
  <c r="M66" i="5"/>
  <c r="N66" i="5"/>
  <c r="N57" i="5"/>
  <c r="F45" i="5"/>
  <c r="F66" i="5"/>
  <c r="V85" i="4"/>
  <c r="X52" i="4"/>
  <c r="X50" i="4" s="1"/>
  <c r="X7" i="4"/>
  <c r="U16" i="4"/>
  <c r="U78" i="4"/>
  <c r="U79" i="4" s="1"/>
  <c r="W16" i="4"/>
  <c r="V78" i="4"/>
  <c r="V16" i="4"/>
  <c r="X41" i="4"/>
  <c r="Z20" i="4"/>
  <c r="H65" i="5" l="1"/>
  <c r="W60" i="22"/>
  <c r="AA76" i="4"/>
  <c r="Z76" i="4"/>
  <c r="AC12" i="4"/>
  <c r="AB75" i="4"/>
  <c r="AB76" i="4" s="1"/>
  <c r="AB102" i="3"/>
  <c r="G17" i="7"/>
  <c r="H28" i="6"/>
  <c r="H58" i="6" s="1"/>
  <c r="I33" i="18"/>
  <c r="G66" i="5"/>
  <c r="H33" i="18"/>
  <c r="I67" i="5"/>
  <c r="I45" i="5" s="1"/>
  <c r="I65" i="5"/>
  <c r="AA191" i="3"/>
  <c r="H51" i="7"/>
  <c r="I51" i="7" s="1"/>
  <c r="P33" i="18"/>
  <c r="H41" i="7"/>
  <c r="P30" i="18"/>
  <c r="X53" i="4"/>
  <c r="V79" i="4"/>
  <c r="W79" i="4"/>
  <c r="AA20" i="4"/>
  <c r="AC102" i="3" l="1"/>
  <c r="AC75" i="4"/>
  <c r="AC76" i="4" s="1"/>
  <c r="H17" i="7"/>
  <c r="I41" i="7"/>
  <c r="H66" i="5"/>
  <c r="I28" i="6"/>
  <c r="I58" i="6" s="1"/>
  <c r="AB191" i="3"/>
  <c r="AB20" i="4"/>
  <c r="I17" i="7" l="1"/>
  <c r="I66" i="5"/>
  <c r="AC191" i="3"/>
  <c r="AC20" i="4"/>
  <c r="D6" i="6" l="1"/>
  <c r="C6" i="6"/>
  <c r="C7" i="6"/>
  <c r="AF36" i="3"/>
  <c r="AH102" i="3"/>
  <c r="AF102" i="3"/>
  <c r="AI35" i="3"/>
  <c r="AF92" i="3"/>
  <c r="AH92" i="3"/>
  <c r="AJ148" i="3"/>
  <c r="AG117" i="3"/>
  <c r="AE117" i="3"/>
  <c r="AG56" i="3"/>
  <c r="AE56" i="3"/>
  <c r="X56" i="3"/>
  <c r="AH27" i="3"/>
  <c r="AH21" i="3"/>
  <c r="Z27" i="3"/>
  <c r="AA27" i="3"/>
  <c r="AB27" i="3"/>
  <c r="AC27" i="3"/>
  <c r="X88" i="3"/>
  <c r="W88" i="3"/>
  <c r="Y27" i="3"/>
  <c r="N42" i="18" s="1"/>
  <c r="AF27" i="3"/>
  <c r="AF21" i="3"/>
  <c r="T53" i="3"/>
  <c r="U53" i="3"/>
  <c r="R56" i="3"/>
  <c r="S56" i="3"/>
  <c r="T56" i="3"/>
  <c r="U56" i="3"/>
  <c r="V56" i="3"/>
  <c r="W56" i="3"/>
  <c r="W34" i="3"/>
  <c r="S35" i="3"/>
  <c r="J34" i="3"/>
  <c r="K34" i="3"/>
  <c r="L34" i="3"/>
  <c r="M34" i="3"/>
  <c r="N34" i="3"/>
  <c r="O34" i="3"/>
  <c r="P34" i="3"/>
  <c r="Q34" i="3"/>
  <c r="R34" i="3"/>
  <c r="S34" i="3"/>
  <c r="AH36" i="3"/>
  <c r="AG7" i="3"/>
  <c r="AE7" i="3"/>
  <c r="AJ76" i="3"/>
  <c r="AJ77" i="3"/>
  <c r="AJ78" i="3"/>
  <c r="AJ79" i="3"/>
  <c r="AJ80" i="3"/>
  <c r="AJ81" i="3"/>
  <c r="AJ82" i="3"/>
  <c r="AJ75" i="3"/>
  <c r="AI83" i="3"/>
  <c r="AH66" i="3"/>
  <c r="AH71" i="3"/>
  <c r="AJ21" i="3"/>
  <c r="AG22" i="3"/>
  <c r="W72" i="3"/>
  <c r="Y66" i="3"/>
  <c r="Z66" i="3" s="1"/>
  <c r="AA66" i="3" s="1"/>
  <c r="AB66" i="3" s="1"/>
  <c r="AC66" i="3" s="1"/>
  <c r="Y71" i="3"/>
  <c r="Z71" i="3" s="1"/>
  <c r="AA71" i="3" s="1"/>
  <c r="AB71" i="3" s="1"/>
  <c r="AC71" i="3" s="1"/>
  <c r="F18" i="3"/>
  <c r="F58" i="15"/>
  <c r="F47" i="15"/>
  <c r="F36" i="15"/>
  <c r="N20" i="15" s="1"/>
  <c r="F14" i="15"/>
  <c r="G14" i="15" s="1"/>
  <c r="Y65" i="3"/>
  <c r="Y64" i="3"/>
  <c r="Z64" i="3" s="1"/>
  <c r="AA64" i="3" s="1"/>
  <c r="AB64" i="3" s="1"/>
  <c r="AC64" i="3" s="1"/>
  <c r="AG25" i="3"/>
  <c r="AE25" i="3"/>
  <c r="AF15" i="3"/>
  <c r="AH15" i="3"/>
  <c r="AG40" i="3"/>
  <c r="AG16" i="3" s="1"/>
  <c r="AF39" i="3"/>
  <c r="AH39" i="3"/>
  <c r="AG20" i="3"/>
  <c r="AG14" i="3"/>
  <c r="AH13" i="3"/>
  <c r="AF13" i="3"/>
  <c r="AH19" i="3"/>
  <c r="AH7" i="3" s="1"/>
  <c r="AF19" i="3"/>
  <c r="AF7" i="3" s="1"/>
  <c r="Y70" i="3"/>
  <c r="Z70" i="3" s="1"/>
  <c r="AA70" i="3" s="1"/>
  <c r="AB70" i="3" s="1"/>
  <c r="AC70" i="3" s="1"/>
  <c r="AH69" i="3"/>
  <c r="Y68" i="3"/>
  <c r="Z68" i="3" s="1"/>
  <c r="AA68" i="3" s="1"/>
  <c r="AB68" i="3" s="1"/>
  <c r="AC68" i="3" s="1"/>
  <c r="Y67" i="3"/>
  <c r="Z67" i="3" s="1"/>
  <c r="AA67" i="3" s="1"/>
  <c r="AB67" i="3" s="1"/>
  <c r="AC67" i="3" s="1"/>
  <c r="T76" i="3"/>
  <c r="U76" i="3"/>
  <c r="V76" i="3"/>
  <c r="T77" i="3"/>
  <c r="U77" i="3"/>
  <c r="V77" i="3"/>
  <c r="T78" i="3"/>
  <c r="U78" i="3"/>
  <c r="V78" i="3"/>
  <c r="T79" i="3"/>
  <c r="U79" i="3"/>
  <c r="V79" i="3"/>
  <c r="T80" i="3"/>
  <c r="U80" i="3"/>
  <c r="V80" i="3"/>
  <c r="T81" i="3"/>
  <c r="U81" i="3"/>
  <c r="V81" i="3"/>
  <c r="T82" i="3"/>
  <c r="U82" i="3"/>
  <c r="V82" i="3"/>
  <c r="U75" i="3"/>
  <c r="V75" i="3"/>
  <c r="T75" i="3"/>
  <c r="V72" i="3"/>
  <c r="U72" i="3"/>
  <c r="T72" i="3"/>
  <c r="S72" i="3"/>
  <c r="V198" i="3"/>
  <c r="U198" i="3"/>
  <c r="T198" i="3"/>
  <c r="S198" i="3"/>
  <c r="R198" i="3"/>
  <c r="W186" i="3"/>
  <c r="Y175" i="3"/>
  <c r="U35" i="3"/>
  <c r="V35" i="3"/>
  <c r="W35" i="3"/>
  <c r="X35" i="3"/>
  <c r="Y36" i="3"/>
  <c r="AJ36" i="3" s="1"/>
  <c r="X103" i="3"/>
  <c r="W103" i="3"/>
  <c r="V103" i="3"/>
  <c r="U103" i="3"/>
  <c r="Y34" i="3"/>
  <c r="AJ34" i="3" s="1"/>
  <c r="W9" i="3"/>
  <c r="T9" i="3"/>
  <c r="S9" i="3"/>
  <c r="R9" i="3"/>
  <c r="V9" i="3"/>
  <c r="W8" i="3"/>
  <c r="X8" i="3"/>
  <c r="T8" i="3"/>
  <c r="S8" i="3"/>
  <c r="R8" i="3"/>
  <c r="Q8" i="3"/>
  <c r="V8" i="3"/>
  <c r="W7" i="3"/>
  <c r="X7" i="3"/>
  <c r="T35" i="3"/>
  <c r="U34" i="3"/>
  <c r="V34" i="3"/>
  <c r="X34" i="3"/>
  <c r="T34" i="3"/>
  <c r="S33" i="3"/>
  <c r="R33" i="3"/>
  <c r="R45" i="3" s="1"/>
  <c r="R47" i="3" s="1"/>
  <c r="Q33" i="3"/>
  <c r="Q50" i="3" s="1"/>
  <c r="P33" i="3"/>
  <c r="P50" i="3" s="1"/>
  <c r="O33" i="3"/>
  <c r="O50" i="3" s="1"/>
  <c r="N33" i="3"/>
  <c r="N50" i="3" s="1"/>
  <c r="M33" i="3"/>
  <c r="M50" i="3" s="1"/>
  <c r="L33" i="3"/>
  <c r="L50" i="3" s="1"/>
  <c r="K33" i="3"/>
  <c r="K50" i="3" s="1"/>
  <c r="J33" i="3"/>
  <c r="J50" i="3" s="1"/>
  <c r="I33" i="3"/>
  <c r="I50" i="3" s="1"/>
  <c r="U33" i="3"/>
  <c r="V33" i="3"/>
  <c r="W33" i="3"/>
  <c r="T33" i="3"/>
  <c r="W25" i="3"/>
  <c r="X25" i="3"/>
  <c r="V7" i="3"/>
  <c r="X133" i="3"/>
  <c r="X140" i="3"/>
  <c r="W140" i="3"/>
  <c r="X167" i="3"/>
  <c r="X163" i="3"/>
  <c r="X159" i="3"/>
  <c r="X142" i="3"/>
  <c r="X151" i="3" s="1"/>
  <c r="W142" i="3"/>
  <c r="W151" i="3" s="1"/>
  <c r="X117" i="3"/>
  <c r="W117" i="3"/>
  <c r="V117" i="3"/>
  <c r="U117" i="3"/>
  <c r="T117" i="3"/>
  <c r="S117" i="3"/>
  <c r="R117" i="3"/>
  <c r="Q117" i="3"/>
  <c r="P117" i="3"/>
  <c r="O117" i="3"/>
  <c r="N117" i="3"/>
  <c r="M117" i="3"/>
  <c r="L117" i="3"/>
  <c r="K117" i="3"/>
  <c r="J117" i="3"/>
  <c r="I117" i="3"/>
  <c r="H117" i="3"/>
  <c r="G117" i="3"/>
  <c r="F117" i="3"/>
  <c r="E117" i="3"/>
  <c r="D117" i="3"/>
  <c r="C117" i="3"/>
  <c r="W133" i="3"/>
  <c r="X181" i="3"/>
  <c r="X176" i="3"/>
  <c r="X171" i="3"/>
  <c r="X139" i="3"/>
  <c r="X132" i="3"/>
  <c r="X87" i="3"/>
  <c r="W87" i="3"/>
  <c r="V87" i="3"/>
  <c r="U87" i="3"/>
  <c r="T87" i="3"/>
  <c r="S87" i="3"/>
  <c r="X93" i="3"/>
  <c r="X89" i="3" s="1"/>
  <c r="W93" i="3"/>
  <c r="W89" i="3" s="1"/>
  <c r="V93" i="3"/>
  <c r="V89" i="3" s="1"/>
  <c r="U93" i="3"/>
  <c r="U89" i="3" s="1"/>
  <c r="T93" i="3"/>
  <c r="T89" i="3" s="1"/>
  <c r="S93" i="3"/>
  <c r="S89" i="3" s="1"/>
  <c r="W122" i="3"/>
  <c r="X122" i="3"/>
  <c r="X20" i="3"/>
  <c r="R40" i="3"/>
  <c r="S40" i="3"/>
  <c r="T40" i="3"/>
  <c r="U40" i="3"/>
  <c r="V40" i="3"/>
  <c r="W40" i="3"/>
  <c r="W16" i="3" s="1"/>
  <c r="X40" i="3"/>
  <c r="X16" i="3" s="1"/>
  <c r="C60" i="3"/>
  <c r="C33" i="3" s="1"/>
  <c r="C50" i="3" s="1"/>
  <c r="D60" i="3"/>
  <c r="D33" i="3" s="1"/>
  <c r="D50" i="3" s="1"/>
  <c r="E60" i="3"/>
  <c r="E33" i="3" s="1"/>
  <c r="E50" i="3" s="1"/>
  <c r="F60" i="3"/>
  <c r="F33" i="3" s="1"/>
  <c r="F50" i="3" s="1"/>
  <c r="G60" i="3"/>
  <c r="G33" i="3" s="1"/>
  <c r="G50" i="3" s="1"/>
  <c r="H60" i="3"/>
  <c r="H33" i="3" s="1"/>
  <c r="H50" i="3" s="1"/>
  <c r="Q40" i="3"/>
  <c r="P40" i="3"/>
  <c r="O40" i="3"/>
  <c r="N40" i="3"/>
  <c r="M40" i="3"/>
  <c r="L40" i="3"/>
  <c r="K40" i="3"/>
  <c r="J40" i="3"/>
  <c r="I40" i="3"/>
  <c r="H40" i="3"/>
  <c r="G40" i="3"/>
  <c r="F40" i="3"/>
  <c r="E40" i="3"/>
  <c r="D40" i="3"/>
  <c r="D14" i="3"/>
  <c r="E14" i="3"/>
  <c r="F14" i="3"/>
  <c r="G14" i="3"/>
  <c r="H14" i="3"/>
  <c r="I14" i="3"/>
  <c r="X14" i="3"/>
  <c r="F21" i="18" s="1"/>
  <c r="X121" i="3"/>
  <c r="X164" i="3" l="1"/>
  <c r="Y122" i="3"/>
  <c r="AI122" i="3" s="1"/>
  <c r="E17" i="18"/>
  <c r="E15" i="18"/>
  <c r="AI45" i="3"/>
  <c r="AI46" i="3" s="1"/>
  <c r="AI28" i="3" s="1"/>
  <c r="F38" i="18"/>
  <c r="F16" i="18"/>
  <c r="E16" i="18"/>
  <c r="X41" i="3"/>
  <c r="AF117" i="3"/>
  <c r="G47" i="15"/>
  <c r="N21" i="15"/>
  <c r="G58" i="15"/>
  <c r="N22" i="15"/>
  <c r="F25" i="15"/>
  <c r="G25" i="15" s="1"/>
  <c r="G36" i="15"/>
  <c r="W182" i="3"/>
  <c r="W164" i="3"/>
  <c r="X177" i="3"/>
  <c r="X135" i="3"/>
  <c r="Y135" i="3" s="1"/>
  <c r="AI71" i="3"/>
  <c r="AJ71" i="3" s="1"/>
  <c r="AI66" i="3"/>
  <c r="AJ66" i="3" s="1"/>
  <c r="AI69" i="3"/>
  <c r="AJ69" i="3" s="1"/>
  <c r="N47" i="18"/>
  <c r="N45" i="18"/>
  <c r="F93" i="15"/>
  <c r="G93" i="15" s="1"/>
  <c r="J36" i="15"/>
  <c r="J39" i="15" s="1"/>
  <c r="F15" i="18"/>
  <c r="AH35" i="3"/>
  <c r="M46" i="18"/>
  <c r="E24" i="18"/>
  <c r="W47" i="3"/>
  <c r="L44" i="18"/>
  <c r="AF35" i="3"/>
  <c r="L46" i="18"/>
  <c r="F24" i="18"/>
  <c r="AH34" i="3"/>
  <c r="M45" i="18"/>
  <c r="G26" i="18"/>
  <c r="O42" i="18"/>
  <c r="AF34" i="3"/>
  <c r="L45" i="18"/>
  <c r="P42" i="18"/>
  <c r="AJ27" i="3"/>
  <c r="O47" i="18"/>
  <c r="AH117" i="3"/>
  <c r="L5" i="5"/>
  <c r="Z175" i="3"/>
  <c r="E16" i="5"/>
  <c r="AH56" i="3"/>
  <c r="Y35" i="3"/>
  <c r="AJ35" i="3" s="1"/>
  <c r="Y13" i="4"/>
  <c r="Y9" i="4" s="1"/>
  <c r="AG118" i="3"/>
  <c r="D15" i="5"/>
  <c r="D38" i="22" s="1"/>
  <c r="D39" i="22" s="1"/>
  <c r="D7" i="6"/>
  <c r="D22" i="5"/>
  <c r="D30" i="5"/>
  <c r="D20" i="5"/>
  <c r="D12" i="5"/>
  <c r="D17" i="5"/>
  <c r="X57" i="3"/>
  <c r="T57" i="3"/>
  <c r="D6" i="5"/>
  <c r="M52" i="18" s="1"/>
  <c r="D9" i="5"/>
  <c r="U57" i="3"/>
  <c r="AG57" i="3"/>
  <c r="V57" i="3"/>
  <c r="AF33" i="3"/>
  <c r="W57" i="3"/>
  <c r="W144" i="3"/>
  <c r="X182" i="3"/>
  <c r="X144" i="3"/>
  <c r="AJ92" i="3"/>
  <c r="S57" i="3"/>
  <c r="AI175" i="3"/>
  <c r="AI170" i="3" s="1"/>
  <c r="AJ102" i="3"/>
  <c r="AF56" i="3"/>
  <c r="X149" i="3"/>
  <c r="W149" i="3"/>
  <c r="W172" i="3"/>
  <c r="X172" i="3"/>
  <c r="W177" i="3"/>
  <c r="W10" i="3"/>
  <c r="T46" i="3"/>
  <c r="T28" i="3" s="1"/>
  <c r="R51" i="3"/>
  <c r="V52" i="3"/>
  <c r="AG23" i="3"/>
  <c r="V47" i="3"/>
  <c r="T51" i="3"/>
  <c r="W46" i="3"/>
  <c r="W28" i="3" s="1"/>
  <c r="S51" i="3"/>
  <c r="AH64" i="3"/>
  <c r="V51" i="3"/>
  <c r="AG28" i="3"/>
  <c r="S47" i="3"/>
  <c r="U46" i="3"/>
  <c r="U28" i="3" s="1"/>
  <c r="W50" i="3"/>
  <c r="U51" i="3"/>
  <c r="T52" i="3"/>
  <c r="X51" i="3"/>
  <c r="U52" i="3"/>
  <c r="AH70" i="3"/>
  <c r="W38" i="3"/>
  <c r="L49" i="18" s="1"/>
  <c r="W51" i="3"/>
  <c r="W52" i="3"/>
  <c r="AH68" i="3"/>
  <c r="Y69" i="3"/>
  <c r="Z69" i="3" s="1"/>
  <c r="AA69" i="3" s="1"/>
  <c r="AB69" i="3" s="1"/>
  <c r="AC69" i="3" s="1"/>
  <c r="AH67" i="3"/>
  <c r="V38" i="3"/>
  <c r="V42" i="3" s="1"/>
  <c r="U50" i="3"/>
  <c r="U38" i="3"/>
  <c r="V46" i="3"/>
  <c r="V28" i="3" s="1"/>
  <c r="T50" i="3"/>
  <c r="AH65" i="3"/>
  <c r="T38" i="3"/>
  <c r="T55" i="3" s="1"/>
  <c r="R38" i="3"/>
  <c r="S50" i="3"/>
  <c r="S38" i="3"/>
  <c r="R50" i="3"/>
  <c r="S46" i="3"/>
  <c r="S28" i="3" s="1"/>
  <c r="Z65" i="3"/>
  <c r="T83" i="3"/>
  <c r="T47" i="3"/>
  <c r="U47" i="3"/>
  <c r="AH40" i="3"/>
  <c r="AH16" i="3" s="1"/>
  <c r="U83" i="3"/>
  <c r="AF25" i="3"/>
  <c r="AH14" i="3"/>
  <c r="AG26" i="3"/>
  <c r="V83" i="3"/>
  <c r="AG17" i="3"/>
  <c r="AH25" i="3"/>
  <c r="X72" i="3"/>
  <c r="AH20" i="3"/>
  <c r="AG72" i="3"/>
  <c r="W90" i="3"/>
  <c r="V10" i="3"/>
  <c r="Y93" i="3"/>
  <c r="Y89" i="3" s="1"/>
  <c r="Y87" i="3" s="1"/>
  <c r="Z92" i="3"/>
  <c r="X90" i="3"/>
  <c r="Z13" i="4"/>
  <c r="Z9" i="4" s="1"/>
  <c r="Z7" i="4" s="1"/>
  <c r="Y103" i="3"/>
  <c r="X26" i="3"/>
  <c r="V25" i="3"/>
  <c r="X17" i="3"/>
  <c r="X143" i="3"/>
  <c r="X118" i="3"/>
  <c r="X123" i="3"/>
  <c r="D61" i="3"/>
  <c r="D22" i="3" s="1"/>
  <c r="D21" i="3" s="1"/>
  <c r="H61" i="3"/>
  <c r="H22" i="3" s="1"/>
  <c r="H21" i="3" s="1"/>
  <c r="G61" i="3"/>
  <c r="G22" i="3" s="1"/>
  <c r="G21" i="3" s="1"/>
  <c r="F61" i="3"/>
  <c r="F22" i="3" s="1"/>
  <c r="F21" i="3" s="1"/>
  <c r="E61" i="3"/>
  <c r="E22" i="3" s="1"/>
  <c r="E21" i="3" s="1"/>
  <c r="I61" i="3"/>
  <c r="I22" i="3" s="1"/>
  <c r="I21" i="3" s="1"/>
  <c r="Z122" i="3" l="1"/>
  <c r="AA122" i="3" s="1"/>
  <c r="AB122" i="3" s="1"/>
  <c r="AC122" i="3" s="1"/>
  <c r="Z135" i="3"/>
  <c r="M57" i="18"/>
  <c r="AH118" i="3"/>
  <c r="V53" i="3"/>
  <c r="AJ45" i="3"/>
  <c r="D61" i="5"/>
  <c r="D51" i="5" s="1"/>
  <c r="F30" i="18" s="1"/>
  <c r="F39" i="18"/>
  <c r="E7" i="6"/>
  <c r="W153" i="3"/>
  <c r="W42" i="3"/>
  <c r="W43" i="3" s="1"/>
  <c r="W22" i="3" s="1"/>
  <c r="AI65" i="3"/>
  <c r="AJ65" i="3" s="1"/>
  <c r="AI70" i="3"/>
  <c r="AJ70" i="3" s="1"/>
  <c r="AI67" i="3"/>
  <c r="AJ67" i="3" s="1"/>
  <c r="AI68" i="3"/>
  <c r="AJ68" i="3" s="1"/>
  <c r="AI64" i="3"/>
  <c r="AJ64" i="3" s="1"/>
  <c r="X152" i="3"/>
  <c r="X153" i="3"/>
  <c r="X178" i="3"/>
  <c r="X183" i="3"/>
  <c r="X83" i="3"/>
  <c r="AF38" i="3"/>
  <c r="AF42" i="3" s="1"/>
  <c r="AH45" i="3"/>
  <c r="N46" i="18"/>
  <c r="Y45" i="3"/>
  <c r="W26" i="3"/>
  <c r="W29" i="3" s="1"/>
  <c r="V26" i="3"/>
  <c r="V29" i="3" s="1"/>
  <c r="W53" i="3"/>
  <c r="E18" i="18"/>
  <c r="H26" i="18"/>
  <c r="M16" i="5"/>
  <c r="AA175" i="3"/>
  <c r="F16" i="5"/>
  <c r="AA36" i="3"/>
  <c r="AH57" i="3"/>
  <c r="Y7" i="4"/>
  <c r="Y52" i="4"/>
  <c r="Y40" i="4"/>
  <c r="E17" i="5"/>
  <c r="AF45" i="3"/>
  <c r="AJ175" i="3"/>
  <c r="AG29" i="3"/>
  <c r="X173" i="3"/>
  <c r="Y72" i="3"/>
  <c r="Y83" i="3" s="1"/>
  <c r="AJ83" i="3" s="1"/>
  <c r="W83" i="3"/>
  <c r="AG60" i="3"/>
  <c r="AG33" i="3" s="1"/>
  <c r="AH17" i="3"/>
  <c r="V50" i="3"/>
  <c r="Y86" i="3"/>
  <c r="Y138" i="3"/>
  <c r="AH72" i="3"/>
  <c r="X60" i="3"/>
  <c r="X33" i="3" s="1"/>
  <c r="AH26" i="3"/>
  <c r="AA65" i="3"/>
  <c r="Z72" i="3"/>
  <c r="AA13" i="4"/>
  <c r="AA9" i="4" s="1"/>
  <c r="AA7" i="4" s="1"/>
  <c r="Z103" i="3"/>
  <c r="Z35" i="3"/>
  <c r="O46" i="18" s="1"/>
  <c r="AA92" i="3"/>
  <c r="Z34" i="3"/>
  <c r="Z93" i="3"/>
  <c r="Z89" i="3" s="1"/>
  <c r="Z87" i="3" s="1"/>
  <c r="AA135" i="3" l="1"/>
  <c r="P47" i="18"/>
  <c r="F29" i="18"/>
  <c r="G39" i="18"/>
  <c r="F17" i="5"/>
  <c r="AJ138" i="3"/>
  <c r="AJ72" i="3"/>
  <c r="AJ60" i="3" s="1"/>
  <c r="AG38" i="3"/>
  <c r="AG42" i="3" s="1"/>
  <c r="AI72" i="3"/>
  <c r="AI60" i="3" s="1"/>
  <c r="AI33" i="3" s="1"/>
  <c r="AI42" i="3" s="1"/>
  <c r="AH60" i="3"/>
  <c r="D33" i="5"/>
  <c r="O45" i="18"/>
  <c r="Z45" i="3"/>
  <c r="D9" i="6"/>
  <c r="I26" i="18"/>
  <c r="N16" i="5"/>
  <c r="F7" i="6"/>
  <c r="AB36" i="3"/>
  <c r="AC36" i="3" s="1"/>
  <c r="AB175" i="3"/>
  <c r="G16" i="5"/>
  <c r="Z40" i="4"/>
  <c r="Y41" i="4"/>
  <c r="Y50" i="4"/>
  <c r="Y53" i="4"/>
  <c r="Z52" i="4"/>
  <c r="Y60" i="3"/>
  <c r="Y33" i="3" s="1"/>
  <c r="AJ33" i="3" s="1"/>
  <c r="X61" i="3"/>
  <c r="Z138" i="3"/>
  <c r="Y8" i="3"/>
  <c r="Z86" i="3"/>
  <c r="Z83" i="3"/>
  <c r="Z60" i="3"/>
  <c r="AB65" i="3"/>
  <c r="AA72" i="3"/>
  <c r="AB13" i="4"/>
  <c r="AB9" i="4" s="1"/>
  <c r="AB7" i="4" s="1"/>
  <c r="AA103" i="3"/>
  <c r="AA35" i="3"/>
  <c r="AB92" i="3"/>
  <c r="AA34" i="3"/>
  <c r="AA93" i="3"/>
  <c r="AA89" i="3" s="1"/>
  <c r="AA87" i="3" s="1"/>
  <c r="AB135" i="3" l="1"/>
  <c r="P46" i="18"/>
  <c r="AJ61" i="3"/>
  <c r="H39" i="18"/>
  <c r="F41" i="18"/>
  <c r="D37" i="5"/>
  <c r="AI61" i="3"/>
  <c r="AI43" i="3"/>
  <c r="AI22" i="3" s="1"/>
  <c r="AI20" i="3" s="1"/>
  <c r="AI19" i="3" s="1"/>
  <c r="AI7" i="3" s="1"/>
  <c r="N44" i="18"/>
  <c r="P45" i="18"/>
  <c r="AA45" i="3"/>
  <c r="Y51" i="3"/>
  <c r="G16" i="18"/>
  <c r="AC175" i="3"/>
  <c r="H16" i="5"/>
  <c r="G7" i="6"/>
  <c r="G17" i="5"/>
  <c r="AA40" i="4"/>
  <c r="Z41" i="4"/>
  <c r="Z50" i="4"/>
  <c r="AA52" i="4"/>
  <c r="Z53" i="4"/>
  <c r="Y61" i="3"/>
  <c r="AA83" i="3"/>
  <c r="AA60" i="3"/>
  <c r="Z61" i="3"/>
  <c r="Z33" i="3"/>
  <c r="AA86" i="3"/>
  <c r="Z8" i="3"/>
  <c r="AA138" i="3"/>
  <c r="AC65" i="3"/>
  <c r="AC72" i="3" s="1"/>
  <c r="AC60" i="3" s="1"/>
  <c r="AB72" i="3"/>
  <c r="AC92" i="3"/>
  <c r="AB93" i="3"/>
  <c r="AB89" i="3" s="1"/>
  <c r="AB87" i="3" s="1"/>
  <c r="AB34" i="3"/>
  <c r="AC13" i="4"/>
  <c r="AC9" i="4" s="1"/>
  <c r="AC7" i="4" s="1"/>
  <c r="AB35" i="3"/>
  <c r="AB103" i="3"/>
  <c r="AC135" i="3" l="1"/>
  <c r="D47" i="5"/>
  <c r="D40" i="5"/>
  <c r="F32" i="18"/>
  <c r="I39" i="18"/>
  <c r="Z41" i="3"/>
  <c r="O44" i="18"/>
  <c r="AB45" i="3"/>
  <c r="Z51" i="3"/>
  <c r="H16" i="18"/>
  <c r="I16" i="5"/>
  <c r="H7" i="6"/>
  <c r="H17" i="5"/>
  <c r="AI39" i="3"/>
  <c r="Y46" i="3"/>
  <c r="Y28" i="3" s="1"/>
  <c r="AA50" i="4"/>
  <c r="AB52" i="4"/>
  <c r="AA53" i="4"/>
  <c r="AA41" i="4"/>
  <c r="AB40" i="4"/>
  <c r="X47" i="3"/>
  <c r="X46" i="3"/>
  <c r="X28" i="3" s="1"/>
  <c r="X29" i="3" s="1"/>
  <c r="AA8" i="3"/>
  <c r="AB86" i="3"/>
  <c r="AC33" i="3"/>
  <c r="AA61" i="3"/>
  <c r="AA33" i="3"/>
  <c r="AB83" i="3"/>
  <c r="AB60" i="3"/>
  <c r="AC61" i="3" s="1"/>
  <c r="AB138" i="3"/>
  <c r="AC83" i="3"/>
  <c r="AC35" i="3"/>
  <c r="AC103" i="3"/>
  <c r="AC93" i="3"/>
  <c r="AC89" i="3" s="1"/>
  <c r="AC87" i="3" s="1"/>
  <c r="AC34" i="3"/>
  <c r="F34" i="18" l="1"/>
  <c r="F56" i="18" s="1"/>
  <c r="I7" i="6"/>
  <c r="P44" i="18"/>
  <c r="AC45" i="3"/>
  <c r="AA51" i="3"/>
  <c r="I16" i="18"/>
  <c r="I17" i="5"/>
  <c r="AI40" i="3"/>
  <c r="AI16" i="3" s="1"/>
  <c r="Y47" i="3"/>
  <c r="AB41" i="4"/>
  <c r="AC40" i="4"/>
  <c r="AC41" i="4" s="1"/>
  <c r="AB50" i="4"/>
  <c r="AC52" i="4"/>
  <c r="AB53" i="4"/>
  <c r="Z47" i="3"/>
  <c r="AC138" i="3"/>
  <c r="AB61" i="3"/>
  <c r="AB33" i="3"/>
  <c r="AC86" i="3"/>
  <c r="AB8" i="3"/>
  <c r="AC8" i="3" l="1"/>
  <c r="AB51" i="3"/>
  <c r="AJ46" i="3"/>
  <c r="AJ28" i="3" s="1"/>
  <c r="AA47" i="3"/>
  <c r="AC53" i="4"/>
  <c r="AC50" i="4"/>
  <c r="Z46" i="3"/>
  <c r="Z28" i="3" s="1"/>
  <c r="AC51" i="3" l="1"/>
  <c r="AA46" i="3"/>
  <c r="AA28" i="3" s="1"/>
  <c r="AB47" i="3"/>
  <c r="AB46" i="3"/>
  <c r="AB28" i="3" s="1"/>
  <c r="AC47" i="3"/>
  <c r="AC46" i="3"/>
  <c r="AC28" i="3" s="1"/>
  <c r="W61" i="3" l="1"/>
  <c r="W23" i="3" s="1"/>
  <c r="V61" i="3"/>
  <c r="V22" i="3" s="1"/>
  <c r="V23" i="3" s="1"/>
  <c r="U61" i="3"/>
  <c r="U22" i="3" s="1"/>
  <c r="T61" i="3"/>
  <c r="T22" i="3" s="1"/>
  <c r="S61" i="3"/>
  <c r="S22" i="3" s="1"/>
  <c r="R61" i="3"/>
  <c r="R22" i="3" s="1"/>
  <c r="Q61" i="3"/>
  <c r="Q22" i="3" s="1"/>
  <c r="P61" i="3"/>
  <c r="P22" i="3" s="1"/>
  <c r="O61" i="3"/>
  <c r="O22" i="3" s="1"/>
  <c r="N61" i="3"/>
  <c r="N22" i="3" s="1"/>
  <c r="M61" i="3"/>
  <c r="M22" i="3" s="1"/>
  <c r="L61" i="3"/>
  <c r="L22" i="3" s="1"/>
  <c r="K61" i="3"/>
  <c r="K22" i="3" s="1"/>
  <c r="J61" i="3"/>
  <c r="J22" i="3" s="1"/>
  <c r="K14" i="3"/>
  <c r="L14" i="3"/>
  <c r="M14" i="3"/>
  <c r="N14" i="3"/>
  <c r="O14" i="3"/>
  <c r="P14" i="3"/>
  <c r="Q14" i="3"/>
  <c r="R14" i="3"/>
  <c r="S14" i="3"/>
  <c r="T14" i="3"/>
  <c r="U14" i="3"/>
  <c r="V14" i="3"/>
  <c r="W14" i="3"/>
  <c r="J14" i="3"/>
  <c r="Q21" i="3" l="1"/>
  <c r="J21" i="3"/>
  <c r="T21" i="3"/>
  <c r="K21" i="3"/>
  <c r="O21" i="3"/>
  <c r="S21" i="3"/>
  <c r="M21" i="3"/>
  <c r="P21" i="3"/>
  <c r="R21" i="3"/>
  <c r="L21" i="3"/>
  <c r="N21" i="3"/>
  <c r="W17" i="3"/>
  <c r="E21" i="18"/>
  <c r="C46" i="6"/>
  <c r="D46" i="6"/>
  <c r="C34" i="6"/>
  <c r="D34" i="6"/>
  <c r="D20" i="6"/>
  <c r="C20" i="6"/>
  <c r="D69" i="7"/>
  <c r="D70" i="7" s="1"/>
  <c r="E70" i="7" s="1"/>
  <c r="C69" i="7"/>
  <c r="C70" i="7" s="1"/>
  <c r="D65" i="7"/>
  <c r="D66" i="7" s="1"/>
  <c r="E66" i="7" s="1"/>
  <c r="C65" i="7"/>
  <c r="C66" i="7" s="1"/>
  <c r="D77" i="7"/>
  <c r="D76" i="7"/>
  <c r="D61" i="7"/>
  <c r="D62" i="7" s="1"/>
  <c r="C61" i="7"/>
  <c r="C62" i="7" s="1"/>
  <c r="E52" i="7"/>
  <c r="E43" i="7"/>
  <c r="E40" i="7"/>
  <c r="E36" i="7"/>
  <c r="F36" i="7" s="1"/>
  <c r="G36" i="7" s="1"/>
  <c r="H36" i="7" s="1"/>
  <c r="I36" i="7" s="1"/>
  <c r="E35" i="7"/>
  <c r="E34" i="7"/>
  <c r="E33" i="7"/>
  <c r="E32" i="7"/>
  <c r="F32" i="7" s="1"/>
  <c r="G32" i="7" s="1"/>
  <c r="H32" i="7" s="1"/>
  <c r="I32" i="7" s="1"/>
  <c r="E24" i="7"/>
  <c r="E22" i="7"/>
  <c r="E21" i="7"/>
  <c r="E16" i="7"/>
  <c r="F16" i="7" s="1"/>
  <c r="G16" i="7" s="1"/>
  <c r="H16" i="7" s="1"/>
  <c r="I16" i="7" s="1"/>
  <c r="E18" i="7"/>
  <c r="E15" i="7"/>
  <c r="E10" i="7"/>
  <c r="N17" i="18" s="1"/>
  <c r="E11" i="7"/>
  <c r="E9" i="7"/>
  <c r="C54" i="7"/>
  <c r="D54" i="7"/>
  <c r="C45" i="7"/>
  <c r="D45" i="7"/>
  <c r="C38" i="7"/>
  <c r="D38" i="7"/>
  <c r="C26" i="7"/>
  <c r="D26" i="7"/>
  <c r="M24" i="18" s="1"/>
  <c r="C13" i="7"/>
  <c r="D13" i="7"/>
  <c r="F9" i="7" l="1"/>
  <c r="F35" i="7"/>
  <c r="C55" i="6"/>
  <c r="F22" i="7"/>
  <c r="M19" i="18"/>
  <c r="D12" i="6"/>
  <c r="F44" i="18" s="1"/>
  <c r="F50" i="18" s="1"/>
  <c r="F15" i="7"/>
  <c r="C12" i="6"/>
  <c r="M32" i="18"/>
  <c r="F43" i="7"/>
  <c r="D57" i="7"/>
  <c r="F18" i="7"/>
  <c r="N26" i="18"/>
  <c r="M28" i="18"/>
  <c r="C57" i="7"/>
  <c r="D55" i="6"/>
  <c r="F52" i="18" s="1"/>
  <c r="F52" i="7"/>
  <c r="N34" i="18"/>
  <c r="F34" i="7"/>
  <c r="N27" i="18"/>
  <c r="F21" i="7"/>
  <c r="N22" i="18"/>
  <c r="F11" i="7"/>
  <c r="N18" i="18"/>
  <c r="F24" i="7"/>
  <c r="N23" i="18"/>
  <c r="F40" i="7"/>
  <c r="O31" i="18" s="1"/>
  <c r="N31" i="18"/>
  <c r="F33" i="7"/>
  <c r="F70" i="7"/>
  <c r="D73" i="7"/>
  <c r="C73" i="7"/>
  <c r="F10" i="7"/>
  <c r="D78" i="7"/>
  <c r="C49" i="6"/>
  <c r="E77" i="7"/>
  <c r="C28" i="7"/>
  <c r="D28" i="7"/>
  <c r="D47" i="7"/>
  <c r="C47" i="7"/>
  <c r="D49" i="6" l="1"/>
  <c r="D51" i="6" s="1"/>
  <c r="E48" i="6" s="1"/>
  <c r="G15" i="7"/>
  <c r="C51" i="6"/>
  <c r="G35" i="7"/>
  <c r="G43" i="7"/>
  <c r="M37" i="18"/>
  <c r="M58" i="18" s="1"/>
  <c r="M38" i="18"/>
  <c r="G18" i="7"/>
  <c r="G22" i="7"/>
  <c r="G9" i="7"/>
  <c r="G10" i="7"/>
  <c r="O17" i="18"/>
  <c r="G33" i="7"/>
  <c r="O26" i="18"/>
  <c r="G21" i="7"/>
  <c r="O22" i="18"/>
  <c r="G24" i="7"/>
  <c r="O23" i="18"/>
  <c r="G34" i="7"/>
  <c r="O27" i="18"/>
  <c r="G40" i="7"/>
  <c r="P31" i="18" s="1"/>
  <c r="G11" i="7"/>
  <c r="O18" i="18"/>
  <c r="G52" i="7"/>
  <c r="O34" i="18"/>
  <c r="F77" i="7"/>
  <c r="D74" i="7"/>
  <c r="G70" i="7"/>
  <c r="G62" i="7"/>
  <c r="C58" i="7"/>
  <c r="D58" i="7"/>
  <c r="D49" i="7"/>
  <c r="C49" i="7"/>
  <c r="H15" i="7" l="1"/>
  <c r="H9" i="7"/>
  <c r="H43" i="7"/>
  <c r="P26" i="18"/>
  <c r="H22" i="7"/>
  <c r="H18" i="7"/>
  <c r="H35" i="7"/>
  <c r="G77" i="7"/>
  <c r="H40" i="7"/>
  <c r="I40" i="7" s="1"/>
  <c r="H33" i="7"/>
  <c r="H21" i="7"/>
  <c r="P22" i="18"/>
  <c r="H52" i="7"/>
  <c r="P34" i="18"/>
  <c r="H34" i="7"/>
  <c r="P27" i="18"/>
  <c r="H11" i="7"/>
  <c r="I11" i="7" s="1"/>
  <c r="P18" i="18"/>
  <c r="H24" i="7"/>
  <c r="I24" i="7" s="1"/>
  <c r="P23" i="18"/>
  <c r="H10" i="7"/>
  <c r="I10" i="7" s="1"/>
  <c r="P17" i="18"/>
  <c r="D8" i="6"/>
  <c r="D42" i="22"/>
  <c r="D47" i="22" s="1"/>
  <c r="I15" i="7"/>
  <c r="H70" i="7"/>
  <c r="H62" i="7"/>
  <c r="I21" i="7" l="1"/>
  <c r="I33" i="7"/>
  <c r="I43" i="7"/>
  <c r="I34" i="7"/>
  <c r="I18" i="7"/>
  <c r="I22" i="7"/>
  <c r="I52" i="7"/>
  <c r="I35" i="7"/>
  <c r="I9" i="7"/>
  <c r="H77" i="7"/>
  <c r="D11" i="6"/>
  <c r="F42" i="18"/>
  <c r="D43" i="22"/>
  <c r="D48" i="22"/>
  <c r="D49" i="22" s="1"/>
  <c r="I70" i="7"/>
  <c r="I62" i="7"/>
  <c r="F43" i="18" l="1"/>
  <c r="I77" i="7"/>
  <c r="AI26" i="3"/>
  <c r="AI25" i="3" l="1"/>
  <c r="AI13" i="3" l="1"/>
  <c r="AI14" i="3" s="1"/>
  <c r="AI56" i="3" l="1"/>
  <c r="AI57" i="3" s="1"/>
  <c r="AI15" i="3"/>
  <c r="AI117" i="3"/>
  <c r="AI120" i="3" s="1"/>
  <c r="M5" i="5"/>
  <c r="M6" i="5" s="1"/>
  <c r="AI17" i="3"/>
  <c r="AI118" i="3" l="1"/>
  <c r="AI177" i="3"/>
  <c r="AI149" i="3"/>
  <c r="M8" i="5"/>
  <c r="AI140" i="3"/>
  <c r="X6" i="4" l="1"/>
  <c r="Y6" i="4" s="1"/>
  <c r="Z6" i="4" l="1"/>
  <c r="AA6" i="4" s="1"/>
  <c r="Y54" i="4"/>
  <c r="Y72" i="4"/>
  <c r="Y96" i="3" s="1"/>
  <c r="X54" i="4"/>
  <c r="X55" i="4" s="1"/>
  <c r="X72" i="4"/>
  <c r="Y15" i="4"/>
  <c r="Y18" i="4"/>
  <c r="Y42" i="4"/>
  <c r="X15" i="4"/>
  <c r="X18" i="4"/>
  <c r="X42" i="4"/>
  <c r="X43" i="4" s="1"/>
  <c r="Y9" i="3" l="1"/>
  <c r="G17" i="18" s="1"/>
  <c r="Z42" i="4"/>
  <c r="Z43" i="4" s="1"/>
  <c r="Z18" i="4"/>
  <c r="Z19" i="4" s="1"/>
  <c r="X73" i="4"/>
  <c r="X96" i="3"/>
  <c r="Y97" i="3" s="1"/>
  <c r="Y52" i="3"/>
  <c r="X16" i="4"/>
  <c r="X78" i="4"/>
  <c r="X79" i="4" s="1"/>
  <c r="AA72" i="4"/>
  <c r="AA96" i="3" s="1"/>
  <c r="AA54" i="4"/>
  <c r="AA15" i="4"/>
  <c r="AB6" i="4"/>
  <c r="AB15" i="4" s="1"/>
  <c r="Y16" i="4"/>
  <c r="Y78" i="4"/>
  <c r="Y73" i="4"/>
  <c r="Y55" i="4"/>
  <c r="Z15" i="4"/>
  <c r="Z78" i="4" s="1"/>
  <c r="Z72" i="4"/>
  <c r="Z54" i="4"/>
  <c r="Z55" i="4" s="1"/>
  <c r="Y19" i="4"/>
  <c r="X19" i="4"/>
  <c r="Y43" i="4"/>
  <c r="AA18" i="4"/>
  <c r="AA42" i="4"/>
  <c r="AA9" i="3" l="1"/>
  <c r="Y79" i="4"/>
  <c r="AA43" i="4"/>
  <c r="X9" i="3"/>
  <c r="X97" i="3"/>
  <c r="Z73" i="4"/>
  <c r="Z96" i="3"/>
  <c r="Z79" i="4"/>
  <c r="AA55" i="4"/>
  <c r="AA73" i="4"/>
  <c r="AB16" i="4"/>
  <c r="AB78" i="4"/>
  <c r="AB72" i="4"/>
  <c r="AB54" i="4"/>
  <c r="AB55" i="4" s="1"/>
  <c r="AA16" i="4"/>
  <c r="AA78" i="4"/>
  <c r="AA79" i="4" s="1"/>
  <c r="Z16" i="4"/>
  <c r="AB42" i="4"/>
  <c r="AB43" i="4" s="1"/>
  <c r="AC6" i="4"/>
  <c r="AB18" i="4"/>
  <c r="AB19" i="4" s="1"/>
  <c r="AA19" i="4"/>
  <c r="I17" i="18" l="1"/>
  <c r="X52" i="3"/>
  <c r="AA52" i="3"/>
  <c r="Z9" i="3"/>
  <c r="Z97" i="3"/>
  <c r="AA97" i="3"/>
  <c r="F17" i="18"/>
  <c r="X10" i="3"/>
  <c r="AB73" i="4"/>
  <c r="AB96" i="3"/>
  <c r="AB79" i="4"/>
  <c r="AC54" i="4"/>
  <c r="AC55" i="4" s="1"/>
  <c r="AC72" i="4"/>
  <c r="AC15" i="4"/>
  <c r="AC42" i="4"/>
  <c r="AC43" i="4" s="1"/>
  <c r="AC18" i="4"/>
  <c r="AC19" i="4" s="1"/>
  <c r="W47" i="4"/>
  <c r="W23" i="4"/>
  <c r="W35" i="4"/>
  <c r="T87" i="4"/>
  <c r="T89" i="4" s="1"/>
  <c r="V35" i="4"/>
  <c r="T35" i="4"/>
  <c r="V23" i="4"/>
  <c r="V81" i="4" s="1"/>
  <c r="V91" i="4"/>
  <c r="V93" i="4" s="1"/>
  <c r="U23" i="4"/>
  <c r="U81" i="4" s="1"/>
  <c r="U35" i="4"/>
  <c r="T23" i="4"/>
  <c r="V82" i="4" l="1"/>
  <c r="F18" i="18"/>
  <c r="H17" i="18"/>
  <c r="Z52" i="3"/>
  <c r="W30" i="4"/>
  <c r="W31" i="4" s="1"/>
  <c r="W81" i="4"/>
  <c r="W82" i="4" s="1"/>
  <c r="AB9" i="3"/>
  <c r="AB97" i="3"/>
  <c r="X53" i="3"/>
  <c r="Y53" i="3"/>
  <c r="T25" i="4"/>
  <c r="T30" i="4"/>
  <c r="T31" i="4" s="1"/>
  <c r="U25" i="4"/>
  <c r="U30" i="4"/>
  <c r="U31" i="4" s="1"/>
  <c r="AC73" i="4"/>
  <c r="AC96" i="3"/>
  <c r="V25" i="4"/>
  <c r="V30" i="4"/>
  <c r="V31" i="4" s="1"/>
  <c r="T47" i="4"/>
  <c r="U47" i="4"/>
  <c r="U87" i="4"/>
  <c r="U89" i="4" s="1"/>
  <c r="AC16" i="4"/>
  <c r="AC78" i="4"/>
  <c r="AC79" i="4" s="1"/>
  <c r="W24" i="4"/>
  <c r="W36" i="4"/>
  <c r="U36" i="4"/>
  <c r="V24" i="4"/>
  <c r="U57" i="4"/>
  <c r="V46" i="4"/>
  <c r="W46" i="4"/>
  <c r="X23" i="4"/>
  <c r="W25" i="4"/>
  <c r="U24" i="4"/>
  <c r="V47" i="4"/>
  <c r="V36" i="4"/>
  <c r="V59" i="4"/>
  <c r="V65" i="4"/>
  <c r="V95" i="4" s="1"/>
  <c r="W91" i="4"/>
  <c r="T57" i="4"/>
  <c r="U46" i="4"/>
  <c r="V97" i="4" l="1"/>
  <c r="W92" i="4"/>
  <c r="W93" i="4"/>
  <c r="AB52" i="3"/>
  <c r="V99" i="4"/>
  <c r="X33" i="4"/>
  <c r="X35" i="4" s="1"/>
  <c r="X36" i="4" s="1"/>
  <c r="X81" i="4"/>
  <c r="AC9" i="3"/>
  <c r="AC97" i="3"/>
  <c r="H18" i="18"/>
  <c r="Y25" i="3"/>
  <c r="G18" i="18"/>
  <c r="V26" i="4"/>
  <c r="U26" i="4"/>
  <c r="U59" i="4"/>
  <c r="V60" i="4" s="1"/>
  <c r="U63" i="4"/>
  <c r="T91" i="4"/>
  <c r="T93" i="4" s="1"/>
  <c r="T63" i="4"/>
  <c r="W26" i="4"/>
  <c r="U48" i="4"/>
  <c r="V48" i="4"/>
  <c r="X25" i="4"/>
  <c r="X26" i="4" s="1"/>
  <c r="U88" i="4"/>
  <c r="V88" i="4"/>
  <c r="V58" i="4"/>
  <c r="U91" i="4"/>
  <c r="U93" i="4" s="1"/>
  <c r="U65" i="4"/>
  <c r="Y23" i="4"/>
  <c r="U58" i="4"/>
  <c r="W48" i="4"/>
  <c r="T65" i="4"/>
  <c r="T59" i="4"/>
  <c r="W59" i="4"/>
  <c r="W60" i="4" s="1"/>
  <c r="W65" i="4"/>
  <c r="W58" i="4"/>
  <c r="Y146" i="3" l="1"/>
  <c r="X82" i="4"/>
  <c r="X34" i="4"/>
  <c r="X45" i="4"/>
  <c r="X57" i="4" s="1"/>
  <c r="X91" i="4" s="1"/>
  <c r="AC52" i="3"/>
  <c r="X84" i="4"/>
  <c r="X85" i="4" s="1"/>
  <c r="Y33" i="4"/>
  <c r="Y34" i="4" s="1"/>
  <c r="Y81" i="4"/>
  <c r="Y82" i="4" s="1"/>
  <c r="Y26" i="3"/>
  <c r="Y29" i="3" s="1"/>
  <c r="Z25" i="3"/>
  <c r="I18" i="18"/>
  <c r="AJ25" i="3"/>
  <c r="U60" i="4"/>
  <c r="U92" i="4"/>
  <c r="V92" i="4"/>
  <c r="U66" i="4"/>
  <c r="T95" i="4"/>
  <c r="V66" i="4"/>
  <c r="U95" i="4"/>
  <c r="Y25" i="4"/>
  <c r="Y26" i="4" s="1"/>
  <c r="W66" i="4"/>
  <c r="W95" i="4"/>
  <c r="Z23" i="4"/>
  <c r="W97" i="4" l="1"/>
  <c r="U97" i="4"/>
  <c r="T97" i="4"/>
  <c r="Y35" i="4"/>
  <c r="Y36" i="4" s="1"/>
  <c r="X92" i="4"/>
  <c r="X93" i="4"/>
  <c r="X47" i="4"/>
  <c r="X48" i="4" s="1"/>
  <c r="X87" i="4"/>
  <c r="X89" i="4" s="1"/>
  <c r="U99" i="4"/>
  <c r="X46" i="4"/>
  <c r="Y45" i="4"/>
  <c r="Y87" i="4" s="1"/>
  <c r="W99" i="4"/>
  <c r="W96" i="4"/>
  <c r="Y84" i="4"/>
  <c r="Y85" i="4" s="1"/>
  <c r="Z33" i="4"/>
  <c r="Z84" i="4" s="1"/>
  <c r="Z81" i="4"/>
  <c r="Z82" i="4" s="1"/>
  <c r="Z26" i="3"/>
  <c r="Z29" i="3" s="1"/>
  <c r="AA25" i="3"/>
  <c r="AJ26" i="3"/>
  <c r="X58" i="4"/>
  <c r="U96" i="4"/>
  <c r="V96" i="4"/>
  <c r="AA23" i="4"/>
  <c r="Z25" i="4"/>
  <c r="Z26" i="4" s="1"/>
  <c r="X59" i="4"/>
  <c r="X60" i="4" s="1"/>
  <c r="X62" i="4"/>
  <c r="X65" i="4" s="1"/>
  <c r="Y88" i="4" l="1"/>
  <c r="Y89" i="4"/>
  <c r="Y46" i="4"/>
  <c r="Y47" i="4"/>
  <c r="Y48" i="4" s="1"/>
  <c r="Y57" i="4"/>
  <c r="Y91" i="4" s="1"/>
  <c r="X88" i="4"/>
  <c r="Z85" i="4"/>
  <c r="Z34" i="4"/>
  <c r="Z45" i="4"/>
  <c r="Z87" i="4" s="1"/>
  <c r="Z89" i="4" s="1"/>
  <c r="Z35" i="4"/>
  <c r="Z36" i="4" s="1"/>
  <c r="AB23" i="4"/>
  <c r="AB81" i="4" s="1"/>
  <c r="AA81" i="4"/>
  <c r="AA82" i="4" s="1"/>
  <c r="AJ29" i="3"/>
  <c r="AA26" i="3"/>
  <c r="AA29" i="3" s="1"/>
  <c r="AB25" i="3"/>
  <c r="AB26" i="3" s="1"/>
  <c r="AB29" i="3" s="1"/>
  <c r="AA33" i="4"/>
  <c r="AA84" i="4" s="1"/>
  <c r="AA85" i="4" s="1"/>
  <c r="AC25" i="3"/>
  <c r="AA25" i="4"/>
  <c r="AA26" i="4" s="1"/>
  <c r="X66" i="4"/>
  <c r="X95" i="4"/>
  <c r="X97" i="4" l="1"/>
  <c r="Y59" i="4"/>
  <c r="Y60" i="4" s="1"/>
  <c r="Y62" i="4"/>
  <c r="Y65" i="4" s="1"/>
  <c r="Y66" i="4" s="1"/>
  <c r="Y58" i="4"/>
  <c r="AB82" i="4"/>
  <c r="Y92" i="4"/>
  <c r="Y93" i="4"/>
  <c r="X99" i="4"/>
  <c r="Z88" i="4"/>
  <c r="AB25" i="4"/>
  <c r="AB26" i="4" s="1"/>
  <c r="Z57" i="4"/>
  <c r="Z91" i="4" s="1"/>
  <c r="Z46" i="4"/>
  <c r="Z47" i="4"/>
  <c r="Z48" i="4" s="1"/>
  <c r="AC23" i="4"/>
  <c r="AC81" i="4" s="1"/>
  <c r="AC82" i="4" s="1"/>
  <c r="AB33" i="4"/>
  <c r="AB34" i="4" s="1"/>
  <c r="X96" i="4"/>
  <c r="AC26" i="3"/>
  <c r="AC29" i="3" s="1"/>
  <c r="AA34" i="4"/>
  <c r="AA45" i="4"/>
  <c r="AA87" i="4" s="1"/>
  <c r="AA89" i="4" s="1"/>
  <c r="AA35" i="4"/>
  <c r="AA36" i="4" s="1"/>
  <c r="Y95" i="4" l="1"/>
  <c r="Y97" i="4" s="1"/>
  <c r="Z92" i="4"/>
  <c r="Z93" i="4"/>
  <c r="Y99" i="4"/>
  <c r="E35" i="5" s="1"/>
  <c r="Z58" i="4"/>
  <c r="Z62" i="4"/>
  <c r="Z65" i="4" s="1"/>
  <c r="Z95" i="4" s="1"/>
  <c r="E16" i="22"/>
  <c r="AC25" i="4"/>
  <c r="AC26" i="4" s="1"/>
  <c r="Z59" i="4"/>
  <c r="Z60" i="4" s="1"/>
  <c r="AB35" i="4"/>
  <c r="AB36" i="4" s="1"/>
  <c r="AC33" i="4"/>
  <c r="AC35" i="4" s="1"/>
  <c r="AB84" i="4"/>
  <c r="AB85" i="4" s="1"/>
  <c r="AB45" i="4"/>
  <c r="AB87" i="4" s="1"/>
  <c r="AB89" i="4" s="1"/>
  <c r="AA88" i="4"/>
  <c r="AA57" i="4"/>
  <c r="AA91" i="4" s="1"/>
  <c r="AA47" i="4"/>
  <c r="AA48" i="4" s="1"/>
  <c r="AA46" i="4"/>
  <c r="Y96" i="4" l="1"/>
  <c r="Z97" i="4"/>
  <c r="E55" i="7"/>
  <c r="G31" i="18"/>
  <c r="AA92" i="4"/>
  <c r="AA93" i="4"/>
  <c r="Z99" i="4"/>
  <c r="F35" i="5" s="1"/>
  <c r="Z66" i="4"/>
  <c r="AB88" i="4"/>
  <c r="M35" i="5"/>
  <c r="N35" i="5" s="1"/>
  <c r="AC36" i="4"/>
  <c r="AC45" i="4"/>
  <c r="AC87" i="4" s="1"/>
  <c r="AC89" i="4" s="1"/>
  <c r="AC34" i="4"/>
  <c r="AB47" i="4"/>
  <c r="AB48" i="4" s="1"/>
  <c r="AC84" i="4"/>
  <c r="AC85" i="4" s="1"/>
  <c r="Z96" i="4"/>
  <c r="AB57" i="4"/>
  <c r="AB91" i="4" s="1"/>
  <c r="AB46" i="4"/>
  <c r="AA59" i="4"/>
  <c r="AA60" i="4" s="1"/>
  <c r="AA62" i="4"/>
  <c r="AA65" i="4" s="1"/>
  <c r="AA66" i="4" s="1"/>
  <c r="AA58" i="4"/>
  <c r="N36" i="18" l="1"/>
  <c r="H31" i="18"/>
  <c r="F55" i="7"/>
  <c r="AB92" i="4"/>
  <c r="AB93" i="4"/>
  <c r="AC88" i="4"/>
  <c r="AC57" i="4"/>
  <c r="AC91" i="4" s="1"/>
  <c r="AC47" i="4"/>
  <c r="AC48" i="4" s="1"/>
  <c r="O36" i="18"/>
  <c r="AC46" i="4"/>
  <c r="AB59" i="4"/>
  <c r="AB60" i="4" s="1"/>
  <c r="AB58" i="4"/>
  <c r="AB62" i="4"/>
  <c r="AB65" i="4" s="1"/>
  <c r="AB66" i="4" s="1"/>
  <c r="AA95" i="4"/>
  <c r="AA97" i="4" l="1"/>
  <c r="AC92" i="4"/>
  <c r="AC93" i="4"/>
  <c r="AC58" i="4"/>
  <c r="AC59" i="4"/>
  <c r="AC60" i="4" s="1"/>
  <c r="AA99" i="4"/>
  <c r="G35" i="5" s="1"/>
  <c r="AC62" i="4"/>
  <c r="AC65" i="4" s="1"/>
  <c r="AC95" i="4" s="1"/>
  <c r="AA96" i="4"/>
  <c r="AB95" i="4"/>
  <c r="AB97" i="4" l="1"/>
  <c r="AC97" i="4"/>
  <c r="I31" i="18"/>
  <c r="AC99" i="4"/>
  <c r="I35" i="5" s="1"/>
  <c r="G55" i="7"/>
  <c r="AB99" i="4"/>
  <c r="H35" i="5" s="1"/>
  <c r="AC66" i="4"/>
  <c r="AC96" i="4"/>
  <c r="AB96" i="4"/>
  <c r="F59" i="18"/>
  <c r="P36" i="18" l="1"/>
  <c r="H55" i="7"/>
  <c r="I55" i="7" s="1"/>
  <c r="F53" i="18"/>
  <c r="M59" i="18" l="1"/>
  <c r="M60" i="18" l="1"/>
  <c r="AH33" i="3" l="1"/>
  <c r="X38" i="3"/>
  <c r="X42" i="3" s="1"/>
  <c r="X43" i="3" s="1"/>
  <c r="X22" i="3" s="1"/>
  <c r="X23" i="3" s="1"/>
  <c r="X50" i="3"/>
  <c r="X49" i="3" s="1"/>
  <c r="M44" i="18"/>
  <c r="AH38" i="3" l="1"/>
  <c r="AH42" i="3" s="1"/>
  <c r="AH43" i="3" s="1"/>
  <c r="AH22" i="3" s="1"/>
  <c r="AH23" i="3" s="1"/>
  <c r="M49" i="18"/>
  <c r="Y38" i="3"/>
  <c r="AH46" i="3"/>
  <c r="Y42" i="3" l="1"/>
  <c r="AJ38" i="3"/>
  <c r="Z38" i="3"/>
  <c r="Z42" i="3" s="1"/>
  <c r="N49" i="18"/>
  <c r="Y39" i="3"/>
  <c r="AH28" i="3"/>
  <c r="AH29" i="3" s="1"/>
  <c r="Z43" i="3" l="1"/>
  <c r="Z22" i="3" s="1"/>
  <c r="Z20" i="3" s="1"/>
  <c r="Y43" i="3"/>
  <c r="Y22" i="3" s="1"/>
  <c r="Y20" i="3" s="1"/>
  <c r="AJ42" i="3"/>
  <c r="AJ39" i="3"/>
  <c r="Y40" i="3"/>
  <c r="Y16" i="3" s="1"/>
  <c r="N50" i="18"/>
  <c r="AA38" i="3"/>
  <c r="AA42" i="3" s="1"/>
  <c r="O49" i="18"/>
  <c r="Z39" i="3"/>
  <c r="Y19" i="3" l="1"/>
  <c r="AJ19" i="3" s="1"/>
  <c r="AJ20" i="3" s="1"/>
  <c r="AJ43" i="3"/>
  <c r="AJ22" i="3" s="1"/>
  <c r="AA43" i="3"/>
  <c r="AA22" i="3" s="1"/>
  <c r="AA20" i="3" s="1"/>
  <c r="AJ40" i="3"/>
  <c r="AJ16" i="3" s="1"/>
  <c r="AB38" i="3"/>
  <c r="AB42" i="3" s="1"/>
  <c r="AB43" i="3" s="1"/>
  <c r="AB22" i="3" s="1"/>
  <c r="AB20" i="3" s="1"/>
  <c r="P49" i="18"/>
  <c r="AA39" i="3"/>
  <c r="Z40" i="3"/>
  <c r="Z16" i="3" s="1"/>
  <c r="O50" i="18"/>
  <c r="E14" i="5"/>
  <c r="E32" i="6"/>
  <c r="E40" i="6"/>
  <c r="E26" i="5"/>
  <c r="E40" i="22" s="1"/>
  <c r="E57" i="6" l="1"/>
  <c r="G48" i="18" s="1"/>
  <c r="Z19" i="3"/>
  <c r="AA19" i="3" s="1"/>
  <c r="Y7" i="3"/>
  <c r="AJ23" i="3"/>
  <c r="AJ7" i="3"/>
  <c r="E84" i="7"/>
  <c r="E27" i="5"/>
  <c r="E85" i="7" s="1"/>
  <c r="F26" i="5"/>
  <c r="F40" i="22" s="1"/>
  <c r="E23" i="7"/>
  <c r="F32" i="6"/>
  <c r="E34" i="6"/>
  <c r="AA40" i="3"/>
  <c r="AA16" i="3" s="1"/>
  <c r="P50" i="18"/>
  <c r="E42" i="7"/>
  <c r="F40" i="6"/>
  <c r="F81" i="7"/>
  <c r="M14" i="5"/>
  <c r="M15" i="5" s="1"/>
  <c r="E20" i="7"/>
  <c r="E15" i="5"/>
  <c r="F14" i="5"/>
  <c r="AC38" i="3"/>
  <c r="AB39" i="3"/>
  <c r="F57" i="6" l="1"/>
  <c r="H48" i="18" s="1"/>
  <c r="E19" i="7"/>
  <c r="E38" i="22"/>
  <c r="Y50" i="3"/>
  <c r="Y13" i="3"/>
  <c r="Z7" i="3"/>
  <c r="G15" i="18"/>
  <c r="AB19" i="3"/>
  <c r="AB7" i="3" s="1"/>
  <c r="AA7" i="3"/>
  <c r="AC39" i="3"/>
  <c r="AC40" i="3" s="1"/>
  <c r="AC16" i="3" s="1"/>
  <c r="AC42" i="3"/>
  <c r="AC43" i="3" s="1"/>
  <c r="AC22" i="3" s="1"/>
  <c r="AC20" i="3" s="1"/>
  <c r="AB40" i="3"/>
  <c r="AB16" i="3" s="1"/>
  <c r="G32" i="6"/>
  <c r="F34" i="6"/>
  <c r="N21" i="18"/>
  <c r="N29" i="18"/>
  <c r="F23" i="7"/>
  <c r="N14" i="5"/>
  <c r="N15" i="5" s="1"/>
  <c r="G81" i="7"/>
  <c r="G14" i="5"/>
  <c r="F15" i="5"/>
  <c r="F27" i="5"/>
  <c r="F85" i="7" s="1"/>
  <c r="G26" i="5"/>
  <c r="G40" i="22" s="1"/>
  <c r="F84" i="7"/>
  <c r="G40" i="6"/>
  <c r="F20" i="7"/>
  <c r="F42" i="7"/>
  <c r="E45" i="7"/>
  <c r="E86" i="7"/>
  <c r="E26" i="7" l="1"/>
  <c r="N24" i="18" s="1"/>
  <c r="N20" i="18"/>
  <c r="G57" i="6"/>
  <c r="I48" i="18" s="1"/>
  <c r="F19" i="7"/>
  <c r="F26" i="7" s="1"/>
  <c r="O24" i="18" s="1"/>
  <c r="F38" i="22"/>
  <c r="AJ13" i="3"/>
  <c r="AJ14" i="3" s="1"/>
  <c r="G20" i="18"/>
  <c r="I15" i="18"/>
  <c r="Y14" i="3"/>
  <c r="G21" i="18" s="1"/>
  <c r="Y15" i="3"/>
  <c r="AJ15" i="3" s="1"/>
  <c r="Z50" i="3"/>
  <c r="Z13" i="3"/>
  <c r="H15" i="18"/>
  <c r="Y193" i="3"/>
  <c r="Y117" i="3"/>
  <c r="E5" i="5"/>
  <c r="E32" i="22"/>
  <c r="E41" i="22" s="1"/>
  <c r="Y56" i="3"/>
  <c r="Y57" i="3" s="1"/>
  <c r="AA13" i="3"/>
  <c r="AC19" i="3"/>
  <c r="AC7" i="3" s="1"/>
  <c r="AA50" i="3"/>
  <c r="AB50" i="3"/>
  <c r="AB13" i="3"/>
  <c r="H81" i="7"/>
  <c r="I81" i="7" s="1"/>
  <c r="G23" i="7"/>
  <c r="O29" i="18"/>
  <c r="O21" i="18"/>
  <c r="H40" i="6"/>
  <c r="N32" i="18"/>
  <c r="H32" i="6"/>
  <c r="G34" i="6"/>
  <c r="G27" i="5"/>
  <c r="G85" i="7" s="1"/>
  <c r="H26" i="5"/>
  <c r="H40" i="22" s="1"/>
  <c r="G84" i="7"/>
  <c r="G42" i="7"/>
  <c r="F45" i="7"/>
  <c r="H14" i="5"/>
  <c r="G15" i="5"/>
  <c r="F86" i="7"/>
  <c r="G20" i="7"/>
  <c r="Y120" i="3" l="1"/>
  <c r="Y121" i="3" s="1"/>
  <c r="Y131" i="3"/>
  <c r="O20" i="18"/>
  <c r="AJ117" i="3"/>
  <c r="AJ149" i="3" s="1"/>
  <c r="AJ56" i="3"/>
  <c r="AJ57" i="3" s="1"/>
  <c r="H57" i="6"/>
  <c r="N5" i="5"/>
  <c r="N6" i="5" s="1"/>
  <c r="G19" i="7"/>
  <c r="G26" i="7" s="1"/>
  <c r="P24" i="18" s="1"/>
  <c r="G38" i="22"/>
  <c r="AC13" i="3"/>
  <c r="AA193" i="3"/>
  <c r="I20" i="18"/>
  <c r="Y17" i="3"/>
  <c r="AJ17" i="3"/>
  <c r="AA117" i="3"/>
  <c r="E65" i="7"/>
  <c r="E8" i="7" s="1"/>
  <c r="E6" i="5"/>
  <c r="N52" i="18" s="1"/>
  <c r="E69" i="7"/>
  <c r="E31" i="7" s="1"/>
  <c r="E61" i="7"/>
  <c r="F32" i="22"/>
  <c r="F41" i="22" s="1"/>
  <c r="H20" i="18"/>
  <c r="Z117" i="3"/>
  <c r="Z56" i="3"/>
  <c r="Z57" i="3" s="1"/>
  <c r="Z14" i="3"/>
  <c r="Z15" i="3"/>
  <c r="Z193" i="3"/>
  <c r="AA41" i="3"/>
  <c r="F5" i="5"/>
  <c r="Y162" i="3"/>
  <c r="Y149" i="3"/>
  <c r="Y177" i="3"/>
  <c r="Y118" i="3"/>
  <c r="E33" i="22"/>
  <c r="E45" i="22"/>
  <c r="E39" i="22"/>
  <c r="AA14" i="3"/>
  <c r="I21" i="18" s="1"/>
  <c r="AA56" i="3"/>
  <c r="AA15" i="3"/>
  <c r="G5" i="5"/>
  <c r="G32" i="22"/>
  <c r="AB15" i="3"/>
  <c r="AC50" i="3"/>
  <c r="AB14" i="3"/>
  <c r="H5" i="5"/>
  <c r="AB193" i="3"/>
  <c r="AB117" i="3"/>
  <c r="H32" i="22"/>
  <c r="H41" i="22" s="1"/>
  <c r="AB56" i="3"/>
  <c r="H20" i="7"/>
  <c r="O32" i="18"/>
  <c r="H42" i="7"/>
  <c r="G45" i="7"/>
  <c r="H84" i="7"/>
  <c r="H27" i="5"/>
  <c r="H85" i="7" s="1"/>
  <c r="I26" i="5"/>
  <c r="I40" i="22" s="1"/>
  <c r="H15" i="5"/>
  <c r="I14" i="5"/>
  <c r="I15" i="5" s="1"/>
  <c r="I38" i="22" s="1"/>
  <c r="I40" i="6"/>
  <c r="H34" i="6"/>
  <c r="I32" i="6"/>
  <c r="G86" i="7"/>
  <c r="P21" i="18"/>
  <c r="P29" i="18"/>
  <c r="H23" i="7"/>
  <c r="AC117" i="3" l="1"/>
  <c r="AC120" i="3" s="1"/>
  <c r="AB120" i="3"/>
  <c r="AB131" i="3"/>
  <c r="Z120" i="3"/>
  <c r="Z121" i="3" s="1"/>
  <c r="Z131" i="3"/>
  <c r="AA120" i="3"/>
  <c r="AA131" i="3"/>
  <c r="Y133" i="3"/>
  <c r="Y132" i="3"/>
  <c r="AJ118" i="3"/>
  <c r="AJ177" i="3"/>
  <c r="AC56" i="3"/>
  <c r="AC57" i="3" s="1"/>
  <c r="I32" i="22"/>
  <c r="I41" i="22" s="1"/>
  <c r="J41" i="22" s="1"/>
  <c r="K41" i="22" s="1"/>
  <c r="AC15" i="3"/>
  <c r="I5" i="5"/>
  <c r="I65" i="7" s="1"/>
  <c r="I8" i="7" s="1"/>
  <c r="P20" i="18"/>
  <c r="AA162" i="3"/>
  <c r="I57" i="6"/>
  <c r="AB162" i="3"/>
  <c r="H19" i="7"/>
  <c r="H38" i="22"/>
  <c r="H39" i="22" s="1"/>
  <c r="G45" i="22"/>
  <c r="G41" i="22"/>
  <c r="AC193" i="3"/>
  <c r="AC14" i="3"/>
  <c r="AC17" i="3" s="1"/>
  <c r="AA57" i="3"/>
  <c r="AA149" i="3"/>
  <c r="AA177" i="3"/>
  <c r="AA118" i="3"/>
  <c r="N16" i="18"/>
  <c r="I34" i="6"/>
  <c r="G33" i="22"/>
  <c r="AB57" i="3"/>
  <c r="G39" i="22"/>
  <c r="G6" i="5"/>
  <c r="P52" i="18" s="1"/>
  <c r="Y178" i="3"/>
  <c r="Z17" i="3"/>
  <c r="H21" i="18"/>
  <c r="E7" i="7"/>
  <c r="E73" i="7"/>
  <c r="E74" i="7" s="1"/>
  <c r="E38" i="7"/>
  <c r="N25" i="18"/>
  <c r="E8" i="5"/>
  <c r="Y140" i="3"/>
  <c r="G22" i="18"/>
  <c r="AJ120" i="3"/>
  <c r="Z162" i="3"/>
  <c r="Z177" i="3"/>
  <c r="Z118" i="3"/>
  <c r="Z149" i="3"/>
  <c r="Y163" i="3"/>
  <c r="Y156" i="3"/>
  <c r="Y157" i="3" s="1"/>
  <c r="Y143" i="3" s="1"/>
  <c r="Y142" i="3" s="1"/>
  <c r="F6" i="5"/>
  <c r="O52" i="18" s="1"/>
  <c r="F65" i="7"/>
  <c r="F8" i="7" s="1"/>
  <c r="F69" i="7"/>
  <c r="F31" i="7" s="1"/>
  <c r="F61" i="7"/>
  <c r="F45" i="22"/>
  <c r="F33" i="22"/>
  <c r="F39" i="22"/>
  <c r="AA17" i="3"/>
  <c r="G61" i="7"/>
  <c r="G7" i="7" s="1"/>
  <c r="G69" i="7"/>
  <c r="G31" i="7" s="1"/>
  <c r="G65" i="7"/>
  <c r="G8" i="7" s="1"/>
  <c r="AB17" i="3"/>
  <c r="AI172" i="3"/>
  <c r="M11" i="5"/>
  <c r="H69" i="7"/>
  <c r="H31" i="7" s="1"/>
  <c r="H6" i="5"/>
  <c r="H65" i="7"/>
  <c r="H8" i="7" s="1"/>
  <c r="H61" i="7"/>
  <c r="H45" i="22"/>
  <c r="H33" i="22"/>
  <c r="AB118" i="3"/>
  <c r="AB177" i="3"/>
  <c r="AB149" i="3"/>
  <c r="AC177" i="3"/>
  <c r="H86" i="7"/>
  <c r="I23" i="7"/>
  <c r="I27" i="5"/>
  <c r="I85" i="7" s="1"/>
  <c r="I84" i="7"/>
  <c r="P32" i="18"/>
  <c r="I42" i="7"/>
  <c r="H45" i="7"/>
  <c r="I20" i="7"/>
  <c r="AC121" i="3" l="1"/>
  <c r="J32" i="22"/>
  <c r="J40" i="22" s="1"/>
  <c r="AC149" i="3"/>
  <c r="AC118" i="3"/>
  <c r="AC162" i="3"/>
  <c r="AC131" i="3"/>
  <c r="AA121" i="3"/>
  <c r="AA132" i="3"/>
  <c r="AA133" i="3"/>
  <c r="Z132" i="3"/>
  <c r="Z133" i="3"/>
  <c r="Y134" i="3"/>
  <c r="AI133" i="3"/>
  <c r="AI131" i="3" s="1"/>
  <c r="AJ131" i="3" s="1"/>
  <c r="AB133" i="3"/>
  <c r="AB132" i="3"/>
  <c r="AB121" i="3"/>
  <c r="I33" i="22"/>
  <c r="I39" i="22"/>
  <c r="J39" i="22" s="1"/>
  <c r="K39" i="22" s="1"/>
  <c r="L39" i="22" s="1"/>
  <c r="M39" i="22" s="1"/>
  <c r="N39" i="22" s="1"/>
  <c r="O39" i="22" s="1"/>
  <c r="P39" i="22" s="1"/>
  <c r="Q39" i="22" s="1"/>
  <c r="R39" i="22" s="1"/>
  <c r="S39" i="22" s="1"/>
  <c r="T39" i="22" s="1"/>
  <c r="U39" i="22" s="1"/>
  <c r="V39" i="22" s="1"/>
  <c r="W39" i="22" s="1"/>
  <c r="I45" i="22"/>
  <c r="J45" i="22" s="1"/>
  <c r="K45" i="22" s="1"/>
  <c r="L45" i="22" s="1"/>
  <c r="M45" i="22" s="1"/>
  <c r="N45" i="22" s="1"/>
  <c r="O45" i="22" s="1"/>
  <c r="P45" i="22" s="1"/>
  <c r="Q45" i="22" s="1"/>
  <c r="R45" i="22" s="1"/>
  <c r="S45" i="22" s="1"/>
  <c r="T45" i="22" s="1"/>
  <c r="U45" i="22" s="1"/>
  <c r="V45" i="22" s="1"/>
  <c r="W45" i="22" s="1"/>
  <c r="I61" i="7"/>
  <c r="I7" i="7" s="1"/>
  <c r="I69" i="7"/>
  <c r="I31" i="7" s="1"/>
  <c r="I6" i="5"/>
  <c r="H26" i="7"/>
  <c r="I19" i="7"/>
  <c r="AB156" i="3"/>
  <c r="AB163" i="3"/>
  <c r="I22" i="18"/>
  <c r="I23" i="18"/>
  <c r="AA156" i="3"/>
  <c r="L41" i="22"/>
  <c r="AA178" i="3"/>
  <c r="G8" i="5"/>
  <c r="AA140" i="3"/>
  <c r="I8" i="5"/>
  <c r="H38" i="7"/>
  <c r="N15" i="18"/>
  <c r="P16" i="18"/>
  <c r="E9" i="5"/>
  <c r="N53" i="18" s="1"/>
  <c r="P25" i="18"/>
  <c r="I45" i="7"/>
  <c r="P15" i="18"/>
  <c r="O16" i="18"/>
  <c r="G38" i="7"/>
  <c r="G47" i="7" s="1"/>
  <c r="G73" i="7"/>
  <c r="F7" i="7"/>
  <c r="F73" i="7"/>
  <c r="F74" i="7" s="1"/>
  <c r="Z163" i="3"/>
  <c r="Z156" i="3"/>
  <c r="AA163" i="3"/>
  <c r="G23" i="18"/>
  <c r="E75" i="7"/>
  <c r="E42" i="22"/>
  <c r="E8" i="6"/>
  <c r="O25" i="18"/>
  <c r="F38" i="7"/>
  <c r="AJ122" i="3"/>
  <c r="N8" i="5"/>
  <c r="AJ140" i="3"/>
  <c r="Z178" i="3"/>
  <c r="N28" i="18"/>
  <c r="E47" i="7"/>
  <c r="Y151" i="3"/>
  <c r="G24" i="18"/>
  <c r="Y144" i="3"/>
  <c r="Y145" i="3" s="1"/>
  <c r="Z146" i="3"/>
  <c r="H22" i="18"/>
  <c r="Z140" i="3"/>
  <c r="F8" i="5"/>
  <c r="AB178" i="3"/>
  <c r="AI182" i="3"/>
  <c r="M19" i="5"/>
  <c r="AC178" i="3"/>
  <c r="AC140" i="3"/>
  <c r="H8" i="5"/>
  <c r="AB140" i="3"/>
  <c r="H7" i="7"/>
  <c r="H73" i="7"/>
  <c r="I86" i="7"/>
  <c r="K32" i="22" l="1"/>
  <c r="K40" i="22" s="1"/>
  <c r="AC133" i="3"/>
  <c r="AC134" i="3" s="1"/>
  <c r="AC132" i="3"/>
  <c r="AC163" i="3"/>
  <c r="AC156" i="3"/>
  <c r="AC157" i="3" s="1"/>
  <c r="AC143" i="3" s="1"/>
  <c r="J38" i="22"/>
  <c r="Z134" i="3"/>
  <c r="AB134" i="3"/>
  <c r="AA134" i="3"/>
  <c r="AI151" i="3"/>
  <c r="AI142" i="3" s="1"/>
  <c r="AI144" i="3" s="1"/>
  <c r="J44" i="22"/>
  <c r="I38" i="7"/>
  <c r="I73" i="7"/>
  <c r="I74" i="7" s="1"/>
  <c r="I26" i="7"/>
  <c r="AB157" i="3"/>
  <c r="AB143" i="3" s="1"/>
  <c r="M41" i="22"/>
  <c r="E43" i="22"/>
  <c r="H47" i="7"/>
  <c r="H74" i="7"/>
  <c r="H75" i="7" s="1"/>
  <c r="G74" i="7"/>
  <c r="G75" i="7" s="1"/>
  <c r="H9" i="5"/>
  <c r="G42" i="18"/>
  <c r="O15" i="18"/>
  <c r="F9" i="5"/>
  <c r="O53" i="18" s="1"/>
  <c r="P28" i="18"/>
  <c r="G9" i="5"/>
  <c r="P53" i="18" s="1"/>
  <c r="O28" i="18"/>
  <c r="F47" i="7"/>
  <c r="AJ133" i="3"/>
  <c r="Z157" i="3"/>
  <c r="Z143" i="3" s="1"/>
  <c r="Z142" i="3" s="1"/>
  <c r="AA157" i="3"/>
  <c r="AA143" i="3" s="1"/>
  <c r="Y152" i="3"/>
  <c r="Y153" i="3"/>
  <c r="Y154" i="3" s="1"/>
  <c r="F75" i="7"/>
  <c r="F42" i="22"/>
  <c r="F8" i="6"/>
  <c r="H23" i="18"/>
  <c r="Y170" i="3"/>
  <c r="M30" i="5"/>
  <c r="M24" i="5"/>
  <c r="K44" i="22"/>
  <c r="I9" i="5"/>
  <c r="K38" i="22"/>
  <c r="L32" i="22"/>
  <c r="L40" i="22" s="1"/>
  <c r="I47" i="7" l="1"/>
  <c r="H42" i="22"/>
  <c r="H43" i="22" s="1"/>
  <c r="H8" i="6"/>
  <c r="N41" i="22"/>
  <c r="F43" i="22"/>
  <c r="G42" i="22"/>
  <c r="I75" i="7"/>
  <c r="I42" i="22"/>
  <c r="G8" i="6"/>
  <c r="I42" i="18" s="1"/>
  <c r="M61" i="5"/>
  <c r="H42" i="18"/>
  <c r="Z151" i="3"/>
  <c r="H24" i="18"/>
  <c r="Z144" i="3"/>
  <c r="Z145" i="3" s="1"/>
  <c r="AA146" i="3"/>
  <c r="G25" i="18"/>
  <c r="Y180" i="3"/>
  <c r="E11" i="5"/>
  <c r="Y172" i="3"/>
  <c r="Y173" i="3" s="1"/>
  <c r="Y171" i="3"/>
  <c r="AA142" i="3"/>
  <c r="M32" i="22"/>
  <c r="M40" i="22" s="1"/>
  <c r="L38" i="22"/>
  <c r="L44" i="22"/>
  <c r="I8" i="6"/>
  <c r="Y141" i="3" l="1"/>
  <c r="O41" i="22"/>
  <c r="G43" i="22"/>
  <c r="I43" i="22"/>
  <c r="M51" i="5"/>
  <c r="M53" i="5" s="1"/>
  <c r="M63" i="5"/>
  <c r="E12" i="5"/>
  <c r="AA144" i="3"/>
  <c r="AA145" i="3" s="1"/>
  <c r="AA151" i="3"/>
  <c r="I24" i="18"/>
  <c r="AB146" i="3"/>
  <c r="AB142" i="3"/>
  <c r="E19" i="5"/>
  <c r="Y181" i="3"/>
  <c r="G27" i="18"/>
  <c r="Y182" i="3"/>
  <c r="E34" i="22"/>
  <c r="E47" i="22" s="1"/>
  <c r="AJ180" i="3"/>
  <c r="Z153" i="3"/>
  <c r="Z154" i="3" s="1"/>
  <c r="Z152" i="3"/>
  <c r="Z170" i="3"/>
  <c r="K43" i="22"/>
  <c r="J42" i="22"/>
  <c r="M44" i="22"/>
  <c r="N32" i="22"/>
  <c r="N40" i="22" s="1"/>
  <c r="M38" i="22"/>
  <c r="M33" i="5" l="1"/>
  <c r="Y183" i="3"/>
  <c r="N57" i="18"/>
  <c r="M58" i="5"/>
  <c r="P41" i="22"/>
  <c r="M37" i="5"/>
  <c r="M42" i="5" s="1"/>
  <c r="AB151" i="3"/>
  <c r="AC146" i="3"/>
  <c r="AB144" i="3"/>
  <c r="AB145" i="3" s="1"/>
  <c r="AC142" i="3"/>
  <c r="N19" i="5"/>
  <c r="AI184" i="3"/>
  <c r="AJ170" i="3"/>
  <c r="AJ182" i="3"/>
  <c r="AA152" i="3"/>
  <c r="AA153" i="3"/>
  <c r="AA154" i="3" s="1"/>
  <c r="AA170" i="3"/>
  <c r="Z180" i="3"/>
  <c r="H25" i="18"/>
  <c r="Z171" i="3"/>
  <c r="Z172" i="3"/>
  <c r="Z173" i="3" s="1"/>
  <c r="F11" i="5"/>
  <c r="E35" i="22"/>
  <c r="E36" i="22"/>
  <c r="E37" i="22" s="1"/>
  <c r="E48" i="22"/>
  <c r="E49" i="22" s="1"/>
  <c r="E20" i="5"/>
  <c r="N54" i="18" s="1"/>
  <c r="E24" i="5"/>
  <c r="E30" i="5"/>
  <c r="E6" i="6"/>
  <c r="E87" i="7"/>
  <c r="E88" i="7" s="1"/>
  <c r="N38" i="22"/>
  <c r="O32" i="22"/>
  <c r="O40" i="22" s="1"/>
  <c r="K42" i="22"/>
  <c r="L43" i="22"/>
  <c r="N44" i="22"/>
  <c r="Z141" i="3" l="1"/>
  <c r="Q41" i="22"/>
  <c r="M47" i="5"/>
  <c r="G38" i="18"/>
  <c r="F12" i="5"/>
  <c r="E53" i="22"/>
  <c r="E50" i="22"/>
  <c r="N24" i="5"/>
  <c r="N30" i="5"/>
  <c r="AC151" i="3"/>
  <c r="AC170" i="3" s="1"/>
  <c r="AC180" i="3" s="1"/>
  <c r="AC144" i="3"/>
  <c r="AC145" i="3" s="1"/>
  <c r="F34" i="22"/>
  <c r="F47" i="22" s="1"/>
  <c r="H27" i="18"/>
  <c r="F19" i="5"/>
  <c r="Z181" i="3"/>
  <c r="Z182" i="3"/>
  <c r="E61" i="5"/>
  <c r="E31" i="5"/>
  <c r="AJ151" i="3"/>
  <c r="AJ142" i="3" s="1"/>
  <c r="AJ144" i="3" s="1"/>
  <c r="N11" i="5"/>
  <c r="AJ172" i="3"/>
  <c r="AB152" i="3"/>
  <c r="AB153" i="3"/>
  <c r="AB154" i="3" s="1"/>
  <c r="AB170" i="3"/>
  <c r="AA180" i="3"/>
  <c r="AA172" i="3"/>
  <c r="AA173" i="3" s="1"/>
  <c r="I25" i="18"/>
  <c r="G11" i="5"/>
  <c r="AA171" i="3"/>
  <c r="M43" i="22"/>
  <c r="L42" i="22"/>
  <c r="O44" i="22"/>
  <c r="P32" i="22"/>
  <c r="P40" i="22" s="1"/>
  <c r="O38" i="22"/>
  <c r="Z183" i="3" l="1"/>
  <c r="O57" i="18"/>
  <c r="AC141" i="3"/>
  <c r="AA141" i="3"/>
  <c r="M69" i="5"/>
  <c r="M71" i="5" s="1"/>
  <c r="R41" i="22"/>
  <c r="G12" i="5"/>
  <c r="G29" i="18"/>
  <c r="N61" i="5"/>
  <c r="E63" i="5"/>
  <c r="N63" i="5" s="1"/>
  <c r="E51" i="5"/>
  <c r="F36" i="22"/>
  <c r="F37" i="22" s="1"/>
  <c r="F35" i="22"/>
  <c r="F48" i="22"/>
  <c r="F49" i="22" s="1"/>
  <c r="H11" i="5"/>
  <c r="AB172" i="3"/>
  <c r="AB173" i="3" s="1"/>
  <c r="AB171" i="3"/>
  <c r="AB180" i="3"/>
  <c r="I27" i="18"/>
  <c r="AA181" i="3"/>
  <c r="AA182" i="3"/>
  <c r="G34" i="22"/>
  <c r="G47" i="22" s="1"/>
  <c r="G19" i="5"/>
  <c r="AC152" i="3"/>
  <c r="AC153" i="3"/>
  <c r="AC154" i="3" s="1"/>
  <c r="F6" i="6"/>
  <c r="F24" i="5"/>
  <c r="F30" i="5"/>
  <c r="F20" i="5"/>
  <c r="O54" i="18" s="1"/>
  <c r="F87" i="7"/>
  <c r="F88" i="7" s="1"/>
  <c r="P44" i="22"/>
  <c r="Q32" i="22"/>
  <c r="Q40" i="22" s="1"/>
  <c r="P38" i="22"/>
  <c r="M42" i="22"/>
  <c r="N43" i="22"/>
  <c r="AA183" i="3" l="1"/>
  <c r="P57" i="18"/>
  <c r="AB141" i="3"/>
  <c r="S41" i="22"/>
  <c r="H38" i="18"/>
  <c r="H12" i="5"/>
  <c r="I11" i="5"/>
  <c r="AC172" i="3"/>
  <c r="AC173" i="3" s="1"/>
  <c r="AC171" i="3"/>
  <c r="G87" i="7"/>
  <c r="G88" i="7" s="1"/>
  <c r="G30" i="5"/>
  <c r="G6" i="6"/>
  <c r="G20" i="5"/>
  <c r="P54" i="18" s="1"/>
  <c r="G24" i="5"/>
  <c r="F53" i="22"/>
  <c r="F50" i="22"/>
  <c r="N51" i="5"/>
  <c r="E9" i="6"/>
  <c r="G30" i="18"/>
  <c r="E53" i="5"/>
  <c r="E33" i="5"/>
  <c r="G36" i="22"/>
  <c r="G37" i="22" s="1"/>
  <c r="G35" i="22"/>
  <c r="G48" i="22"/>
  <c r="G49" i="22" s="1"/>
  <c r="AB181" i="3"/>
  <c r="AB182" i="3"/>
  <c r="AB183" i="3" s="1"/>
  <c r="H19" i="5"/>
  <c r="H34" i="22"/>
  <c r="H47" i="22" s="1"/>
  <c r="F61" i="5"/>
  <c r="F31" i="5"/>
  <c r="N42" i="22"/>
  <c r="O43" i="22"/>
  <c r="R32" i="22"/>
  <c r="R40" i="22" s="1"/>
  <c r="Q38" i="22"/>
  <c r="Q44" i="22"/>
  <c r="T41" i="22" l="1"/>
  <c r="I12" i="5"/>
  <c r="I38" i="18"/>
  <c r="H24" i="5"/>
  <c r="E37" i="5"/>
  <c r="H35" i="22"/>
  <c r="H48" i="22"/>
  <c r="H49" i="22" s="1"/>
  <c r="H36" i="22"/>
  <c r="H37" i="22" s="1"/>
  <c r="G41" i="18"/>
  <c r="E12" i="6"/>
  <c r="G31" i="5"/>
  <c r="G61" i="5"/>
  <c r="I34" i="22"/>
  <c r="I47" i="22" s="1"/>
  <c r="AC181" i="3"/>
  <c r="I19" i="5"/>
  <c r="AC182" i="3"/>
  <c r="AC183" i="3" s="1"/>
  <c r="H20" i="5"/>
  <c r="H87" i="7"/>
  <c r="H88" i="7" s="1"/>
  <c r="H6" i="6"/>
  <c r="H30" i="5"/>
  <c r="N33" i="5"/>
  <c r="N56" i="5"/>
  <c r="G50" i="22"/>
  <c r="G53" i="22"/>
  <c r="E58" i="5"/>
  <c r="N53" i="5"/>
  <c r="N58" i="5" s="1"/>
  <c r="H29" i="18"/>
  <c r="F63" i="5"/>
  <c r="F51" i="5"/>
  <c r="R38" i="22"/>
  <c r="S32" i="22"/>
  <c r="S40" i="22" s="1"/>
  <c r="P43" i="22"/>
  <c r="O42" i="22"/>
  <c r="R44" i="22"/>
  <c r="U41" i="22" l="1"/>
  <c r="E47" i="5"/>
  <c r="G32" i="18"/>
  <c r="E38" i="5"/>
  <c r="N55" i="18" s="1"/>
  <c r="N37" i="5"/>
  <c r="E42" i="5"/>
  <c r="I30" i="5"/>
  <c r="I24" i="5"/>
  <c r="I87" i="7"/>
  <c r="I88" i="7" s="1"/>
  <c r="I6" i="6"/>
  <c r="I20" i="5"/>
  <c r="G44" i="18"/>
  <c r="G50" i="18" s="1"/>
  <c r="E20" i="6"/>
  <c r="F33" i="5"/>
  <c r="F9" i="6"/>
  <c r="F53" i="5"/>
  <c r="F58" i="5" s="1"/>
  <c r="H30" i="18"/>
  <c r="H61" i="5"/>
  <c r="H31" i="5"/>
  <c r="I35" i="22"/>
  <c r="I48" i="22"/>
  <c r="I49" i="22" s="1"/>
  <c r="I36" i="22"/>
  <c r="G63" i="5"/>
  <c r="G51" i="5"/>
  <c r="I29" i="18"/>
  <c r="H50" i="22"/>
  <c r="H53" i="22"/>
  <c r="S44" i="22"/>
  <c r="Q43" i="22"/>
  <c r="P42" i="22"/>
  <c r="T32" i="22"/>
  <c r="T40" i="22" s="1"/>
  <c r="S38" i="22"/>
  <c r="E69" i="5" l="1"/>
  <c r="E71" i="5" s="1"/>
  <c r="G34" i="18"/>
  <c r="G56" i="18" s="1"/>
  <c r="V41" i="22"/>
  <c r="G59" i="18"/>
  <c r="E48" i="5"/>
  <c r="N56" i="18" s="1"/>
  <c r="N42" i="5"/>
  <c r="N47" i="5"/>
  <c r="F37" i="5"/>
  <c r="G53" i="5"/>
  <c r="G58" i="5" s="1"/>
  <c r="G33" i="5"/>
  <c r="I30" i="18"/>
  <c r="G9" i="6"/>
  <c r="H63" i="5"/>
  <c r="H51" i="5"/>
  <c r="I61" i="5"/>
  <c r="I31" i="5"/>
  <c r="I37" i="22"/>
  <c r="J36" i="22"/>
  <c r="N69" i="5"/>
  <c r="I50" i="22"/>
  <c r="I53" i="22"/>
  <c r="H41" i="18"/>
  <c r="F12" i="6"/>
  <c r="R43" i="22"/>
  <c r="Q42" i="22"/>
  <c r="T44" i="22"/>
  <c r="U32" i="22"/>
  <c r="U44" i="22" s="1"/>
  <c r="T38" i="22"/>
  <c r="U40" i="22" l="1"/>
  <c r="W41" i="22"/>
  <c r="F38" i="5"/>
  <c r="O55" i="18" s="1"/>
  <c r="H32" i="18"/>
  <c r="F47" i="5"/>
  <c r="G37" i="5"/>
  <c r="F42" i="5"/>
  <c r="H44" i="18"/>
  <c r="H50" i="18" s="1"/>
  <c r="F20" i="6"/>
  <c r="J34" i="22"/>
  <c r="J47" i="22" s="1"/>
  <c r="K36" i="22"/>
  <c r="I41" i="18"/>
  <c r="G12" i="6"/>
  <c r="E41" i="6"/>
  <c r="N71" i="5"/>
  <c r="G35" i="18"/>
  <c r="I63" i="5"/>
  <c r="I51" i="5"/>
  <c r="H33" i="5"/>
  <c r="H53" i="5"/>
  <c r="H58" i="5" s="1"/>
  <c r="H9" i="6"/>
  <c r="R42" i="22"/>
  <c r="S43" i="22"/>
  <c r="V32" i="22"/>
  <c r="V40" i="22" s="1"/>
  <c r="U38" i="22"/>
  <c r="I32" i="18" l="1"/>
  <c r="G57" i="18"/>
  <c r="G58" i="18"/>
  <c r="H59" i="18"/>
  <c r="H34" i="18"/>
  <c r="F48" i="5"/>
  <c r="O56" i="18" s="1"/>
  <c r="G42" i="5"/>
  <c r="D74" i="22"/>
  <c r="F69" i="5"/>
  <c r="F71" i="5" s="1"/>
  <c r="G47" i="5"/>
  <c r="H12" i="6"/>
  <c r="H20" i="6" s="1"/>
  <c r="F43" i="5"/>
  <c r="H37" i="5"/>
  <c r="G38" i="5"/>
  <c r="P55" i="18" s="1"/>
  <c r="I9" i="6"/>
  <c r="I53" i="5"/>
  <c r="I58" i="5" s="1"/>
  <c r="I33" i="5"/>
  <c r="I44" i="18"/>
  <c r="I50" i="18" s="1"/>
  <c r="G20" i="6"/>
  <c r="L36" i="22"/>
  <c r="K34" i="22"/>
  <c r="K47" i="22" s="1"/>
  <c r="J35" i="22"/>
  <c r="J48" i="22"/>
  <c r="J49" i="22" s="1"/>
  <c r="N72" i="5"/>
  <c r="E46" i="6"/>
  <c r="E55" i="6" s="1"/>
  <c r="G52" i="18" s="1"/>
  <c r="E53" i="7"/>
  <c r="G51" i="18"/>
  <c r="V44" i="22"/>
  <c r="W32" i="22"/>
  <c r="W40" i="22" s="1"/>
  <c r="V38" i="22"/>
  <c r="T43" i="22"/>
  <c r="S42" i="22"/>
  <c r="G69" i="5" l="1"/>
  <c r="G71" i="5" s="1"/>
  <c r="G53" i="18"/>
  <c r="H56" i="18"/>
  <c r="D76" i="22"/>
  <c r="I59" i="18"/>
  <c r="G43" i="5"/>
  <c r="I34" i="18"/>
  <c r="H35" i="18"/>
  <c r="H38" i="5"/>
  <c r="G48" i="5"/>
  <c r="P56" i="18" s="1"/>
  <c r="F41" i="6"/>
  <c r="I37" i="5"/>
  <c r="E49" i="6"/>
  <c r="H42" i="5"/>
  <c r="H47" i="5"/>
  <c r="H69" i="5" s="1"/>
  <c r="H71" i="5" s="1"/>
  <c r="I12" i="6"/>
  <c r="I20" i="6" s="1"/>
  <c r="I35" i="18"/>
  <c r="G41" i="6"/>
  <c r="J53" i="22"/>
  <c r="J50" i="22"/>
  <c r="N35" i="18"/>
  <c r="E54" i="7"/>
  <c r="K48" i="22"/>
  <c r="K49" i="22" s="1"/>
  <c r="K35" i="22"/>
  <c r="M36" i="22"/>
  <c r="L34" i="22"/>
  <c r="L47" i="22" s="1"/>
  <c r="W38" i="22"/>
  <c r="W44" i="22"/>
  <c r="U43" i="22"/>
  <c r="T42" i="22"/>
  <c r="I56" i="18" l="1"/>
  <c r="I57" i="18"/>
  <c r="I58" i="18"/>
  <c r="H57" i="18"/>
  <c r="H58" i="18"/>
  <c r="I42" i="5"/>
  <c r="I43" i="5" s="1"/>
  <c r="I38" i="5"/>
  <c r="F53" i="7"/>
  <c r="F46" i="6"/>
  <c r="H51" i="18"/>
  <c r="H43" i="5"/>
  <c r="H41" i="6"/>
  <c r="E51" i="6"/>
  <c r="I47" i="5"/>
  <c r="H48" i="5"/>
  <c r="E57" i="7"/>
  <c r="I51" i="18"/>
  <c r="G46" i="6"/>
  <c r="G55" i="6" s="1"/>
  <c r="I52" i="18" s="1"/>
  <c r="K50" i="22"/>
  <c r="K53" i="22"/>
  <c r="L35" i="22"/>
  <c r="L48" i="22"/>
  <c r="L49" i="22" s="1"/>
  <c r="N36" i="22"/>
  <c r="M34" i="22"/>
  <c r="M47" i="22" s="1"/>
  <c r="V43" i="22"/>
  <c r="U42" i="22"/>
  <c r="I53" i="18" l="1"/>
  <c r="F55" i="6"/>
  <c r="H52" i="18" s="1"/>
  <c r="H53" i="18" s="1"/>
  <c r="F49" i="6"/>
  <c r="O35" i="18"/>
  <c r="F54" i="7"/>
  <c r="F57" i="7" s="1"/>
  <c r="G53" i="7"/>
  <c r="G49" i="6"/>
  <c r="H46" i="6"/>
  <c r="H55" i="6" s="1"/>
  <c r="I48" i="5"/>
  <c r="N37" i="18"/>
  <c r="N58" i="18" s="1"/>
  <c r="F48" i="6"/>
  <c r="E6" i="7"/>
  <c r="I69" i="5"/>
  <c r="I71" i="5" s="1"/>
  <c r="M48" i="22"/>
  <c r="M49" i="22" s="1"/>
  <c r="M35" i="22"/>
  <c r="N34" i="22"/>
  <c r="N47" i="22" s="1"/>
  <c r="O36" i="22"/>
  <c r="L53" i="22"/>
  <c r="L50" i="22"/>
  <c r="V42" i="22"/>
  <c r="W43" i="22"/>
  <c r="W42" i="22" s="1"/>
  <c r="P35" i="18" l="1"/>
  <c r="F51" i="6"/>
  <c r="F6" i="7" s="1"/>
  <c r="G54" i="7"/>
  <c r="G57" i="7" s="1"/>
  <c r="H53" i="7"/>
  <c r="N14" i="18"/>
  <c r="E76" i="7"/>
  <c r="E78" i="7" s="1"/>
  <c r="E13" i="7"/>
  <c r="I41" i="6"/>
  <c r="H49" i="6"/>
  <c r="O37" i="18"/>
  <c r="O58" i="18" s="1"/>
  <c r="N48" i="22"/>
  <c r="N49" i="22" s="1"/>
  <c r="N35" i="22"/>
  <c r="O34" i="22"/>
  <c r="O47" i="22" s="1"/>
  <c r="P36" i="22"/>
  <c r="M50" i="22"/>
  <c r="M53" i="22"/>
  <c r="G48" i="6" l="1"/>
  <c r="G51" i="6" s="1"/>
  <c r="G6" i="7" s="1"/>
  <c r="I53" i="7"/>
  <c r="I54" i="7" s="1"/>
  <c r="H54" i="7"/>
  <c r="H57" i="7" s="1"/>
  <c r="F13" i="7"/>
  <c r="F76" i="7"/>
  <c r="F78" i="7" s="1"/>
  <c r="O14" i="18"/>
  <c r="E28" i="7"/>
  <c r="N19" i="18"/>
  <c r="N38" i="18"/>
  <c r="E79" i="7"/>
  <c r="G54" i="18" s="1"/>
  <c r="W59" i="22"/>
  <c r="E15" i="22" s="1"/>
  <c r="I46" i="6"/>
  <c r="I55" i="6" s="1"/>
  <c r="P37" i="18"/>
  <c r="P58" i="18" s="1"/>
  <c r="G76" i="7"/>
  <c r="G78" i="7" s="1"/>
  <c r="Q36" i="22"/>
  <c r="P34" i="22"/>
  <c r="P47" i="22" s="1"/>
  <c r="O35" i="22"/>
  <c r="O48" i="22"/>
  <c r="O49" i="22" s="1"/>
  <c r="N50" i="22"/>
  <c r="N53" i="22"/>
  <c r="W57" i="22" s="1"/>
  <c r="E13" i="22" s="1"/>
  <c r="G13" i="7" l="1"/>
  <c r="H48" i="6"/>
  <c r="H51" i="6" s="1"/>
  <c r="H6" i="7" s="1"/>
  <c r="P14" i="18"/>
  <c r="N60" i="18"/>
  <c r="N59" i="18"/>
  <c r="O38" i="18"/>
  <c r="F79" i="7"/>
  <c r="H54" i="18" s="1"/>
  <c r="E58" i="7"/>
  <c r="E49" i="7"/>
  <c r="O19" i="18"/>
  <c r="F28" i="7"/>
  <c r="I57" i="7"/>
  <c r="I49" i="6"/>
  <c r="O53" i="22"/>
  <c r="O50" i="22"/>
  <c r="P38" i="18"/>
  <c r="G79" i="7"/>
  <c r="I54" i="18" s="1"/>
  <c r="P35" i="22"/>
  <c r="P48" i="22"/>
  <c r="P49" i="22" s="1"/>
  <c r="P19" i="18"/>
  <c r="G28" i="7"/>
  <c r="R36" i="22"/>
  <c r="Q34" i="22"/>
  <c r="Q47" i="22" s="1"/>
  <c r="I48" i="6" l="1"/>
  <c r="I51" i="6" s="1"/>
  <c r="I6" i="7" s="1"/>
  <c r="H76" i="7"/>
  <c r="H78" i="7" s="1"/>
  <c r="H79" i="7" s="1"/>
  <c r="H13" i="7"/>
  <c r="H28" i="7" s="1"/>
  <c r="O60" i="18"/>
  <c r="O59" i="18"/>
  <c r="F58" i="7"/>
  <c r="F49" i="7"/>
  <c r="P60" i="18"/>
  <c r="P59" i="18"/>
  <c r="P53" i="22"/>
  <c r="P50" i="22"/>
  <c r="S36" i="22"/>
  <c r="R34" i="22"/>
  <c r="R47" i="22" s="1"/>
  <c r="G58" i="7"/>
  <c r="G49" i="7"/>
  <c r="Q35" i="22"/>
  <c r="Q48" i="22"/>
  <c r="Q49" i="22" s="1"/>
  <c r="H58" i="7" l="1"/>
  <c r="I76" i="7"/>
  <c r="I78" i="7" s="1"/>
  <c r="I13" i="7"/>
  <c r="H49" i="7"/>
  <c r="R48" i="22"/>
  <c r="R49" i="22" s="1"/>
  <c r="R35" i="22"/>
  <c r="T36" i="22"/>
  <c r="S34" i="22"/>
  <c r="S47" i="22" s="1"/>
  <c r="Q53" i="22"/>
  <c r="Q50" i="22"/>
  <c r="I28" i="7" l="1"/>
  <c r="I79" i="7"/>
  <c r="S48" i="22"/>
  <c r="S49" i="22" s="1"/>
  <c r="S35" i="22"/>
  <c r="T34" i="22"/>
  <c r="T47" i="22" s="1"/>
  <c r="U36" i="22"/>
  <c r="R50" i="22"/>
  <c r="R53" i="22"/>
  <c r="I49" i="7" l="1"/>
  <c r="I58" i="7"/>
  <c r="V36" i="22"/>
  <c r="U34" i="22"/>
  <c r="U47" i="22" s="1"/>
  <c r="T35" i="22"/>
  <c r="T48" i="22"/>
  <c r="T49" i="22" s="1"/>
  <c r="S50" i="22"/>
  <c r="S53" i="22"/>
  <c r="T53" i="22" l="1"/>
  <c r="T50" i="22"/>
  <c r="U35" i="22"/>
  <c r="U48" i="22"/>
  <c r="U49" i="22" s="1"/>
  <c r="V34" i="22"/>
  <c r="V47" i="22" s="1"/>
  <c r="W36" i="22"/>
  <c r="W34" i="22" s="1"/>
  <c r="W47" i="22" s="1"/>
  <c r="V48" i="22" l="1"/>
  <c r="V49" i="22" s="1"/>
  <c r="V35" i="22"/>
  <c r="U50" i="22"/>
  <c r="U53" i="22"/>
  <c r="W35" i="22"/>
  <c r="W48" i="22"/>
  <c r="W49" i="22" s="1"/>
  <c r="V53" i="22" l="1"/>
  <c r="V50" i="22"/>
  <c r="W50" i="22"/>
  <c r="W53" i="22"/>
  <c r="W56" i="22" l="1"/>
  <c r="W58" i="22" s="1"/>
  <c r="E12" i="22" l="1"/>
  <c r="E14" i="22"/>
  <c r="W61" i="22"/>
  <c r="W63" i="22" l="1"/>
  <c r="E19" i="22" s="1"/>
  <c r="E22" i="22" s="1"/>
  <c r="E17" i="22"/>
  <c r="E23" i="22" l="1"/>
  <c r="F8" i="18"/>
  <c r="F10"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tc={4C457E8E-0E76-4D7A-98CA-B0A261E487EB}</author>
    <author>tc={DB409B56-FDEC-4B01-8436-4D29AFE749AB}</author>
  </authors>
  <commentList>
    <comment ref="F69" authorId="0" shapeId="0" xr:uid="{4C457E8E-0E76-4D7A-98CA-B0A261E487EB}">
      <text>
        <t xml:space="preserve">[Threaded comment]
Your version of Excel allows you to read this threaded comment; however, any edits to it will get removed if the file is opened in a newer version of Excel. Learn more: https://go.microsoft.com/fwlink/?linkid=870924
Comment:
Action taken to rebrand most My Chemist franchise stores into Amcal and DDS franchise sto 
</t>
      </text>
    </comment>
    <comment ref="C93" authorId="1" shapeId="0" xr:uid="{DB409B56-FDEC-4B01-8436-4D29AFE749AB}">
      <text>
        <t>[Threaded comment]
Your version of Excel allows you to read this threaded comment; however, any edits to it will get removed if the file is opened in a newer version of Excel. Learn more: https://go.microsoft.com/fwlink/?linkid=870924
Comment:
    Incl. chem warehouse, mychemist &amp; pipeline</t>
      </text>
    </comment>
  </commentList>
</comments>
</file>

<file path=xl/sharedStrings.xml><?xml version="1.0" encoding="utf-8"?>
<sst xmlns="http://schemas.openxmlformats.org/spreadsheetml/2006/main" count="1007" uniqueCount="495">
  <si>
    <t>Network sales</t>
  </si>
  <si>
    <t>Australia</t>
  </si>
  <si>
    <t>New Zealand</t>
  </si>
  <si>
    <t>Ireland</t>
  </si>
  <si>
    <t>China</t>
  </si>
  <si>
    <t>Other</t>
  </si>
  <si>
    <t>Total</t>
  </si>
  <si>
    <t>Dubai</t>
  </si>
  <si>
    <t>Revenue</t>
  </si>
  <si>
    <t>CODB</t>
  </si>
  <si>
    <t>EBITDA</t>
  </si>
  <si>
    <t>D&amp;A</t>
  </si>
  <si>
    <t>EBIT</t>
  </si>
  <si>
    <t>Interest</t>
  </si>
  <si>
    <t>PBT</t>
  </si>
  <si>
    <t>Tax</t>
  </si>
  <si>
    <t>NPAT</t>
  </si>
  <si>
    <t>1H26E</t>
  </si>
  <si>
    <t>FY24</t>
  </si>
  <si>
    <t>FY25</t>
  </si>
  <si>
    <t>FY26E</t>
  </si>
  <si>
    <t>FY27E</t>
  </si>
  <si>
    <t>Cash</t>
  </si>
  <si>
    <t>Trade and other receivables</t>
  </si>
  <si>
    <t>Inventories</t>
  </si>
  <si>
    <t>Financial assets at amortised cost</t>
  </si>
  <si>
    <t>Lease receivables</t>
  </si>
  <si>
    <t>Other assets</t>
  </si>
  <si>
    <t>Investments accounted for using the equity method</t>
  </si>
  <si>
    <t>Financial assets at fair value through other comprehensive income</t>
  </si>
  <si>
    <t>Financial assets at fair value through profit or loss</t>
  </si>
  <si>
    <t>PPE</t>
  </si>
  <si>
    <t>Intangible assets</t>
  </si>
  <si>
    <t>Deferred tax assets</t>
  </si>
  <si>
    <t>Trade and other payables</t>
  </si>
  <si>
    <t>Other liabilities</t>
  </si>
  <si>
    <t>Borrowings</t>
  </si>
  <si>
    <t>Lease liabilities</t>
  </si>
  <si>
    <t>Current tax liabilities</t>
  </si>
  <si>
    <t>Provisions</t>
  </si>
  <si>
    <t>Contributed equity</t>
  </si>
  <si>
    <t>Reserves</t>
  </si>
  <si>
    <t>Retained profits / (accumulated losses)</t>
  </si>
  <si>
    <t>Equity attributable to the owners of the Group</t>
  </si>
  <si>
    <t>Non-controlling interests</t>
  </si>
  <si>
    <t>Right of use assets</t>
  </si>
  <si>
    <t>Receipts from customers (inc. GST)</t>
  </si>
  <si>
    <t>Payments to suppliers and employees (inc. GST)</t>
  </si>
  <si>
    <t>Interest and other finance costs paid</t>
  </si>
  <si>
    <t>Interest and other finance income received</t>
  </si>
  <si>
    <t>Income taxes paid</t>
  </si>
  <si>
    <t>Payments for PPE</t>
  </si>
  <si>
    <t>Payments for financial assets at fair value through other comprehensive income</t>
  </si>
  <si>
    <t>Payments for financial assets at fair value through profit or loss</t>
  </si>
  <si>
    <t>Payment for acquisition of associates</t>
  </si>
  <si>
    <t>Acquisition of intangibles</t>
  </si>
  <si>
    <t>Loans provided to other entities</t>
  </si>
  <si>
    <t>Proceeds from sale of investment</t>
  </si>
  <si>
    <t>Distribution from associates</t>
  </si>
  <si>
    <t>Principal elements of lease receipts</t>
  </si>
  <si>
    <t>Proceeds from acquisition of subsidiaries, net of acquired cash</t>
  </si>
  <si>
    <t>Proceeds from employee shares exercised</t>
  </si>
  <si>
    <t>Repayments of loans</t>
  </si>
  <si>
    <t>Proceeds from loans</t>
  </si>
  <si>
    <t>Principal elements of lease payments</t>
  </si>
  <si>
    <t>Dividends paid to members of the company</t>
  </si>
  <si>
    <t>Cash distribution to Chemist Warehouse shareholders</t>
  </si>
  <si>
    <t>Dividends paid to non-controlling interest</t>
  </si>
  <si>
    <t>Transactions with non-controlling interests</t>
  </si>
  <si>
    <t>Payment for issuance of shares</t>
  </si>
  <si>
    <t>Loan repayments from other entities</t>
  </si>
  <si>
    <t>FX impact</t>
  </si>
  <si>
    <t>Cash at end of the year</t>
  </si>
  <si>
    <t>FY10</t>
  </si>
  <si>
    <t>FY11</t>
  </si>
  <si>
    <t>FY12</t>
  </si>
  <si>
    <t>FY13</t>
  </si>
  <si>
    <t>FY14</t>
  </si>
  <si>
    <t>FY15</t>
  </si>
  <si>
    <t>FY16</t>
  </si>
  <si>
    <t>FY17</t>
  </si>
  <si>
    <t>FY18</t>
  </si>
  <si>
    <t>FY19</t>
  </si>
  <si>
    <t>FY20</t>
  </si>
  <si>
    <t>FY21</t>
  </si>
  <si>
    <t>FY22</t>
  </si>
  <si>
    <t>FY23</t>
  </si>
  <si>
    <t>FY28E</t>
  </si>
  <si>
    <t>FY29E</t>
  </si>
  <si>
    <t>FY30E</t>
  </si>
  <si>
    <t>Prospectus</t>
  </si>
  <si>
    <t>Pro-forma</t>
  </si>
  <si>
    <t>FY09</t>
  </si>
  <si>
    <t>FY04</t>
  </si>
  <si>
    <t>FY05</t>
  </si>
  <si>
    <t>FY06</t>
  </si>
  <si>
    <t>FY07</t>
  </si>
  <si>
    <t>FY08</t>
  </si>
  <si>
    <t>VIC</t>
  </si>
  <si>
    <t>NSW</t>
  </si>
  <si>
    <t>QLD</t>
  </si>
  <si>
    <t>WA</t>
  </si>
  <si>
    <t>SA</t>
  </si>
  <si>
    <t>TAS</t>
  </si>
  <si>
    <t>ACT</t>
  </si>
  <si>
    <t>NT</t>
  </si>
  <si>
    <t>Total Stores by state</t>
  </si>
  <si>
    <t>Warehouse &amp; Distribution</t>
  </si>
  <si>
    <t>Marketing &amp; Sales</t>
  </si>
  <si>
    <t>Administration &amp; General</t>
  </si>
  <si>
    <t>1H25</t>
  </si>
  <si>
    <t>2H25</t>
  </si>
  <si>
    <t>1H24</t>
  </si>
  <si>
    <t>2H24</t>
  </si>
  <si>
    <t>2H26E</t>
  </si>
  <si>
    <t/>
  </si>
  <si>
    <t>Synergies</t>
  </si>
  <si>
    <t>CODB ex synergies</t>
  </si>
  <si>
    <t>CW Stores by state</t>
  </si>
  <si>
    <t>Amcal Stores by state</t>
  </si>
  <si>
    <t>Discount Drug Stores by state</t>
  </si>
  <si>
    <t>MyChemist Stores by state</t>
  </si>
  <si>
    <t>Ultra Stores by state</t>
  </si>
  <si>
    <t>Pipeline Stores by state</t>
  </si>
  <si>
    <t>International</t>
  </si>
  <si>
    <t>Total network sales</t>
  </si>
  <si>
    <t>Total revenue</t>
  </si>
  <si>
    <t>EBITDA Normalised</t>
  </si>
  <si>
    <t>EBIT Normalised</t>
  </si>
  <si>
    <t>Significant Items</t>
  </si>
  <si>
    <t>EBIT Statutory</t>
  </si>
  <si>
    <t>Lease D&amp;A</t>
  </si>
  <si>
    <t>Non Lease D&amp;A</t>
  </si>
  <si>
    <t>Least Interest</t>
  </si>
  <si>
    <t>Non-Lease Interest</t>
  </si>
  <si>
    <t>Net Interest Income / (Expense)</t>
  </si>
  <si>
    <t>PBT Normalised</t>
  </si>
  <si>
    <t>Growth %</t>
  </si>
  <si>
    <t>Income Tax Normalised</t>
  </si>
  <si>
    <t>Minority Interest</t>
  </si>
  <si>
    <t>NPAT Normalised</t>
  </si>
  <si>
    <t>NPAT Statutory</t>
  </si>
  <si>
    <t>Shares (Diluted)</t>
  </si>
  <si>
    <t>Tax Modelling</t>
  </si>
  <si>
    <t>Tax Normalised</t>
  </si>
  <si>
    <t>Tax Statutory</t>
  </si>
  <si>
    <t>Tax Rates</t>
  </si>
  <si>
    <t>Significant items</t>
  </si>
  <si>
    <t>PBT statutory</t>
  </si>
  <si>
    <t>Period End Shares</t>
  </si>
  <si>
    <t>Weighted Average Basic</t>
  </si>
  <si>
    <t>Weighted Average Diluted</t>
  </si>
  <si>
    <t>Ordinary Dividend</t>
  </si>
  <si>
    <t>Special Dividend</t>
  </si>
  <si>
    <t>Total Dividend Per Share</t>
  </si>
  <si>
    <t>Payout Ratio %</t>
  </si>
  <si>
    <t>Franking</t>
  </si>
  <si>
    <t>Franking Rate</t>
  </si>
  <si>
    <t>Franking Credits</t>
  </si>
  <si>
    <t>A$M</t>
  </si>
  <si>
    <t>P&amp;L</t>
  </si>
  <si>
    <t>Depreciation and Amortisation</t>
  </si>
  <si>
    <t>Change in Net Working Capital</t>
  </si>
  <si>
    <t>Tax Paid</t>
  </si>
  <si>
    <t>Net interest</t>
  </si>
  <si>
    <t>Net Operating Cash Flow</t>
  </si>
  <si>
    <t>CFS</t>
  </si>
  <si>
    <t>BS</t>
  </si>
  <si>
    <t>Check</t>
  </si>
  <si>
    <t>Balance Sheet Metrics</t>
  </si>
  <si>
    <t>Receivables</t>
  </si>
  <si>
    <t>% of Sales</t>
  </si>
  <si>
    <t>Receivables Days</t>
  </si>
  <si>
    <t>Inventory</t>
  </si>
  <si>
    <t>Inventory Days</t>
  </si>
  <si>
    <t>Payables</t>
  </si>
  <si>
    <t>Payables Days</t>
  </si>
  <si>
    <t>Net Working Capital</t>
  </si>
  <si>
    <t>Change YoY %</t>
  </si>
  <si>
    <t>Net Debt</t>
  </si>
  <si>
    <t>Change in Net Debt</t>
  </si>
  <si>
    <t>Lease Modelling Adjustment</t>
  </si>
  <si>
    <t>% of Network Sales</t>
  </si>
  <si>
    <t>Chg WC</t>
  </si>
  <si>
    <t>OCF</t>
  </si>
  <si>
    <t>Capex</t>
  </si>
  <si>
    <t>Lease Repayment</t>
  </si>
  <si>
    <t>Proceeds from business sales</t>
  </si>
  <si>
    <t>Acquisitions</t>
  </si>
  <si>
    <t>Fixed charges coverage ratio</t>
  </si>
  <si>
    <t>Lease expense (interest + repayments)</t>
  </si>
  <si>
    <t>Non-lease interest</t>
  </si>
  <si>
    <t>Total fixed charges</t>
  </si>
  <si>
    <t>EBIT + lease expense</t>
  </si>
  <si>
    <t>AUD</t>
  </si>
  <si>
    <t>Sales</t>
  </si>
  <si>
    <t>LFL Sales Growth %</t>
  </si>
  <si>
    <t>Store Growth %</t>
  </si>
  <si>
    <t>Gross Profit</t>
  </si>
  <si>
    <t>Gross Margin</t>
  </si>
  <si>
    <t>Growth  %</t>
  </si>
  <si>
    <t>EBITDA Margin</t>
  </si>
  <si>
    <t>EBIT Margin</t>
  </si>
  <si>
    <t>Tax rate</t>
  </si>
  <si>
    <t>AUD EUR</t>
  </si>
  <si>
    <t>Stores</t>
  </si>
  <si>
    <t>Sales/store</t>
  </si>
  <si>
    <t>.</t>
  </si>
  <si>
    <t>PBT Margin</t>
  </si>
  <si>
    <t>Lease interest</t>
  </si>
  <si>
    <t>Staff costs</t>
  </si>
  <si>
    <t>Net Debt / (cash)</t>
  </si>
  <si>
    <t>Other costs</t>
  </si>
  <si>
    <t>Leases</t>
  </si>
  <si>
    <t>Non-leases</t>
  </si>
  <si>
    <t>Shares</t>
  </si>
  <si>
    <t>EPS</t>
  </si>
  <si>
    <t>Rating</t>
  </si>
  <si>
    <t>Target Price/ Target price period/ Upside/downside to target price</t>
  </si>
  <si>
    <t>M&amp;A probability (1 = high, 3 = low)</t>
  </si>
  <si>
    <t>Market Cap (US$ mn) (price as of ______):</t>
  </si>
  <si>
    <t>Current shares outstanding (mn):</t>
  </si>
  <si>
    <t>Currency:</t>
  </si>
  <si>
    <t>Current Publication Date:</t>
  </si>
  <si>
    <t>Previous Publication Date:</t>
  </si>
  <si>
    <t xml:space="preserve">Team Contacts: </t>
  </si>
  <si>
    <t>Lead Analyst</t>
  </si>
  <si>
    <t>Peter Marks, peter.marks@gs.com, +61 2 9321 8846, Goldman Sachs Australia Pty Ltd</t>
  </si>
  <si>
    <t>Consumer Team</t>
  </si>
  <si>
    <t>James Leigh, james.leigh@gs.com, +61 2 , Goldman Sachs Australia Pty Ltd</t>
  </si>
  <si>
    <t>Rayanne Haidar, rayanne.haidar@gs.com +61 2 9321 8739, Goldman Sachs Australia Pty Ltd</t>
  </si>
  <si>
    <t>Sigma Healthcare (SIG.AX)</t>
  </si>
  <si>
    <t>Price target</t>
  </si>
  <si>
    <t>Current share price</t>
  </si>
  <si>
    <t>Upside / downside</t>
  </si>
  <si>
    <t>Col K</t>
  </si>
  <si>
    <t xml:space="preserve">Cash </t>
  </si>
  <si>
    <t>TR</t>
  </si>
  <si>
    <t>Trade receivables</t>
  </si>
  <si>
    <t>Other current assets</t>
  </si>
  <si>
    <t>CA</t>
  </si>
  <si>
    <t>Current assets</t>
  </si>
  <si>
    <t>Lease assets</t>
  </si>
  <si>
    <t>Intangibles</t>
  </si>
  <si>
    <t>Other non current assets</t>
  </si>
  <si>
    <t>NCA</t>
  </si>
  <si>
    <t>Non-current assets</t>
  </si>
  <si>
    <t>TP</t>
  </si>
  <si>
    <t>Trade payables</t>
  </si>
  <si>
    <t>CL</t>
  </si>
  <si>
    <t>Current liabilities</t>
  </si>
  <si>
    <t>NC Borrowings</t>
  </si>
  <si>
    <t>Total EBIT</t>
  </si>
  <si>
    <t>Other non-current liabilities</t>
  </si>
  <si>
    <t>NCL</t>
  </si>
  <si>
    <t>Non-current liabilities</t>
  </si>
  <si>
    <t>Contributed Equity</t>
  </si>
  <si>
    <t xml:space="preserve">Tax </t>
  </si>
  <si>
    <t>Retained Profits</t>
  </si>
  <si>
    <t xml:space="preserve">NPAT </t>
  </si>
  <si>
    <t>Minorities</t>
  </si>
  <si>
    <t>Shares (m)</t>
  </si>
  <si>
    <t>Minority Interests</t>
  </si>
  <si>
    <t>Total Equity</t>
  </si>
  <si>
    <t>DPS</t>
  </si>
  <si>
    <t>DPS total</t>
  </si>
  <si>
    <t>Net debt ex leases</t>
  </si>
  <si>
    <t>Divisional Key Metrics</t>
  </si>
  <si>
    <t>Cash Flow</t>
  </si>
  <si>
    <t>Group Key Metrics</t>
  </si>
  <si>
    <t>Change in net working capital</t>
  </si>
  <si>
    <t>EBIT Growth</t>
  </si>
  <si>
    <t>NPAT Growth</t>
  </si>
  <si>
    <t>Operating cashflow</t>
  </si>
  <si>
    <t>Net capex</t>
  </si>
  <si>
    <t>EPS Growth</t>
  </si>
  <si>
    <t>RoE</t>
  </si>
  <si>
    <t>Net debt / EBIT</t>
  </si>
  <si>
    <t>Net debt / EBITDA</t>
  </si>
  <si>
    <t>FCF</t>
  </si>
  <si>
    <t>Valuation</t>
  </si>
  <si>
    <t>Dividends paid</t>
  </si>
  <si>
    <t>P/E</t>
  </si>
  <si>
    <t>Other financing cashflows</t>
  </si>
  <si>
    <t>Div Yield</t>
  </si>
  <si>
    <t>Payout Ratio</t>
  </si>
  <si>
    <t>FCF post financing</t>
  </si>
  <si>
    <t>Change in net debt</t>
  </si>
  <si>
    <t>FCF Yield</t>
  </si>
  <si>
    <t>Goldman Sachs | Sigma Healthcare | SIG-AU</t>
  </si>
  <si>
    <t>Australian Franchise Network stores, comprising  Chemist Warehouse branded stores, My Chemist branded stores, and Pipeline Stores</t>
  </si>
  <si>
    <t>31. As at 30 June 2024, there were 567 Chemist Warehouse Australian Franchise Network stores, comprising 517 Chemist Warehouse branded stores, 21 My Chemist branded stores, and 29 Pipeline Stores, and 313 Sigma franchise stores, comprising 209 Amcal branded stores, and 104 Discount Drug Stores branded stores. In September 2022, Sigma began a retail brand consolidation process to simplify its retail strategy by seeking to convert Guardian and PharmaSave branded stores to Amcal and Discount Drug Stores. Sigma closed the Guardian brand with effect from 31 January 2024. Since September 2022, Sigma no longer offers the PharmaSave brand to new members. As at 30 June 2024, there were 37 PharmaSave branded stores, which are not included in the Merged Group’s Retail Network figures presented. Sigma continues to provide support to PharmaSave stores in accordance with existing agreements</t>
  </si>
  <si>
    <t>Network Sales</t>
  </si>
  <si>
    <t>Total Network Sales</t>
  </si>
  <si>
    <t xml:space="preserve">Revenue </t>
  </si>
  <si>
    <t>CoDB</t>
  </si>
  <si>
    <t>LFL Sales Growth</t>
  </si>
  <si>
    <t>Total Stores</t>
  </si>
  <si>
    <t>Store Count</t>
  </si>
  <si>
    <t>Australia LFL</t>
  </si>
  <si>
    <t>International LFL</t>
  </si>
  <si>
    <t>Balance Sheet</t>
  </si>
  <si>
    <t>Total Chemist Warehouse Australian Network Franchise Stores</t>
  </si>
  <si>
    <t>Total LFL Sales Growth %</t>
  </si>
  <si>
    <t>Other %</t>
  </si>
  <si>
    <t>Total Dubai Stores</t>
  </si>
  <si>
    <t>Australia Total Stores (Chemist Warehouse Australian Franchise Network Stores)</t>
  </si>
  <si>
    <t>Net Change in Chemist Warehouse Network Stores by State</t>
  </si>
  <si>
    <t>Total Chemist Warehouse Network Stores by State</t>
  </si>
  <si>
    <t>Total Net Change</t>
  </si>
  <si>
    <t>Network Sales Modelling</t>
  </si>
  <si>
    <t>Total Ireland Stores</t>
  </si>
  <si>
    <t>Group Store Count</t>
  </si>
  <si>
    <t>Net Change in Store Count</t>
  </si>
  <si>
    <t>Total International Store Count</t>
  </si>
  <si>
    <t>Average Sales per Store</t>
  </si>
  <si>
    <t>Total Average Sales per Store</t>
  </si>
  <si>
    <t>Summary Network Performance</t>
  </si>
  <si>
    <t>Total International Network Sales</t>
  </si>
  <si>
    <t>Australia Network sales</t>
  </si>
  <si>
    <t>Total New Zealand Stores</t>
  </si>
  <si>
    <t>Group P&amp;L Modelling</t>
  </si>
  <si>
    <t>Sale of Goods</t>
  </si>
  <si>
    <t>Other Revenue</t>
  </si>
  <si>
    <t>Equity Accounted Profits and Other Income</t>
  </si>
  <si>
    <t xml:space="preserve">Distribution Centre Volumes </t>
  </si>
  <si>
    <t>Other Key Metrics</t>
  </si>
  <si>
    <t>Penetration %</t>
  </si>
  <si>
    <t>Australia Online Sales</t>
  </si>
  <si>
    <t>Significant Items / Other</t>
  </si>
  <si>
    <t>EPS Normalised (Diluted)</t>
  </si>
  <si>
    <t>Operating Cash Flow</t>
  </si>
  <si>
    <t>Net Cash from Operating Activities</t>
  </si>
  <si>
    <t>Net Cash from Investing Activities</t>
  </si>
  <si>
    <t>Net Cash from Financing Activities</t>
  </si>
  <si>
    <t>Cash at Beginning of the Year</t>
  </si>
  <si>
    <t>Net Change in Cash</t>
  </si>
  <si>
    <t>Assets</t>
  </si>
  <si>
    <t>Liabilities</t>
  </si>
  <si>
    <t>Total Current Assets</t>
  </si>
  <si>
    <t>Total Non-Current Assets</t>
  </si>
  <si>
    <t>Total Assets</t>
  </si>
  <si>
    <t>Total Current Liabilities</t>
  </si>
  <si>
    <t>Total Non-Current Liabilities</t>
  </si>
  <si>
    <t>Total Liabilities</t>
  </si>
  <si>
    <t>Net Assets</t>
  </si>
  <si>
    <t>Victoria</t>
  </si>
  <si>
    <t>New South Wales</t>
  </si>
  <si>
    <t>Queensland</t>
  </si>
  <si>
    <t>Western Australia</t>
  </si>
  <si>
    <t>South Australia</t>
  </si>
  <si>
    <t>Tasmania</t>
  </si>
  <si>
    <t>Australian Capital Territory</t>
  </si>
  <si>
    <t>Northern Territory</t>
  </si>
  <si>
    <t>Sales/Store</t>
  </si>
  <si>
    <t>Shares Diluted</t>
  </si>
  <si>
    <t>Discounted Cash Flow</t>
  </si>
  <si>
    <t>Weighting</t>
  </si>
  <si>
    <t>Value (A$m)</t>
  </si>
  <si>
    <t>Implied Value Per Share</t>
  </si>
  <si>
    <t>Upside/Downside to Px</t>
  </si>
  <si>
    <t>P/E Multiple Valuation</t>
  </si>
  <si>
    <t>EPS (cps)</t>
  </si>
  <si>
    <t>Applied Multiple (x)</t>
  </si>
  <si>
    <t>Target Price</t>
  </si>
  <si>
    <t>FY31E</t>
  </si>
  <si>
    <t>FY32E</t>
  </si>
  <si>
    <t>FY33E</t>
  </si>
  <si>
    <t>FY34E</t>
  </si>
  <si>
    <t>FY35E</t>
  </si>
  <si>
    <t>Less: Net Capex</t>
  </si>
  <si>
    <t>Less: Acquisitions</t>
  </si>
  <si>
    <t>Free Cash Flow pre Tax</t>
  </si>
  <si>
    <t>Less: Tax</t>
  </si>
  <si>
    <t>Free Cash Flow</t>
  </si>
  <si>
    <t>Timing</t>
  </si>
  <si>
    <t>Discount Factor</t>
  </si>
  <si>
    <t>Discounted FCF</t>
  </si>
  <si>
    <t>DCF Assumptions</t>
  </si>
  <si>
    <t>DCF Calculation</t>
  </si>
  <si>
    <t>Terminal Growth Rate</t>
  </si>
  <si>
    <t>Present Value of FCF</t>
  </si>
  <si>
    <t>Risk Free Rate</t>
  </si>
  <si>
    <t>Terminal Value</t>
  </si>
  <si>
    <t>Beta</t>
  </si>
  <si>
    <t>Total EV</t>
  </si>
  <si>
    <t>Market Equity Risk Premium</t>
  </si>
  <si>
    <t>Less: Net Debt</t>
  </si>
  <si>
    <t>Cost of Equity</t>
  </si>
  <si>
    <t>Less Minority Interest</t>
  </si>
  <si>
    <t xml:space="preserve">Cost of Debt </t>
  </si>
  <si>
    <t>Equity Value</t>
  </si>
  <si>
    <t>Tax Rate</t>
  </si>
  <si>
    <t>D/E</t>
  </si>
  <si>
    <t>Equity Value per Share</t>
  </si>
  <si>
    <t>WACC</t>
  </si>
  <si>
    <t>Current Share Price</t>
  </si>
  <si>
    <t>Australia Sales</t>
  </si>
  <si>
    <t>Ireland Sales</t>
  </si>
  <si>
    <t>China Sales</t>
  </si>
  <si>
    <t>Dubai Sales</t>
  </si>
  <si>
    <t>Other Sales</t>
  </si>
  <si>
    <t>NZ Sales</t>
  </si>
  <si>
    <t>Australia Stores</t>
  </si>
  <si>
    <t>Ireland Stores</t>
  </si>
  <si>
    <t>China Stores</t>
  </si>
  <si>
    <t>Dubai Stores</t>
  </si>
  <si>
    <t>Other Stores</t>
  </si>
  <si>
    <t>NZ Stores</t>
  </si>
  <si>
    <t>International Sales</t>
  </si>
  <si>
    <t>VALUATION SUMMARY Sigma Healthcare (SIG.AX)</t>
  </si>
  <si>
    <t>DISCOUNTED CASH FLOW MODEL Sigma Healthcare (SIG.AX)</t>
  </si>
  <si>
    <t>DISCOUNTED CASH FLOW MODEL  Sigma Healthcare (SIG.AX)</t>
  </si>
  <si>
    <t>Goldman Sachs | Sigma Healthcare Valuation | SIG-AU</t>
  </si>
  <si>
    <t>Lease payments received</t>
  </si>
  <si>
    <t>Non-Lease Capex</t>
  </si>
  <si>
    <t>Total network sales growth</t>
  </si>
  <si>
    <t>Dividends</t>
  </si>
  <si>
    <t>Change in ND</t>
  </si>
  <si>
    <t>Lease Receivables</t>
  </si>
  <si>
    <t>Other CA</t>
  </si>
  <si>
    <t>Equity</t>
  </si>
  <si>
    <t>RoU</t>
  </si>
  <si>
    <t>Lease NCA</t>
  </si>
  <si>
    <t>Lease CA</t>
  </si>
  <si>
    <t>Other NCA</t>
  </si>
  <si>
    <t>Current Borrowings</t>
  </si>
  <si>
    <t>Lease CL</t>
  </si>
  <si>
    <t>Other NCL</t>
  </si>
  <si>
    <t>Total Revenue</t>
  </si>
  <si>
    <t>Other FCF</t>
  </si>
  <si>
    <t>Rebranding My Chemist into Amcal and DDS (FY25 result)</t>
  </si>
  <si>
    <t>Implied Aus stores</t>
  </si>
  <si>
    <t>Total stores</t>
  </si>
  <si>
    <t>NZ</t>
  </si>
  <si>
    <t>CW</t>
  </si>
  <si>
    <t>Implied other</t>
  </si>
  <si>
    <t>Pipeline</t>
  </si>
  <si>
    <t>MyChemist</t>
  </si>
  <si>
    <t>35 new Chemist Warehouse stores were opened during the year, and we had the full year benefit of the new stores, which opened partway through FY 2024</t>
  </si>
  <si>
    <t>This implies 19 in Australia given 16 were opened internationally</t>
  </si>
  <si>
    <t>Australia Store Count Tracker</t>
  </si>
  <si>
    <t>Fully or partly owned, private label and licenced brands</t>
  </si>
  <si>
    <t>exclusive brands and products</t>
  </si>
  <si>
    <t>CODB inc synergies</t>
  </si>
  <si>
    <t>Ireland CODB growth contribution</t>
  </si>
  <si>
    <t>EBIT Margin % network sales</t>
  </si>
  <si>
    <t>FY37E</t>
  </si>
  <si>
    <t>FY36E</t>
  </si>
  <si>
    <t>FY38E</t>
  </si>
  <si>
    <t>FY39E</t>
  </si>
  <si>
    <t>FY40E</t>
  </si>
  <si>
    <t>FY41E</t>
  </si>
  <si>
    <t>FY42E</t>
  </si>
  <si>
    <t>FY43E</t>
  </si>
  <si>
    <t>FY45E</t>
  </si>
  <si>
    <t>CW + MyChemist + Pipeline Stores by state</t>
  </si>
  <si>
    <t>Driven by 11 MyChemist rebranding to Amcal and DDS (amcal +9 and DDS +1)</t>
  </si>
  <si>
    <t>1 opening offset by one MyChemist decline</t>
  </si>
  <si>
    <t>Australia total adjusted for rebranding &amp; Optometrist Warehouse</t>
  </si>
  <si>
    <t>Australia Stores inc. legacy MyChemist and Opt Warehouse</t>
  </si>
  <si>
    <t>% of network sales</t>
  </si>
  <si>
    <t>Chemist Warehouse</t>
  </si>
  <si>
    <t>Amcal</t>
  </si>
  <si>
    <t>Discount Drug Stores</t>
  </si>
  <si>
    <t>Ultra Beauty Stores</t>
  </si>
  <si>
    <t>Col D</t>
  </si>
  <si>
    <t>Shares EOP</t>
  </si>
  <si>
    <t>Revenue Growth</t>
  </si>
  <si>
    <t>Network Sales Growth</t>
  </si>
  <si>
    <t>Total owned and exclusive brand sales Australia</t>
  </si>
  <si>
    <t>Equity accounted profits</t>
  </si>
  <si>
    <t>Minority interest</t>
  </si>
  <si>
    <t>CODB exc. synergies</t>
  </si>
  <si>
    <t>Buy</t>
  </si>
  <si>
    <t>Net leases</t>
  </si>
  <si>
    <t>Net Lease repayments</t>
  </si>
  <si>
    <t>Net lease payments</t>
  </si>
  <si>
    <t>Net loands provided</t>
  </si>
  <si>
    <t>Net loans provided</t>
  </si>
  <si>
    <t>Add: D&amp;A non leases</t>
  </si>
  <si>
    <t>D&amp;A non lease</t>
  </si>
  <si>
    <t>Less: interest leases</t>
  </si>
  <si>
    <t>Interest leases</t>
  </si>
  <si>
    <t>% of EBIT</t>
  </si>
  <si>
    <t>Ireland Model Summary AUD $m</t>
  </si>
  <si>
    <t>EBIT to Network Sales Margin</t>
  </si>
  <si>
    <t>Recommendation</t>
  </si>
  <si>
    <t>BUY</t>
  </si>
  <si>
    <t>Margin %</t>
  </si>
  <si>
    <t>30% Minority Interest</t>
  </si>
  <si>
    <t>Ireland EUR</t>
  </si>
  <si>
    <t>Final Price Target</t>
  </si>
  <si>
    <t>MULTIPLES VALUATION Sigma Healthcare (SIG.AX) (Check)</t>
  </si>
  <si>
    <t>A$3.5/ 12 Month/ 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</si>
</sst>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mmmm\ dd\.\ yyyy"/>
    <numFmt numFmtId="168" formatCode="0.0"/>
    <numFmt numFmtId="169" formatCode="\A&quot;$&quot;0.00"/>
    <numFmt numFmtId="170" formatCode="&quot;At current px: &quot;\A&quot;$&quot;#,##0.00"/>
    <numFmt numFmtId="171" formatCode="&quot;Valuation date: &quot;[$-409]d\-mmm\-yy;@"/>
    <numFmt numFmtId="172" formatCode="#,##0.0_);\(#,##0.0\)"/>
    <numFmt numFmtId="173" formatCode="#,##0.0&quot; &quot;;\(#,##0.0\)"/>
    <numFmt numFmtId="174" formatCode="#,##0.0000"/>
    <numFmt numFmtId="175" formatCode="0.0\x"/>
    <numFmt numFmtId="176" formatCode="\A&quot;$&quot;0.0"/>
    <numFmt numFmtId="177" formatCode="#,##0.0"/>
    <numFmt numFmtId="180" formatCode="_(* #,##0.000_);_(* \(#,##0.000\);_(* &quot;-&quot;??_);_(@_)"/>
  </numFmts>
  <fonts count="54" x14ac:knownFonts="1">
    <font>
      <sz val="11"/>
      <color theme="1"/>
      <name val="Aptos Narrow"/>
      <family val="2"/>
      <scheme val="minor"/>
    </font>
    <font>
      <sz val="11"/>
      <color theme="1"/>
      <name val="Aptos Narrow"/>
      <family val="2"/>
      <scheme val="minor"/>
    </font>
    <font>
      <sz val="8"/>
      <name val="Aptos Narrow"/>
      <family val="2"/>
      <scheme val="minor"/>
    </font>
    <font>
      <b/>
      <sz val="10"/>
      <color theme="1"/>
      <name val="Arial"/>
      <family val="2"/>
    </font>
    <font>
      <sz val="10"/>
      <color theme="1"/>
      <name val="Arial"/>
      <family val="2"/>
    </font>
    <font>
      <i/>
      <sz val="10"/>
      <color theme="1"/>
      <name val="Arial"/>
      <family val="2"/>
    </font>
    <font>
      <sz val="10"/>
      <name val="Arial"/>
      <family val="2"/>
    </font>
    <font>
      <b/>
      <sz val="10"/>
      <color theme="0"/>
      <name val="Arial"/>
      <family val="2"/>
    </font>
    <font>
      <sz val="10"/>
      <color rgb="FF0000FF"/>
      <name val="Arial"/>
      <family val="2"/>
    </font>
    <font>
      <sz val="10"/>
      <color rgb="FFFF0000"/>
      <name val="Arial"/>
      <family val="2"/>
    </font>
    <font>
      <i/>
      <sz val="10"/>
      <color rgb="FFFF0000"/>
      <name val="Arial"/>
      <family val="2"/>
    </font>
    <font>
      <b/>
      <sz val="10"/>
      <name val="Arial"/>
      <family val="2"/>
    </font>
    <font>
      <b/>
      <sz val="10"/>
      <color rgb="FF0000FF"/>
      <name val="Arial"/>
      <family val="2"/>
    </font>
    <font>
      <b/>
      <sz val="10"/>
      <color rgb="FF0000CC"/>
      <name val="Arial"/>
      <family val="2"/>
    </font>
    <font>
      <sz val="10"/>
      <color rgb="FF0000CC"/>
      <name val="Arial"/>
      <family val="2"/>
    </font>
    <font>
      <b/>
      <sz val="10"/>
      <color rgb="FFFF0000"/>
      <name val="Arial"/>
      <family val="2"/>
    </font>
    <font>
      <sz val="8"/>
      <color theme="1"/>
      <name val="Arial"/>
      <family val="2"/>
    </font>
    <font>
      <b/>
      <sz val="8"/>
      <color theme="0"/>
      <name val="Arial"/>
      <family val="2"/>
    </font>
    <font>
      <b/>
      <sz val="8"/>
      <color theme="1"/>
      <name val="Arial"/>
      <family val="2"/>
    </font>
    <font>
      <b/>
      <sz val="8"/>
      <color rgb="FF0000FF"/>
      <name val="Arial"/>
      <family val="2"/>
    </font>
    <font>
      <sz val="8"/>
      <color rgb="FFFF0000"/>
      <name val="Arial"/>
      <family val="2"/>
    </font>
    <font>
      <sz val="8"/>
      <color rgb="FF0000CC"/>
      <name val="Arial"/>
      <family val="2"/>
    </font>
    <font>
      <sz val="8"/>
      <name val="Arial"/>
      <family val="2"/>
    </font>
    <font>
      <b/>
      <sz val="8"/>
      <color rgb="FF0000CC"/>
      <name val="Arial"/>
      <family val="2"/>
    </font>
    <font>
      <b/>
      <sz val="8"/>
      <color rgb="FFFF0000"/>
      <name val="Arial"/>
      <family val="2"/>
    </font>
    <font>
      <b/>
      <sz val="8"/>
      <name val="Arial"/>
      <family val="2"/>
    </font>
    <font>
      <sz val="10.5"/>
      <color theme="1"/>
      <name val="Calibri"/>
      <family val="2"/>
    </font>
    <font>
      <sz val="10"/>
      <color theme="0"/>
      <name val="Arial"/>
      <family val="2"/>
    </font>
    <font>
      <sz val="10"/>
      <name val="Verdana"/>
      <family val="2"/>
    </font>
    <font>
      <sz val="10"/>
      <name val="MS Sans Serif"/>
      <family val="2"/>
    </font>
    <font>
      <b/>
      <i/>
      <sz val="10"/>
      <color theme="1"/>
      <name val="Arial"/>
      <family val="2"/>
    </font>
    <font>
      <b/>
      <sz val="10"/>
      <color theme="4"/>
      <name val="Arial"/>
      <family val="2"/>
    </font>
    <font>
      <sz val="9"/>
      <color theme="1"/>
      <name val="Segoe UI"/>
      <family val="2"/>
    </font>
    <font>
      <b/>
      <sz val="11"/>
      <color theme="0"/>
      <name val="Arial"/>
      <family val="2"/>
    </font>
    <font>
      <sz val="11"/>
      <color theme="1"/>
      <name val="Arial"/>
      <family val="2"/>
    </font>
    <font>
      <b/>
      <sz val="11"/>
      <color theme="1"/>
      <name val="Arial"/>
      <family val="2"/>
    </font>
    <font>
      <b/>
      <sz val="11"/>
      <name val="Arial"/>
      <family val="2"/>
    </font>
    <font>
      <b/>
      <sz val="11"/>
      <color rgb="FF0000FF"/>
      <name val="Arial"/>
      <family val="2"/>
    </font>
    <font>
      <sz val="11"/>
      <name val="Arial"/>
      <family val="2"/>
    </font>
    <font>
      <i/>
      <sz val="11"/>
      <color theme="1"/>
      <name val="Arial"/>
      <family val="2"/>
    </font>
    <font>
      <sz val="11"/>
      <color theme="0"/>
      <name val="Arial"/>
      <family val="2"/>
    </font>
    <font>
      <b/>
      <sz val="12"/>
      <color theme="0"/>
      <name val="Arial"/>
      <family val="2"/>
    </font>
    <font>
      <sz val="12"/>
      <color theme="0"/>
      <name val="Arial"/>
      <family val="2"/>
    </font>
    <font>
      <sz val="12"/>
      <color theme="1"/>
      <name val="Arial"/>
      <family val="2"/>
    </font>
    <font>
      <b/>
      <sz val="12"/>
      <color theme="1"/>
      <name val="Arial"/>
      <family val="2"/>
    </font>
    <font>
      <sz val="12"/>
      <color rgb="FF0000FF"/>
      <name val="Arial"/>
      <family val="2"/>
    </font>
    <font>
      <sz val="12"/>
      <name val="Arial"/>
      <family val="2"/>
    </font>
    <font>
      <b/>
      <sz val="12"/>
      <color rgb="FF0000FF"/>
      <name val="Arial"/>
      <family val="2"/>
    </font>
    <font>
      <b/>
      <sz val="12"/>
      <color theme="4"/>
      <name val="Arial"/>
      <family val="2"/>
    </font>
    <font>
      <b/>
      <sz val="12"/>
      <name val="Arial"/>
      <family val="2"/>
    </font>
    <font>
      <sz val="12"/>
      <color rgb="FFFF0000"/>
      <name val="Arial"/>
      <family val="2"/>
    </font>
    <font>
      <b/>
      <sz val="12"/>
      <color rgb="FFFF0000"/>
      <name val="Arial"/>
      <family val="2"/>
    </font>
    <font>
      <sz val="10"/>
      <color theme="1"/>
      <name val="Calibri"/>
      <family val="2"/>
    </font>
    <font>
      <b/>
      <sz val="11"/>
      <color theme="8"/>
      <name val="Arial"/>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59999389629810485"/>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20">
    <xf numFmtId="0" fontId="0" fillId="0" borderId="0"/>
    <xf numFmtId="43" fontId="1" fillId="0" borderId="0" applyFont="0" applyFill="0" applyBorder="0" applyAlignment="0" applyProtection="0"/>
    <xf numFmtId="9" fontId="1" fillId="0" borderId="0" applyFont="0" applyFill="0" applyBorder="0" applyAlignment="0" applyProtection="0"/>
    <xf numFmtId="0" fontId="26" fillId="0" borderId="0"/>
    <xf numFmtId="0" fontId="6" fillId="0" borderId="0"/>
    <xf numFmtId="9" fontId="28" fillId="0" borderId="0" applyFont="0" applyFill="0" applyBorder="0" applyAlignment="0" applyProtection="0"/>
    <xf numFmtId="0" fontId="1" fillId="0" borderId="0"/>
    <xf numFmtId="0" fontId="28" fillId="0" borderId="0"/>
    <xf numFmtId="9" fontId="29" fillId="0" borderId="0" applyFont="0" applyFill="0" applyBorder="0" applyAlignment="0" applyProtection="0"/>
    <xf numFmtId="0" fontId="1" fillId="0" borderId="0"/>
    <xf numFmtId="0" fontId="1" fillId="0" borderId="0"/>
    <xf numFmtId="4" fontId="28" fillId="0" borderId="0" applyFont="0" applyFill="0" applyBorder="0" applyAlignment="0" applyProtection="0"/>
    <xf numFmtId="0" fontId="52"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cellStyleXfs>
  <cellXfs count="382">
    <xf numFmtId="0" fontId="0" fillId="0" borderId="0" xfId="0"/>
    <xf numFmtId="0" fontId="3" fillId="3" borderId="1" xfId="0" applyFont="1" applyFill="1" applyBorder="1"/>
    <xf numFmtId="0" fontId="4" fillId="4" borderId="0" xfId="0" applyFont="1" applyFill="1"/>
    <xf numFmtId="0" fontId="3" fillId="4" borderId="0" xfId="0" applyFont="1" applyFill="1"/>
    <xf numFmtId="0" fontId="5" fillId="4" borderId="0" xfId="0" applyFont="1" applyFill="1"/>
    <xf numFmtId="0" fontId="6" fillId="4" borderId="0" xfId="0" applyFont="1" applyFill="1" applyAlignment="1">
      <alignment vertical="center"/>
    </xf>
    <xf numFmtId="0" fontId="7" fillId="5" borderId="0" xfId="0" applyFont="1" applyFill="1" applyAlignment="1">
      <alignment horizontal="right" vertical="center"/>
    </xf>
    <xf numFmtId="3" fontId="3" fillId="3" borderId="1" xfId="0" applyNumberFormat="1" applyFont="1" applyFill="1" applyBorder="1" applyAlignment="1">
      <alignment horizontal="right" vertical="center"/>
    </xf>
    <xf numFmtId="0" fontId="7" fillId="5" borderId="0" xfId="0" applyFont="1" applyFill="1"/>
    <xf numFmtId="0" fontId="7" fillId="5" borderId="0" xfId="0" applyFont="1" applyFill="1" applyAlignment="1">
      <alignment horizontal="left"/>
    </xf>
    <xf numFmtId="0" fontId="7" fillId="5" borderId="0" xfId="0" quotePrefix="1" applyFont="1" applyFill="1" applyAlignment="1">
      <alignment vertical="center"/>
    </xf>
    <xf numFmtId="0" fontId="7" fillId="5" borderId="0" xfId="0" applyFont="1" applyFill="1" applyAlignment="1">
      <alignment horizontal="right"/>
    </xf>
    <xf numFmtId="3" fontId="8" fillId="4" borderId="0" xfId="0" applyNumberFormat="1" applyFont="1" applyFill="1" applyAlignment="1">
      <alignment horizontal="right" vertical="center"/>
    </xf>
    <xf numFmtId="3" fontId="6" fillId="6" borderId="0" xfId="0" applyNumberFormat="1" applyFont="1" applyFill="1" applyAlignment="1">
      <alignment horizontal="right" vertical="center"/>
    </xf>
    <xf numFmtId="3" fontId="9" fillId="6" borderId="0" xfId="0" applyNumberFormat="1" applyFont="1" applyFill="1" applyAlignment="1">
      <alignment horizontal="right" vertical="center"/>
    </xf>
    <xf numFmtId="0" fontId="10" fillId="4" borderId="0" xfId="0" applyFont="1" applyFill="1" applyAlignment="1">
      <alignment vertical="center"/>
    </xf>
    <xf numFmtId="3" fontId="10" fillId="4" borderId="0" xfId="0" applyNumberFormat="1" applyFont="1" applyFill="1" applyAlignment="1">
      <alignment horizontal="right" vertical="center"/>
    </xf>
    <xf numFmtId="0" fontId="11" fillId="4" borderId="0" xfId="0" applyFont="1" applyFill="1" applyAlignment="1">
      <alignment vertical="center"/>
    </xf>
    <xf numFmtId="3" fontId="12" fillId="4" borderId="0" xfId="0" applyNumberFormat="1" applyFont="1" applyFill="1" applyAlignment="1">
      <alignment horizontal="right" vertical="center"/>
    </xf>
    <xf numFmtId="3" fontId="11" fillId="6" borderId="0" xfId="0" applyNumberFormat="1" applyFont="1" applyFill="1" applyAlignment="1">
      <alignment horizontal="right" vertical="center"/>
    </xf>
    <xf numFmtId="3" fontId="6" fillId="4" borderId="0" xfId="0" applyNumberFormat="1" applyFont="1" applyFill="1" applyAlignment="1">
      <alignment horizontal="right" vertical="center"/>
    </xf>
    <xf numFmtId="164" fontId="5" fillId="4" borderId="0" xfId="2" applyNumberFormat="1" applyFont="1" applyFill="1" applyAlignment="1">
      <alignment horizontal="right" vertical="center"/>
    </xf>
    <xf numFmtId="1" fontId="4" fillId="4" borderId="0" xfId="0" applyNumberFormat="1" applyFont="1" applyFill="1" applyAlignment="1">
      <alignment horizontal="right" vertical="center"/>
    </xf>
    <xf numFmtId="0" fontId="4" fillId="4" borderId="0" xfId="0" applyFont="1" applyFill="1" applyAlignment="1">
      <alignment horizontal="right" vertical="center"/>
    </xf>
    <xf numFmtId="3" fontId="3" fillId="4" borderId="0" xfId="0" applyNumberFormat="1" applyFont="1" applyFill="1" applyAlignment="1">
      <alignment horizontal="right" vertical="center"/>
    </xf>
    <xf numFmtId="3" fontId="4" fillId="4" borderId="0" xfId="0" applyNumberFormat="1" applyFont="1" applyFill="1" applyAlignment="1">
      <alignment horizontal="right" vertical="center"/>
    </xf>
    <xf numFmtId="3" fontId="10" fillId="6" borderId="0" xfId="0" applyNumberFormat="1" applyFont="1" applyFill="1" applyAlignment="1">
      <alignment horizontal="right" vertical="center"/>
    </xf>
    <xf numFmtId="3" fontId="11" fillId="4" borderId="0" xfId="0" applyNumberFormat="1" applyFont="1" applyFill="1" applyAlignment="1">
      <alignment horizontal="right" vertical="center"/>
    </xf>
    <xf numFmtId="0" fontId="5" fillId="0" borderId="0" xfId="0" applyFont="1"/>
    <xf numFmtId="0" fontId="4" fillId="0" borderId="0" xfId="0" applyFont="1"/>
    <xf numFmtId="0" fontId="3" fillId="0" borderId="0" xfId="0" applyFont="1"/>
    <xf numFmtId="164" fontId="4" fillId="4" borderId="0" xfId="0" applyNumberFormat="1" applyFont="1" applyFill="1"/>
    <xf numFmtId="164" fontId="4" fillId="6" borderId="0" xfId="0" applyNumberFormat="1" applyFont="1" applyFill="1"/>
    <xf numFmtId="0" fontId="4" fillId="6" borderId="0" xfId="0" applyFont="1" applyFill="1"/>
    <xf numFmtId="164" fontId="4" fillId="6" borderId="0" xfId="2" applyNumberFormat="1" applyFont="1" applyFill="1"/>
    <xf numFmtId="165" fontId="3" fillId="6" borderId="0" xfId="1" applyNumberFormat="1" applyFont="1" applyFill="1"/>
    <xf numFmtId="165" fontId="3" fillId="4" borderId="0" xfId="1" applyNumberFormat="1" applyFont="1" applyFill="1"/>
    <xf numFmtId="165" fontId="4" fillId="0" borderId="0" xfId="0" applyNumberFormat="1" applyFont="1"/>
    <xf numFmtId="10" fontId="4" fillId="0" borderId="0" xfId="2" applyNumberFormat="1" applyFont="1"/>
    <xf numFmtId="0" fontId="7" fillId="5" borderId="0" xfId="0" applyFont="1" applyFill="1" applyAlignment="1">
      <alignment vertical="center"/>
    </xf>
    <xf numFmtId="0" fontId="4" fillId="5" borderId="0" xfId="0" applyFont="1" applyFill="1" applyAlignment="1">
      <alignment horizontal="right" vertical="center"/>
    </xf>
    <xf numFmtId="165" fontId="4" fillId="6" borderId="0" xfId="0" applyNumberFormat="1" applyFont="1" applyFill="1"/>
    <xf numFmtId="165" fontId="3" fillId="6" borderId="0" xfId="0" applyNumberFormat="1" applyFont="1" applyFill="1"/>
    <xf numFmtId="164" fontId="9" fillId="6" borderId="0" xfId="0" applyNumberFormat="1" applyFont="1" applyFill="1"/>
    <xf numFmtId="164" fontId="9" fillId="6" borderId="0" xfId="2" applyNumberFormat="1" applyFont="1" applyFill="1"/>
    <xf numFmtId="0" fontId="11" fillId="6" borderId="0" xfId="0" applyFont="1" applyFill="1"/>
    <xf numFmtId="0" fontId="3" fillId="6" borderId="0" xfId="0" applyFont="1" applyFill="1"/>
    <xf numFmtId="0" fontId="9" fillId="6" borderId="0" xfId="0" applyFont="1" applyFill="1"/>
    <xf numFmtId="0" fontId="15" fillId="6" borderId="0" xfId="0" applyFont="1" applyFill="1"/>
    <xf numFmtId="166" fontId="3" fillId="6" borderId="0" xfId="1" applyNumberFormat="1" applyFont="1" applyFill="1"/>
    <xf numFmtId="10" fontId="4" fillId="6" borderId="0" xfId="2" applyNumberFormat="1" applyFont="1" applyFill="1"/>
    <xf numFmtId="165" fontId="15" fillId="6" borderId="0" xfId="0" applyNumberFormat="1" applyFont="1" applyFill="1"/>
    <xf numFmtId="166" fontId="3" fillId="6" borderId="0" xfId="0" applyNumberFormat="1" applyFont="1" applyFill="1"/>
    <xf numFmtId="165" fontId="9" fillId="6" borderId="0" xfId="0" applyNumberFormat="1" applyFont="1" applyFill="1"/>
    <xf numFmtId="165" fontId="4" fillId="6" borderId="0" xfId="1" applyNumberFormat="1" applyFont="1" applyFill="1"/>
    <xf numFmtId="166" fontId="4" fillId="6" borderId="0" xfId="1" applyNumberFormat="1" applyFont="1" applyFill="1"/>
    <xf numFmtId="9" fontId="9" fillId="6" borderId="0" xfId="0" applyNumberFormat="1" applyFont="1" applyFill="1"/>
    <xf numFmtId="10" fontId="4" fillId="6" borderId="0" xfId="0" applyNumberFormat="1" applyFont="1" applyFill="1"/>
    <xf numFmtId="43" fontId="4" fillId="6" borderId="0" xfId="0" applyNumberFormat="1" applyFont="1" applyFill="1"/>
    <xf numFmtId="165" fontId="4" fillId="4" borderId="0" xfId="0" applyNumberFormat="1" applyFont="1" applyFill="1"/>
    <xf numFmtId="165" fontId="13" fillId="4" borderId="0" xfId="1" applyNumberFormat="1" applyFont="1" applyFill="1"/>
    <xf numFmtId="164" fontId="4" fillId="4" borderId="0" xfId="2" applyNumberFormat="1" applyFont="1" applyFill="1"/>
    <xf numFmtId="165" fontId="3" fillId="4" borderId="0" xfId="0" applyNumberFormat="1" applyFont="1" applyFill="1"/>
    <xf numFmtId="0" fontId="13" fillId="4" borderId="0" xfId="0" applyFont="1" applyFill="1"/>
    <xf numFmtId="0" fontId="11" fillId="4" borderId="0" xfId="0" applyFont="1" applyFill="1"/>
    <xf numFmtId="0" fontId="14" fillId="4" borderId="0" xfId="0" applyFont="1" applyFill="1"/>
    <xf numFmtId="164" fontId="3" fillId="4" borderId="0" xfId="2" applyNumberFormat="1" applyFont="1" applyFill="1"/>
    <xf numFmtId="165" fontId="4" fillId="4" borderId="0" xfId="1" applyNumberFormat="1" applyFont="1" applyFill="1"/>
    <xf numFmtId="166" fontId="4" fillId="4" borderId="0" xfId="1" applyNumberFormat="1" applyFont="1" applyFill="1"/>
    <xf numFmtId="166" fontId="3" fillId="4" borderId="0" xfId="1" applyNumberFormat="1" applyFont="1" applyFill="1"/>
    <xf numFmtId="9" fontId="14" fillId="4" borderId="0" xfId="0" applyNumberFormat="1" applyFont="1" applyFill="1"/>
    <xf numFmtId="165" fontId="9" fillId="4" borderId="0" xfId="1" applyNumberFormat="1" applyFont="1" applyFill="1"/>
    <xf numFmtId="0" fontId="15" fillId="4" borderId="0" xfId="0" applyFont="1" applyFill="1"/>
    <xf numFmtId="10" fontId="4" fillId="4" borderId="0" xfId="2" applyNumberFormat="1" applyFont="1" applyFill="1"/>
    <xf numFmtId="10" fontId="4" fillId="4" borderId="0" xfId="0" applyNumberFormat="1" applyFont="1" applyFill="1"/>
    <xf numFmtId="3" fontId="3" fillId="6" borderId="0" xfId="0" applyNumberFormat="1" applyFont="1" applyFill="1"/>
    <xf numFmtId="165" fontId="9" fillId="6" borderId="0" xfId="1" applyNumberFormat="1" applyFont="1" applyFill="1"/>
    <xf numFmtId="165" fontId="14" fillId="4" borderId="0" xfId="1" applyNumberFormat="1" applyFont="1" applyFill="1"/>
    <xf numFmtId="43" fontId="4" fillId="6" borderId="0" xfId="1" applyFont="1" applyFill="1"/>
    <xf numFmtId="43" fontId="3" fillId="6" borderId="0" xfId="1" applyFont="1" applyFill="1"/>
    <xf numFmtId="165" fontId="6" fillId="4" borderId="0" xfId="1" applyNumberFormat="1" applyFont="1" applyFill="1"/>
    <xf numFmtId="165" fontId="6" fillId="6" borderId="0" xfId="0" applyNumberFormat="1" applyFont="1" applyFill="1"/>
    <xf numFmtId="4" fontId="3" fillId="3" borderId="1" xfId="0" applyNumberFormat="1" applyFont="1" applyFill="1" applyBorder="1" applyAlignment="1">
      <alignment horizontal="right" vertical="center"/>
    </xf>
    <xf numFmtId="3" fontId="13" fillId="3" borderId="1" xfId="0" applyNumberFormat="1" applyFont="1" applyFill="1" applyBorder="1" applyAlignment="1">
      <alignment horizontal="right" vertical="center"/>
    </xf>
    <xf numFmtId="9" fontId="15" fillId="4" borderId="0" xfId="0" applyNumberFormat="1" applyFont="1" applyFill="1"/>
    <xf numFmtId="9" fontId="4" fillId="6" borderId="0" xfId="2" applyFont="1" applyFill="1"/>
    <xf numFmtId="3" fontId="3" fillId="4" borderId="0" xfId="0" applyNumberFormat="1" applyFont="1" applyFill="1"/>
    <xf numFmtId="43" fontId="3" fillId="6" borderId="0" xfId="0" applyNumberFormat="1" applyFont="1" applyFill="1"/>
    <xf numFmtId="0" fontId="16" fillId="0" borderId="0" xfId="0" applyFont="1"/>
    <xf numFmtId="0" fontId="17" fillId="5" borderId="0" xfId="0" applyFont="1" applyFill="1" applyAlignment="1">
      <alignment horizontal="right" vertical="center"/>
    </xf>
    <xf numFmtId="0" fontId="17" fillId="5" borderId="0" xfId="0" applyFont="1" applyFill="1" applyAlignment="1">
      <alignment horizontal="left" vertical="center"/>
    </xf>
    <xf numFmtId="0" fontId="18" fillId="4" borderId="0" xfId="0" applyFont="1" applyFill="1"/>
    <xf numFmtId="0" fontId="18" fillId="0" borderId="0" xfId="0" applyFont="1"/>
    <xf numFmtId="3" fontId="19" fillId="4" borderId="0" xfId="0" applyNumberFormat="1" applyFont="1" applyFill="1" applyAlignment="1">
      <alignment horizontal="right" vertical="center"/>
    </xf>
    <xf numFmtId="165" fontId="18" fillId="6" borderId="0" xfId="1" applyNumberFormat="1" applyFont="1" applyFill="1"/>
    <xf numFmtId="0" fontId="16" fillId="6" borderId="0" xfId="0" applyFont="1" applyFill="1"/>
    <xf numFmtId="0" fontId="16" fillId="4" borderId="0" xfId="0" applyFont="1" applyFill="1"/>
    <xf numFmtId="9" fontId="16" fillId="4" borderId="0" xfId="2" applyFont="1" applyFill="1"/>
    <xf numFmtId="165" fontId="18" fillId="4" borderId="0" xfId="1" applyNumberFormat="1" applyFont="1" applyFill="1"/>
    <xf numFmtId="10" fontId="16" fillId="6" borderId="0" xfId="2" applyNumberFormat="1" applyFont="1" applyFill="1"/>
    <xf numFmtId="10" fontId="16" fillId="4" borderId="0" xfId="2" applyNumberFormat="1" applyFont="1" applyFill="1"/>
    <xf numFmtId="10" fontId="16" fillId="4" borderId="0" xfId="0" applyNumberFormat="1" applyFont="1" applyFill="1"/>
    <xf numFmtId="10" fontId="16" fillId="6" borderId="0" xfId="0" applyNumberFormat="1" applyFont="1" applyFill="1"/>
    <xf numFmtId="165" fontId="16" fillId="4" borderId="0" xfId="0" applyNumberFormat="1" applyFont="1" applyFill="1"/>
    <xf numFmtId="164" fontId="16" fillId="4" borderId="0" xfId="2" applyNumberFormat="1" applyFont="1" applyFill="1"/>
    <xf numFmtId="43" fontId="18" fillId="4" borderId="0" xfId="1" applyFont="1" applyFill="1"/>
    <xf numFmtId="0" fontId="24" fillId="6" borderId="0" xfId="0" applyFont="1" applyFill="1"/>
    <xf numFmtId="0" fontId="21" fillId="4" borderId="0" xfId="0" applyFont="1" applyFill="1"/>
    <xf numFmtId="0" fontId="23" fillId="4" borderId="0" xfId="0" applyFont="1" applyFill="1"/>
    <xf numFmtId="166" fontId="18" fillId="6" borderId="0" xfId="1" applyNumberFormat="1" applyFont="1" applyFill="1"/>
    <xf numFmtId="166" fontId="23" fillId="4" borderId="0" xfId="1" applyNumberFormat="1" applyFont="1" applyFill="1"/>
    <xf numFmtId="0" fontId="4" fillId="5" borderId="0" xfId="3" applyFont="1" applyFill="1" applyAlignment="1">
      <alignment vertical="center"/>
    </xf>
    <xf numFmtId="0" fontId="7" fillId="5" borderId="0" xfId="3" applyFont="1" applyFill="1" applyAlignment="1">
      <alignment vertical="center"/>
    </xf>
    <xf numFmtId="0" fontId="4" fillId="7" borderId="0" xfId="3" applyFont="1" applyFill="1" applyAlignment="1">
      <alignment vertical="center"/>
    </xf>
    <xf numFmtId="0" fontId="4" fillId="0" borderId="0" xfId="3" applyFont="1" applyAlignment="1">
      <alignment vertical="center"/>
    </xf>
    <xf numFmtId="0" fontId="27" fillId="5" borderId="0" xfId="3" applyFont="1" applyFill="1" applyAlignment="1">
      <alignment vertical="center"/>
    </xf>
    <xf numFmtId="0" fontId="4" fillId="4" borderId="0" xfId="3" applyFont="1" applyFill="1" applyAlignment="1">
      <alignment vertical="center"/>
    </xf>
    <xf numFmtId="0" fontId="3" fillId="7" borderId="0" xfId="3" applyFont="1" applyFill="1" applyAlignment="1">
      <alignment horizontal="left" vertical="center" indent="2"/>
    </xf>
    <xf numFmtId="167" fontId="8" fillId="7" borderId="0" xfId="3" applyNumberFormat="1" applyFont="1" applyFill="1" applyAlignment="1">
      <alignment horizontal="left" vertical="center"/>
    </xf>
    <xf numFmtId="167" fontId="4" fillId="7" borderId="0" xfId="3" applyNumberFormat="1" applyFont="1" applyFill="1" applyAlignment="1">
      <alignment horizontal="left" vertical="center"/>
    </xf>
    <xf numFmtId="0" fontId="8" fillId="7" borderId="0" xfId="3" applyFont="1" applyFill="1" applyAlignment="1">
      <alignment horizontal="left" vertical="center"/>
    </xf>
    <xf numFmtId="168" fontId="4" fillId="7" borderId="0" xfId="3" applyNumberFormat="1" applyFont="1" applyFill="1" applyAlignment="1">
      <alignment horizontal="left" vertical="center"/>
    </xf>
    <xf numFmtId="9" fontId="4" fillId="7" borderId="0" xfId="5" applyFont="1" applyFill="1" applyAlignment="1">
      <alignment vertical="center"/>
    </xf>
    <xf numFmtId="0" fontId="3" fillId="7" borderId="0" xfId="3" applyFont="1" applyFill="1" applyAlignment="1">
      <alignment horizontal="left" vertical="center" indent="1"/>
    </xf>
    <xf numFmtId="0" fontId="4" fillId="7" borderId="0" xfId="3" applyFont="1" applyFill="1" applyAlignment="1">
      <alignment horizontal="left" vertical="center" indent="3"/>
    </xf>
    <xf numFmtId="0" fontId="4" fillId="7" borderId="0" xfId="0" applyFont="1" applyFill="1"/>
    <xf numFmtId="0" fontId="4" fillId="5" borderId="0" xfId="0" applyFont="1" applyFill="1"/>
    <xf numFmtId="0" fontId="4" fillId="5" borderId="0" xfId="0" applyFont="1" applyFill="1" applyAlignment="1">
      <alignment vertical="center"/>
    </xf>
    <xf numFmtId="0" fontId="7" fillId="5" borderId="0" xfId="0" applyFont="1" applyFill="1" applyAlignment="1">
      <alignment horizontal="left" vertical="center"/>
    </xf>
    <xf numFmtId="0" fontId="4" fillId="6" borderId="0" xfId="6" applyFont="1" applyFill="1" applyAlignment="1">
      <alignment vertical="center"/>
    </xf>
    <xf numFmtId="0" fontId="3" fillId="6" borderId="0" xfId="0" applyFont="1" applyFill="1" applyAlignment="1">
      <alignment vertical="center"/>
    </xf>
    <xf numFmtId="0" fontId="4" fillId="6" borderId="0" xfId="0" applyFont="1" applyFill="1" applyAlignment="1">
      <alignment vertical="center"/>
    </xf>
    <xf numFmtId="0" fontId="4" fillId="6" borderId="0" xfId="0" applyFont="1" applyFill="1" applyAlignment="1">
      <alignment horizontal="right" vertical="center"/>
    </xf>
    <xf numFmtId="0" fontId="6" fillId="6" borderId="0" xfId="0" applyFont="1" applyFill="1" applyAlignment="1">
      <alignment vertical="center"/>
    </xf>
    <xf numFmtId="164" fontId="4" fillId="6" borderId="0" xfId="2" applyNumberFormat="1" applyFont="1" applyFill="1" applyAlignment="1">
      <alignment horizontal="right" vertical="center"/>
    </xf>
    <xf numFmtId="3" fontId="4" fillId="6" borderId="0" xfId="6" applyNumberFormat="1" applyFont="1" applyFill="1" applyAlignment="1">
      <alignment vertical="center"/>
    </xf>
    <xf numFmtId="0" fontId="4"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right"/>
    </xf>
    <xf numFmtId="0" fontId="11" fillId="6" borderId="0" xfId="0" applyFont="1" applyFill="1" applyAlignment="1">
      <alignment vertical="center"/>
    </xf>
    <xf numFmtId="0" fontId="3" fillId="3" borderId="0" xfId="0" applyFont="1" applyFill="1"/>
    <xf numFmtId="0" fontId="4" fillId="0" borderId="0" xfId="0" applyFont="1" applyAlignment="1">
      <alignment horizontal="center"/>
    </xf>
    <xf numFmtId="0" fontId="7" fillId="5" borderId="0" xfId="0" applyFont="1" applyFill="1" applyAlignment="1">
      <alignment horizontal="center"/>
    </xf>
    <xf numFmtId="0" fontId="14" fillId="4" borderId="0" xfId="0" applyFont="1" applyFill="1" applyAlignment="1">
      <alignment horizontal="center"/>
    </xf>
    <xf numFmtId="0" fontId="3" fillId="3" borderId="0" xfId="0" applyFont="1" applyFill="1" applyAlignment="1">
      <alignment horizontal="center"/>
    </xf>
    <xf numFmtId="0" fontId="6" fillId="4" borderId="0" xfId="0" applyFont="1" applyFill="1" applyAlignment="1">
      <alignment horizontal="center"/>
    </xf>
    <xf numFmtId="0" fontId="3" fillId="3" borderId="0" xfId="0" applyFont="1" applyFill="1" applyAlignment="1">
      <alignment vertical="center" wrapText="1"/>
    </xf>
    <xf numFmtId="0" fontId="4" fillId="3" borderId="0" xfId="0" applyFont="1" applyFill="1" applyAlignment="1">
      <alignment horizontal="center" vertical="center"/>
    </xf>
    <xf numFmtId="0" fontId="4" fillId="4" borderId="0" xfId="0" applyFont="1" applyFill="1" applyAlignment="1">
      <alignment horizontal="left" indent="1"/>
    </xf>
    <xf numFmtId="164" fontId="5" fillId="6" borderId="0" xfId="0" applyNumberFormat="1" applyFont="1" applyFill="1"/>
    <xf numFmtId="164" fontId="5" fillId="6" borderId="0" xfId="2" applyNumberFormat="1" applyFont="1" applyFill="1"/>
    <xf numFmtId="0" fontId="5" fillId="6" borderId="0" xfId="0" applyFont="1" applyFill="1"/>
    <xf numFmtId="165" fontId="12" fillId="4" borderId="0" xfId="1" applyNumberFormat="1" applyFont="1" applyFill="1"/>
    <xf numFmtId="0" fontId="8" fillId="4" borderId="0" xfId="0" applyFont="1" applyFill="1"/>
    <xf numFmtId="9" fontId="8" fillId="4" borderId="0" xfId="0" applyNumberFormat="1" applyFont="1" applyFill="1"/>
    <xf numFmtId="0" fontId="12" fillId="4" borderId="0" xfId="0" applyFont="1" applyFill="1"/>
    <xf numFmtId="3" fontId="15" fillId="4" borderId="0" xfId="0" applyNumberFormat="1" applyFont="1" applyFill="1"/>
    <xf numFmtId="0" fontId="3" fillId="4" borderId="0" xfId="0" applyFont="1" applyFill="1" applyAlignment="1">
      <alignment vertical="center" wrapText="1"/>
    </xf>
    <xf numFmtId="0" fontId="13" fillId="4" borderId="0" xfId="0" applyFont="1" applyFill="1" applyAlignment="1">
      <alignment vertical="center"/>
    </xf>
    <xf numFmtId="0" fontId="12" fillId="4" borderId="0" xfId="0" applyFont="1" applyFill="1" applyAlignment="1">
      <alignment vertical="center"/>
    </xf>
    <xf numFmtId="0" fontId="3" fillId="4" borderId="0" xfId="0" applyFont="1" applyFill="1" applyAlignment="1">
      <alignment vertical="center"/>
    </xf>
    <xf numFmtId="164" fontId="5" fillId="4" borderId="0" xfId="0" applyNumberFormat="1" applyFont="1" applyFill="1"/>
    <xf numFmtId="0" fontId="4" fillId="3" borderId="1" xfId="0" applyFont="1" applyFill="1" applyBorder="1"/>
    <xf numFmtId="0" fontId="13" fillId="3" borderId="1" xfId="0" applyFont="1" applyFill="1" applyBorder="1"/>
    <xf numFmtId="165" fontId="12" fillId="3" borderId="1" xfId="1" applyNumberFormat="1" applyFont="1" applyFill="1" applyBorder="1"/>
    <xf numFmtId="165" fontId="3" fillId="3" borderId="1" xfId="1" applyNumberFormat="1" applyFont="1" applyFill="1" applyBorder="1"/>
    <xf numFmtId="165" fontId="3" fillId="3" borderId="1" xfId="0" applyNumberFormat="1" applyFont="1" applyFill="1" applyBorder="1"/>
    <xf numFmtId="165" fontId="11" fillId="3" borderId="1" xfId="0" applyNumberFormat="1" applyFont="1" applyFill="1" applyBorder="1"/>
    <xf numFmtId="3" fontId="4" fillId="0" borderId="0" xfId="0" applyNumberFormat="1" applyFont="1"/>
    <xf numFmtId="0" fontId="4" fillId="6" borderId="0" xfId="0" applyFont="1" applyFill="1" applyAlignment="1">
      <alignment horizontal="right"/>
    </xf>
    <xf numFmtId="165" fontId="3" fillId="6" borderId="0" xfId="1" applyNumberFormat="1" applyFont="1" applyFill="1" applyAlignment="1">
      <alignment horizontal="right"/>
    </xf>
    <xf numFmtId="164" fontId="9" fillId="6" borderId="0" xfId="0" applyNumberFormat="1" applyFont="1" applyFill="1" applyAlignment="1">
      <alignment horizontal="right"/>
    </xf>
    <xf numFmtId="165" fontId="4" fillId="6" borderId="0" xfId="1" applyNumberFormat="1" applyFont="1" applyFill="1" applyAlignment="1">
      <alignment horizontal="right"/>
    </xf>
    <xf numFmtId="165" fontId="4" fillId="6" borderId="0" xfId="0" applyNumberFormat="1" applyFont="1" applyFill="1" applyAlignment="1">
      <alignment horizontal="right"/>
    </xf>
    <xf numFmtId="3" fontId="9" fillId="6" borderId="0" xfId="0" applyNumberFormat="1" applyFont="1" applyFill="1"/>
    <xf numFmtId="164" fontId="20" fillId="6" borderId="0" xfId="0" applyNumberFormat="1" applyFont="1" applyFill="1"/>
    <xf numFmtId="0" fontId="7" fillId="6" borderId="0" xfId="0" applyFont="1" applyFill="1" applyAlignment="1">
      <alignment vertical="center"/>
    </xf>
    <xf numFmtId="0" fontId="30" fillId="0" borderId="0" xfId="0" applyFont="1"/>
    <xf numFmtId="0" fontId="4" fillId="6" borderId="0" xfId="0" applyFont="1" applyFill="1" applyAlignment="1">
      <alignment horizontal="center" vertical="center"/>
    </xf>
    <xf numFmtId="0" fontId="6" fillId="6" borderId="0" xfId="0" applyFont="1" applyFill="1" applyAlignment="1">
      <alignment horizontal="center" vertical="center"/>
    </xf>
    <xf numFmtId="0" fontId="7" fillId="5" borderId="0" xfId="0" applyFont="1" applyFill="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3" fillId="3" borderId="0" xfId="0" applyFont="1" applyFill="1" applyAlignment="1">
      <alignment horizontal="right" vertical="center"/>
    </xf>
    <xf numFmtId="9" fontId="11" fillId="6" borderId="0" xfId="0" applyNumberFormat="1" applyFont="1" applyFill="1" applyAlignment="1">
      <alignment horizontal="center" vertical="center"/>
    </xf>
    <xf numFmtId="3" fontId="4" fillId="6" borderId="0" xfId="0" applyNumberFormat="1" applyFont="1" applyFill="1" applyAlignment="1">
      <alignment horizontal="right" vertical="center" wrapText="1"/>
    </xf>
    <xf numFmtId="0" fontId="11" fillId="6" borderId="0" xfId="0" applyFont="1" applyFill="1" applyAlignment="1">
      <alignment horizontal="center" vertical="center"/>
    </xf>
    <xf numFmtId="3" fontId="3" fillId="6" borderId="0" xfId="0" applyNumberFormat="1" applyFont="1" applyFill="1" applyAlignment="1">
      <alignment horizontal="right" vertical="center" wrapText="1"/>
    </xf>
    <xf numFmtId="0" fontId="5" fillId="0" borderId="0" xfId="0" applyFont="1" applyAlignment="1">
      <alignment vertical="center"/>
    </xf>
    <xf numFmtId="176" fontId="11" fillId="6" borderId="0" xfId="0" applyNumberFormat="1" applyFont="1" applyFill="1" applyAlignment="1">
      <alignment horizontal="right" vertical="center"/>
    </xf>
    <xf numFmtId="3" fontId="4" fillId="6" borderId="0" xfId="0" applyNumberFormat="1" applyFont="1" applyFill="1" applyAlignment="1">
      <alignment vertical="center"/>
    </xf>
    <xf numFmtId="3" fontId="3" fillId="6" borderId="0" xfId="0" applyNumberFormat="1" applyFont="1" applyFill="1" applyAlignment="1">
      <alignment vertical="center"/>
    </xf>
    <xf numFmtId="0" fontId="3" fillId="6" borderId="0" xfId="0" applyFont="1" applyFill="1" applyAlignment="1">
      <alignment horizontal="center" vertical="center"/>
    </xf>
    <xf numFmtId="3" fontId="7" fillId="5" borderId="0" xfId="0" applyNumberFormat="1" applyFont="1" applyFill="1" applyAlignment="1">
      <alignment vertical="center"/>
    </xf>
    <xf numFmtId="173" fontId="7" fillId="5" borderId="0" xfId="7" applyNumberFormat="1" applyFont="1" applyFill="1" applyAlignment="1">
      <alignment vertical="center"/>
    </xf>
    <xf numFmtId="168" fontId="8" fillId="2" borderId="0" xfId="0" applyNumberFormat="1" applyFont="1" applyFill="1" applyAlignment="1">
      <alignment horizontal="center" vertical="center"/>
    </xf>
    <xf numFmtId="0" fontId="3" fillId="3" borderId="0" xfId="6" applyFont="1" applyFill="1" applyAlignment="1">
      <alignment vertical="center"/>
    </xf>
    <xf numFmtId="2" fontId="3" fillId="3" borderId="0" xfId="0" applyNumberFormat="1" applyFont="1" applyFill="1" applyAlignment="1">
      <alignment horizontal="center" vertical="center"/>
    </xf>
    <xf numFmtId="168" fontId="21" fillId="4" borderId="0" xfId="0" applyNumberFormat="1" applyFont="1" applyFill="1"/>
    <xf numFmtId="168" fontId="4" fillId="6" borderId="0" xfId="0" applyNumberFormat="1" applyFont="1" applyFill="1" applyAlignment="1">
      <alignment horizontal="center" vertical="center"/>
    </xf>
    <xf numFmtId="168" fontId="23" fillId="4" borderId="0" xfId="0" applyNumberFormat="1" applyFont="1" applyFill="1"/>
    <xf numFmtId="0" fontId="18" fillId="6" borderId="0" xfId="0" applyFont="1" applyFill="1"/>
    <xf numFmtId="164" fontId="22" fillId="4" borderId="0" xfId="2" applyNumberFormat="1" applyFont="1" applyFill="1"/>
    <xf numFmtId="3" fontId="16" fillId="4" borderId="0" xfId="0" applyNumberFormat="1" applyFont="1" applyFill="1" applyAlignment="1">
      <alignment horizontal="right" vertical="center"/>
    </xf>
    <xf numFmtId="168" fontId="16" fillId="4" borderId="0" xfId="0" applyNumberFormat="1" applyFont="1" applyFill="1"/>
    <xf numFmtId="0" fontId="4" fillId="8" borderId="0" xfId="0" applyFont="1" applyFill="1"/>
    <xf numFmtId="165" fontId="9" fillId="4" borderId="0" xfId="0" applyNumberFormat="1" applyFont="1" applyFill="1"/>
    <xf numFmtId="0" fontId="4" fillId="2" borderId="0" xfId="0" applyFont="1" applyFill="1"/>
    <xf numFmtId="0" fontId="32" fillId="0" borderId="0" xfId="0" applyFont="1"/>
    <xf numFmtId="0" fontId="4" fillId="5" borderId="0" xfId="0" applyFont="1" applyFill="1" applyAlignment="1">
      <alignment horizontal="center"/>
    </xf>
    <xf numFmtId="3" fontId="18" fillId="4" borderId="0" xfId="1" applyNumberFormat="1" applyFont="1" applyFill="1"/>
    <xf numFmtId="3" fontId="18" fillId="6" borderId="0" xfId="1" applyNumberFormat="1" applyFont="1" applyFill="1"/>
    <xf numFmtId="3" fontId="21" fillId="4" borderId="0" xfId="1" applyNumberFormat="1" applyFont="1" applyFill="1"/>
    <xf numFmtId="3" fontId="23" fillId="4" borderId="0" xfId="1" applyNumberFormat="1" applyFont="1" applyFill="1"/>
    <xf numFmtId="177" fontId="21" fillId="4" borderId="0" xfId="1" applyNumberFormat="1" applyFont="1" applyFill="1"/>
    <xf numFmtId="177" fontId="23" fillId="4" borderId="0" xfId="1" applyNumberFormat="1" applyFont="1" applyFill="1"/>
    <xf numFmtId="177" fontId="25" fillId="4" borderId="0" xfId="1" applyNumberFormat="1" applyFont="1" applyFill="1"/>
    <xf numFmtId="177" fontId="16" fillId="4" borderId="0" xfId="0" applyNumberFormat="1" applyFont="1" applyFill="1"/>
    <xf numFmtId="168" fontId="16" fillId="6" borderId="0" xfId="0" applyNumberFormat="1" applyFont="1" applyFill="1"/>
    <xf numFmtId="168" fontId="24" fillId="6" borderId="0" xfId="1" applyNumberFormat="1" applyFont="1" applyFill="1"/>
    <xf numFmtId="168" fontId="18" fillId="4" borderId="0" xfId="1" applyNumberFormat="1" applyFont="1" applyFill="1"/>
    <xf numFmtId="168" fontId="18" fillId="6" borderId="0" xfId="1" applyNumberFormat="1" applyFont="1" applyFill="1"/>
    <xf numFmtId="166" fontId="18" fillId="4" borderId="0" xfId="0" applyNumberFormat="1" applyFont="1" applyFill="1"/>
    <xf numFmtId="166" fontId="18" fillId="6" borderId="0" xfId="0" applyNumberFormat="1" applyFont="1" applyFill="1"/>
    <xf numFmtId="168" fontId="4" fillId="4" borderId="0" xfId="0" applyNumberFormat="1" applyFont="1" applyFill="1" applyAlignment="1">
      <alignment horizontal="right" vertical="center"/>
    </xf>
    <xf numFmtId="168" fontId="4" fillId="6" borderId="0" xfId="1" applyNumberFormat="1" applyFont="1" applyFill="1" applyAlignment="1">
      <alignment horizontal="right"/>
    </xf>
    <xf numFmtId="168" fontId="3" fillId="6" borderId="0" xfId="1" applyNumberFormat="1" applyFont="1" applyFill="1" applyAlignment="1">
      <alignment horizontal="right"/>
    </xf>
    <xf numFmtId="166" fontId="4" fillId="6" borderId="0" xfId="0" applyNumberFormat="1" applyFont="1" applyFill="1" applyAlignment="1">
      <alignment horizontal="right"/>
    </xf>
    <xf numFmtId="3" fontId="4" fillId="6" borderId="0" xfId="1" applyNumberFormat="1" applyFont="1" applyFill="1"/>
    <xf numFmtId="168" fontId="4" fillId="6" borderId="0" xfId="1" applyNumberFormat="1" applyFont="1" applyFill="1"/>
    <xf numFmtId="1" fontId="4" fillId="6" borderId="0" xfId="1" applyNumberFormat="1" applyFont="1" applyFill="1"/>
    <xf numFmtId="168" fontId="4" fillId="0" borderId="0" xfId="0" applyNumberFormat="1" applyFont="1" applyAlignment="1">
      <alignment horizontal="right"/>
    </xf>
    <xf numFmtId="168" fontId="14" fillId="4" borderId="0" xfId="1" applyNumberFormat="1" applyFont="1" applyFill="1"/>
    <xf numFmtId="168" fontId="9" fillId="6" borderId="0" xfId="0" applyNumberFormat="1" applyFont="1" applyFill="1"/>
    <xf numFmtId="168" fontId="4" fillId="4" borderId="0" xfId="0" applyNumberFormat="1" applyFont="1" applyFill="1"/>
    <xf numFmtId="168" fontId="4" fillId="6" borderId="0" xfId="0" applyNumberFormat="1" applyFont="1" applyFill="1"/>
    <xf numFmtId="168" fontId="3" fillId="4" borderId="0" xfId="1" applyNumberFormat="1" applyFont="1" applyFill="1"/>
    <xf numFmtId="168" fontId="3" fillId="6" borderId="0" xfId="1" applyNumberFormat="1" applyFont="1" applyFill="1"/>
    <xf numFmtId="168" fontId="4" fillId="4" borderId="0" xfId="1" applyNumberFormat="1" applyFont="1" applyFill="1"/>
    <xf numFmtId="168" fontId="9" fillId="6" borderId="0" xfId="1" applyNumberFormat="1" applyFont="1" applyFill="1"/>
    <xf numFmtId="168" fontId="13" fillId="4" borderId="0" xfId="1" applyNumberFormat="1" applyFont="1" applyFill="1"/>
    <xf numFmtId="168" fontId="15" fillId="6" borderId="0" xfId="1" applyNumberFormat="1" applyFont="1" applyFill="1"/>
    <xf numFmtId="3" fontId="3" fillId="4" borderId="0" xfId="1" applyNumberFormat="1" applyFont="1" applyFill="1"/>
    <xf numFmtId="3" fontId="3" fillId="6" borderId="0" xfId="1" applyNumberFormat="1" applyFont="1" applyFill="1"/>
    <xf numFmtId="3" fontId="4" fillId="4" borderId="0" xfId="0" applyNumberFormat="1" applyFont="1" applyFill="1"/>
    <xf numFmtId="1" fontId="4" fillId="4" borderId="0" xfId="1" applyNumberFormat="1" applyFont="1" applyFill="1"/>
    <xf numFmtId="1" fontId="4" fillId="6" borderId="0" xfId="0" applyNumberFormat="1" applyFont="1" applyFill="1"/>
    <xf numFmtId="1" fontId="4" fillId="4" borderId="0" xfId="0" applyNumberFormat="1" applyFont="1" applyFill="1"/>
    <xf numFmtId="168" fontId="3" fillId="6" borderId="0" xfId="0" applyNumberFormat="1" applyFont="1" applyFill="1"/>
    <xf numFmtId="168" fontId="5" fillId="6" borderId="0" xfId="0" applyNumberFormat="1" applyFont="1" applyFill="1"/>
    <xf numFmtId="0" fontId="23" fillId="0" borderId="0" xfId="0" applyFont="1"/>
    <xf numFmtId="164" fontId="15" fillId="6" borderId="0" xfId="0" applyNumberFormat="1" applyFont="1" applyFill="1"/>
    <xf numFmtId="164" fontId="15" fillId="6" borderId="0" xfId="2" applyNumberFormat="1" applyFont="1" applyFill="1"/>
    <xf numFmtId="0" fontId="6" fillId="4" borderId="0" xfId="0" applyFont="1" applyFill="1"/>
    <xf numFmtId="9" fontId="4" fillId="0" borderId="0" xfId="0" applyNumberFormat="1" applyFont="1"/>
    <xf numFmtId="10" fontId="4" fillId="0" borderId="0" xfId="0" applyNumberFormat="1" applyFont="1"/>
    <xf numFmtId="9" fontId="4" fillId="4" borderId="0" xfId="2" applyFont="1" applyFill="1"/>
    <xf numFmtId="9" fontId="9" fillId="4" borderId="0" xfId="0" applyNumberFormat="1" applyFont="1" applyFill="1"/>
    <xf numFmtId="164" fontId="16" fillId="6" borderId="0" xfId="2" applyNumberFormat="1" applyFont="1" applyFill="1"/>
    <xf numFmtId="169" fontId="11" fillId="6" borderId="0" xfId="0" applyNumberFormat="1" applyFont="1" applyFill="1" applyAlignment="1">
      <alignment horizontal="right" vertical="center"/>
    </xf>
    <xf numFmtId="169" fontId="7" fillId="5" borderId="0" xfId="0" applyNumberFormat="1" applyFont="1" applyFill="1" applyAlignment="1">
      <alignment horizontal="right" vertical="center"/>
    </xf>
    <xf numFmtId="0" fontId="31" fillId="6" borderId="0" xfId="0" applyFont="1" applyFill="1" applyAlignment="1">
      <alignment vertical="center"/>
    </xf>
    <xf numFmtId="164" fontId="8" fillId="4" borderId="0" xfId="0" applyNumberFormat="1" applyFont="1" applyFill="1"/>
    <xf numFmtId="164" fontId="6" fillId="4" borderId="0" xfId="0" applyNumberFormat="1" applyFont="1" applyFill="1"/>
    <xf numFmtId="164" fontId="6" fillId="6" borderId="0" xfId="0" applyNumberFormat="1" applyFont="1" applyFill="1"/>
    <xf numFmtId="0" fontId="4" fillId="4" borderId="0" xfId="0" quotePrefix="1" applyFont="1" applyFill="1"/>
    <xf numFmtId="164" fontId="14" fillId="4" borderId="0" xfId="0" applyNumberFormat="1" applyFont="1" applyFill="1"/>
    <xf numFmtId="164" fontId="6" fillId="6" borderId="0" xfId="2" applyNumberFormat="1" applyFont="1" applyFill="1"/>
    <xf numFmtId="164" fontId="4" fillId="8" borderId="0" xfId="2" applyNumberFormat="1" applyFont="1" applyFill="1"/>
    <xf numFmtId="164" fontId="9" fillId="4" borderId="0" xfId="0" applyNumberFormat="1" applyFont="1" applyFill="1"/>
    <xf numFmtId="10" fontId="9" fillId="6" borderId="0" xfId="0" applyNumberFormat="1" applyFont="1" applyFill="1"/>
    <xf numFmtId="9" fontId="4" fillId="6" borderId="0" xfId="2" applyFont="1" applyFill="1" applyAlignment="1">
      <alignment horizontal="right"/>
    </xf>
    <xf numFmtId="165" fontId="4" fillId="2" borderId="0" xfId="0" applyNumberFormat="1" applyFont="1" applyFill="1"/>
    <xf numFmtId="43" fontId="4" fillId="4" borderId="0" xfId="0" applyNumberFormat="1" applyFont="1" applyFill="1"/>
    <xf numFmtId="9" fontId="9" fillId="2" borderId="0" xfId="0" applyNumberFormat="1" applyFont="1" applyFill="1"/>
    <xf numFmtId="166" fontId="15" fillId="6" borderId="0" xfId="0" applyNumberFormat="1" applyFont="1" applyFill="1"/>
    <xf numFmtId="165" fontId="11" fillId="6" borderId="0" xfId="0" applyNumberFormat="1" applyFont="1" applyFill="1"/>
    <xf numFmtId="164" fontId="4" fillId="0" borderId="0" xfId="2" applyNumberFormat="1" applyFont="1"/>
    <xf numFmtId="164" fontId="16" fillId="4" borderId="0" xfId="0" applyNumberFormat="1" applyFont="1" applyFill="1"/>
    <xf numFmtId="164" fontId="16" fillId="6" borderId="0" xfId="0" applyNumberFormat="1" applyFont="1" applyFill="1"/>
    <xf numFmtId="10" fontId="22" fillId="4" borderId="0" xfId="2" applyNumberFormat="1" applyFont="1" applyFill="1"/>
    <xf numFmtId="168" fontId="15" fillId="6" borderId="0" xfId="0" applyNumberFormat="1" applyFont="1" applyFill="1"/>
    <xf numFmtId="165" fontId="8" fillId="4" borderId="0" xfId="1" applyNumberFormat="1" applyFont="1" applyFill="1"/>
    <xf numFmtId="10" fontId="6" fillId="4" borderId="0" xfId="2" applyNumberFormat="1" applyFont="1" applyFill="1"/>
    <xf numFmtId="43" fontId="4" fillId="0" borderId="0" xfId="0" applyNumberFormat="1" applyFont="1"/>
    <xf numFmtId="3" fontId="12" fillId="3" borderId="1" xfId="0" applyNumberFormat="1" applyFont="1" applyFill="1" applyBorder="1" applyAlignment="1">
      <alignment horizontal="right" vertical="center"/>
    </xf>
    <xf numFmtId="168" fontId="8" fillId="4" borderId="0" xfId="0" applyNumberFormat="1" applyFont="1" applyFill="1"/>
    <xf numFmtId="180" fontId="4" fillId="6" borderId="0" xfId="1" applyNumberFormat="1" applyFont="1" applyFill="1" applyAlignment="1">
      <alignment horizontal="right" vertical="center"/>
    </xf>
    <xf numFmtId="43" fontId="24" fillId="6" borderId="0" xfId="1" applyFont="1" applyFill="1"/>
    <xf numFmtId="43" fontId="19" fillId="4" borderId="0" xfId="1" applyFont="1" applyFill="1"/>
    <xf numFmtId="0" fontId="23" fillId="6" borderId="0" xfId="0" applyFont="1" applyFill="1"/>
    <xf numFmtId="0" fontId="33" fillId="5" borderId="0" xfId="0" applyFont="1" applyFill="1" applyAlignment="1">
      <alignment horizontal="left" vertical="center"/>
    </xf>
    <xf numFmtId="0" fontId="33" fillId="5" borderId="0" xfId="0" applyFont="1" applyFill="1" applyAlignment="1">
      <alignment horizontal="right" vertical="center"/>
    </xf>
    <xf numFmtId="0" fontId="34" fillId="6" borderId="0" xfId="6" applyFont="1" applyFill="1" applyAlignment="1">
      <alignment vertical="center"/>
    </xf>
    <xf numFmtId="0" fontId="34" fillId="6" borderId="0" xfId="6" applyFont="1" applyFill="1" applyAlignment="1">
      <alignment horizontal="right" vertical="center"/>
    </xf>
    <xf numFmtId="0" fontId="35" fillId="4" borderId="0" xfId="6" applyFont="1" applyFill="1" applyAlignment="1">
      <alignment vertical="center"/>
    </xf>
    <xf numFmtId="0" fontId="35" fillId="4" borderId="0" xfId="6" applyFont="1" applyFill="1" applyAlignment="1">
      <alignment horizontal="right" vertical="center"/>
    </xf>
    <xf numFmtId="169" fontId="36" fillId="4" borderId="0" xfId="0" applyNumberFormat="1" applyFont="1" applyFill="1" applyAlignment="1">
      <alignment horizontal="right" vertical="center"/>
    </xf>
    <xf numFmtId="0" fontId="34" fillId="4" borderId="0" xfId="6" applyFont="1" applyFill="1" applyAlignment="1">
      <alignment horizontal="right" vertical="center"/>
    </xf>
    <xf numFmtId="0" fontId="34" fillId="4" borderId="0" xfId="6" applyFont="1" applyFill="1" applyAlignment="1">
      <alignment vertical="center"/>
    </xf>
    <xf numFmtId="170" fontId="34" fillId="4" borderId="0" xfId="6" applyNumberFormat="1" applyFont="1" applyFill="1" applyAlignment="1">
      <alignment horizontal="left" vertical="center"/>
    </xf>
    <xf numFmtId="169" fontId="37" fillId="4" borderId="0" xfId="0" applyNumberFormat="1" applyFont="1" applyFill="1" applyAlignment="1">
      <alignment horizontal="right" vertical="center"/>
    </xf>
    <xf numFmtId="164" fontId="36" fillId="4" borderId="0" xfId="2" applyNumberFormat="1" applyFont="1" applyFill="1" applyAlignment="1">
      <alignment horizontal="right" vertical="center"/>
    </xf>
    <xf numFmtId="0" fontId="34" fillId="6" borderId="0" xfId="0" applyFont="1" applyFill="1" applyAlignment="1">
      <alignment horizontal="right" vertical="center"/>
    </xf>
    <xf numFmtId="171" fontId="33" fillId="5" borderId="0" xfId="6" applyNumberFormat="1" applyFont="1" applyFill="1" applyAlignment="1">
      <alignment horizontal="left" vertical="center"/>
    </xf>
    <xf numFmtId="171" fontId="33" fillId="5" borderId="0" xfId="6" applyNumberFormat="1" applyFont="1" applyFill="1" applyAlignment="1">
      <alignment horizontal="right" vertical="center"/>
    </xf>
    <xf numFmtId="0" fontId="35" fillId="6" borderId="0" xfId="6" applyFont="1" applyFill="1" applyAlignment="1">
      <alignment vertical="center"/>
    </xf>
    <xf numFmtId="0" fontId="35" fillId="6" borderId="0" xfId="6" applyFont="1" applyFill="1" applyAlignment="1">
      <alignment horizontal="right" vertical="center"/>
    </xf>
    <xf numFmtId="170" fontId="34" fillId="6" borderId="0" xfId="6" applyNumberFormat="1" applyFont="1" applyFill="1" applyAlignment="1">
      <alignment horizontal="left" vertical="center"/>
    </xf>
    <xf numFmtId="1" fontId="34" fillId="6" borderId="0" xfId="2" applyNumberFormat="1" applyFont="1" applyFill="1" applyAlignment="1">
      <alignment horizontal="right" vertical="center"/>
    </xf>
    <xf numFmtId="0" fontId="34" fillId="6" borderId="0" xfId="6" applyFont="1" applyFill="1" applyAlignment="1">
      <alignment horizontal="left" vertical="center" indent="1"/>
    </xf>
    <xf numFmtId="3" fontId="34" fillId="6" borderId="0" xfId="2" applyNumberFormat="1" applyFont="1" applyFill="1" applyAlignment="1">
      <alignment horizontal="right" vertical="center"/>
    </xf>
    <xf numFmtId="0" fontId="34" fillId="6" borderId="0" xfId="6" applyFont="1" applyFill="1" applyAlignment="1">
      <alignment horizontal="left" vertical="center"/>
    </xf>
    <xf numFmtId="0" fontId="34" fillId="0" borderId="0" xfId="0" applyFont="1" applyAlignment="1">
      <alignment vertical="center"/>
    </xf>
    <xf numFmtId="0" fontId="35" fillId="6" borderId="0" xfId="6" applyFont="1" applyFill="1" applyAlignment="1">
      <alignment horizontal="left" vertical="center"/>
    </xf>
    <xf numFmtId="1" fontId="35" fillId="6" borderId="0" xfId="2" applyNumberFormat="1" applyFont="1" applyFill="1" applyAlignment="1">
      <alignment horizontal="right" vertical="center"/>
    </xf>
    <xf numFmtId="3" fontId="35" fillId="6" borderId="0" xfId="2" applyNumberFormat="1" applyFont="1" applyFill="1" applyAlignment="1">
      <alignment horizontal="right" vertical="center"/>
    </xf>
    <xf numFmtId="164" fontId="34" fillId="6" borderId="0" xfId="2" applyNumberFormat="1" applyFont="1" applyFill="1" applyAlignment="1">
      <alignment horizontal="right" vertical="center"/>
    </xf>
    <xf numFmtId="0" fontId="35" fillId="6" borderId="0" xfId="0" applyFont="1" applyFill="1" applyAlignment="1">
      <alignment vertical="center"/>
    </xf>
    <xf numFmtId="172" fontId="34" fillId="6" borderId="0" xfId="7" applyNumberFormat="1" applyFont="1" applyFill="1" applyAlignment="1">
      <alignment horizontal="left" vertical="center"/>
    </xf>
    <xf numFmtId="0" fontId="34" fillId="6" borderId="0" xfId="0" applyFont="1" applyFill="1" applyAlignment="1">
      <alignment vertical="center"/>
    </xf>
    <xf numFmtId="172" fontId="35" fillId="6" borderId="0" xfId="7" applyNumberFormat="1" applyFont="1" applyFill="1" applyAlignment="1">
      <alignment horizontal="left" vertical="center"/>
    </xf>
    <xf numFmtId="173" fontId="35" fillId="6" borderId="0" xfId="7" applyNumberFormat="1" applyFont="1" applyFill="1" applyAlignment="1">
      <alignment horizontal="left" vertical="center"/>
    </xf>
    <xf numFmtId="174" fontId="38" fillId="6" borderId="0" xfId="0" applyNumberFormat="1" applyFont="1" applyFill="1" applyAlignment="1">
      <alignment horizontal="left" vertical="center"/>
    </xf>
    <xf numFmtId="4" fontId="34" fillId="6" borderId="0" xfId="2" applyNumberFormat="1" applyFont="1" applyFill="1" applyAlignment="1">
      <alignment horizontal="right" vertical="center"/>
    </xf>
    <xf numFmtId="4" fontId="35" fillId="6" borderId="0" xfId="2" applyNumberFormat="1" applyFont="1" applyFill="1" applyAlignment="1">
      <alignment horizontal="right" vertical="center"/>
    </xf>
    <xf numFmtId="3" fontId="34" fillId="6" borderId="0" xfId="6" applyNumberFormat="1" applyFont="1" applyFill="1" applyAlignment="1">
      <alignment vertical="center"/>
    </xf>
    <xf numFmtId="173" fontId="34" fillId="6" borderId="0" xfId="7" applyNumberFormat="1" applyFont="1" applyFill="1" applyAlignment="1">
      <alignment vertical="center"/>
    </xf>
    <xf numFmtId="0" fontId="38" fillId="6" borderId="0" xfId="0" applyFont="1" applyFill="1" applyAlignment="1">
      <alignment vertical="center"/>
    </xf>
    <xf numFmtId="173" fontId="35" fillId="6" borderId="0" xfId="7" applyNumberFormat="1" applyFont="1" applyFill="1" applyAlignment="1">
      <alignment vertical="center"/>
    </xf>
    <xf numFmtId="0" fontId="36" fillId="6" borderId="0" xfId="0" applyFont="1" applyFill="1" applyAlignment="1">
      <alignment vertical="center"/>
    </xf>
    <xf numFmtId="0" fontId="34" fillId="6" borderId="0" xfId="0" applyFont="1" applyFill="1" applyAlignment="1">
      <alignment horizontal="left" vertical="center" indent="1"/>
    </xf>
    <xf numFmtId="3" fontId="35" fillId="6" borderId="0" xfId="5" applyNumberFormat="1" applyFont="1" applyFill="1" applyBorder="1" applyAlignment="1">
      <alignment vertical="center"/>
    </xf>
    <xf numFmtId="172" fontId="34" fillId="6" borderId="0" xfId="7" applyNumberFormat="1" applyFont="1" applyFill="1" applyAlignment="1">
      <alignment vertical="center"/>
    </xf>
    <xf numFmtId="0" fontId="34" fillId="6" borderId="0" xfId="2" applyNumberFormat="1" applyFont="1" applyFill="1" applyAlignment="1">
      <alignment horizontal="right" vertical="center"/>
    </xf>
    <xf numFmtId="175" fontId="34" fillId="6" borderId="0" xfId="2" applyNumberFormat="1" applyFont="1" applyFill="1" applyAlignment="1">
      <alignment horizontal="right" vertical="center"/>
    </xf>
    <xf numFmtId="164" fontId="34" fillId="6" borderId="0" xfId="2" applyNumberFormat="1" applyFont="1" applyFill="1" applyBorder="1" applyAlignment="1">
      <alignment horizontal="right" vertical="center"/>
    </xf>
    <xf numFmtId="164" fontId="34" fillId="6" borderId="0" xfId="2" applyNumberFormat="1" applyFont="1" applyFill="1"/>
    <xf numFmtId="0" fontId="34" fillId="0" borderId="0" xfId="0" applyFont="1" applyAlignment="1">
      <alignment horizontal="right" vertical="center"/>
    </xf>
    <xf numFmtId="175" fontId="34" fillId="6" borderId="0" xfId="2" applyNumberFormat="1" applyFont="1" applyFill="1" applyBorder="1" applyAlignment="1">
      <alignment horizontal="right" vertical="center"/>
    </xf>
    <xf numFmtId="0" fontId="39" fillId="6" borderId="2" xfId="6" applyFont="1" applyFill="1" applyBorder="1" applyAlignment="1">
      <alignment vertical="center"/>
    </xf>
    <xf numFmtId="0" fontId="34" fillId="6" borderId="2" xfId="6" applyFont="1" applyFill="1" applyBorder="1" applyAlignment="1">
      <alignment horizontal="right" vertical="center"/>
    </xf>
    <xf numFmtId="0" fontId="34" fillId="0" borderId="2" xfId="0" applyFont="1" applyBorder="1" applyAlignment="1">
      <alignment vertical="center"/>
    </xf>
    <xf numFmtId="0" fontId="34" fillId="0" borderId="2" xfId="0" applyFont="1" applyBorder="1" applyAlignment="1">
      <alignment horizontal="right" vertical="center"/>
    </xf>
    <xf numFmtId="164" fontId="34" fillId="6" borderId="0" xfId="2" applyNumberFormat="1" applyFont="1" applyFill="1" applyAlignment="1">
      <alignment vertical="center"/>
    </xf>
    <xf numFmtId="0" fontId="40" fillId="6" borderId="0" xfId="0" applyFont="1" applyFill="1" applyAlignment="1">
      <alignment vertical="center"/>
    </xf>
    <xf numFmtId="165" fontId="34" fillId="6" borderId="0" xfId="0" applyNumberFormat="1" applyFont="1" applyFill="1" applyAlignment="1">
      <alignment vertical="center"/>
    </xf>
    <xf numFmtId="165" fontId="35" fillId="6" borderId="0" xfId="0" applyNumberFormat="1" applyFont="1" applyFill="1" applyAlignment="1">
      <alignment vertical="center"/>
    </xf>
    <xf numFmtId="43" fontId="35" fillId="6" borderId="0" xfId="0" applyNumberFormat="1" applyFont="1" applyFill="1" applyAlignment="1">
      <alignment vertical="center"/>
    </xf>
    <xf numFmtId="0" fontId="41" fillId="5" borderId="0" xfId="0" applyFont="1" applyFill="1" applyAlignment="1">
      <alignment vertical="center"/>
    </xf>
    <xf numFmtId="0" fontId="42" fillId="5" borderId="0" xfId="0" applyFont="1" applyFill="1" applyAlignment="1">
      <alignment vertical="center"/>
    </xf>
    <xf numFmtId="0" fontId="43" fillId="6" borderId="0" xfId="0" applyFont="1" applyFill="1" applyAlignment="1">
      <alignment vertical="center"/>
    </xf>
    <xf numFmtId="165" fontId="43" fillId="6" borderId="0" xfId="0" applyNumberFormat="1" applyFont="1" applyFill="1" applyAlignment="1">
      <alignment vertical="center"/>
    </xf>
    <xf numFmtId="0" fontId="44" fillId="6" borderId="0" xfId="0" applyFont="1" applyFill="1" applyAlignment="1">
      <alignment vertical="center"/>
    </xf>
    <xf numFmtId="165" fontId="44" fillId="6" borderId="0" xfId="0" applyNumberFormat="1" applyFont="1" applyFill="1" applyAlignment="1">
      <alignment vertical="center"/>
    </xf>
    <xf numFmtId="0" fontId="44" fillId="3" borderId="0" xfId="0" applyFont="1" applyFill="1" applyAlignment="1">
      <alignment vertical="center"/>
    </xf>
    <xf numFmtId="43" fontId="44" fillId="3" borderId="0" xfId="0" applyNumberFormat="1" applyFont="1" applyFill="1" applyAlignment="1">
      <alignment vertical="center"/>
    </xf>
    <xf numFmtId="164" fontId="45" fillId="6" borderId="0" xfId="0" applyNumberFormat="1" applyFont="1" applyFill="1" applyAlignment="1">
      <alignment horizontal="right" vertical="center"/>
    </xf>
    <xf numFmtId="168" fontId="45" fillId="6" borderId="0" xfId="0" applyNumberFormat="1" applyFont="1" applyFill="1" applyAlignment="1">
      <alignment horizontal="right" vertical="center"/>
    </xf>
    <xf numFmtId="164" fontId="46" fillId="6" borderId="0" xfId="5" applyNumberFormat="1" applyFont="1" applyFill="1" applyAlignment="1">
      <alignment horizontal="right" vertical="center"/>
    </xf>
    <xf numFmtId="164" fontId="44" fillId="6" borderId="0" xfId="0" applyNumberFormat="1" applyFont="1" applyFill="1" applyAlignment="1">
      <alignment horizontal="right" vertical="center"/>
    </xf>
    <xf numFmtId="169" fontId="47" fillId="6" borderId="0" xfId="0" applyNumberFormat="1" applyFont="1" applyFill="1" applyAlignment="1">
      <alignment horizontal="right" vertical="center"/>
    </xf>
    <xf numFmtId="0" fontId="41" fillId="5" borderId="0" xfId="0" applyFont="1" applyFill="1" applyAlignment="1">
      <alignment horizontal="left" vertical="center"/>
    </xf>
    <xf numFmtId="0" fontId="48" fillId="5" borderId="0" xfId="0" applyFont="1" applyFill="1" applyAlignment="1">
      <alignment vertical="center"/>
    </xf>
    <xf numFmtId="0" fontId="49" fillId="3" borderId="0" xfId="0" applyFont="1" applyFill="1" applyAlignment="1">
      <alignment horizontal="right" vertical="center"/>
    </xf>
    <xf numFmtId="165" fontId="44" fillId="6" borderId="0" xfId="1" applyNumberFormat="1" applyFont="1" applyFill="1" applyAlignment="1">
      <alignment horizontal="right" vertical="center"/>
    </xf>
    <xf numFmtId="0" fontId="43" fillId="6" borderId="0" xfId="0" applyFont="1" applyFill="1" applyAlignment="1">
      <alignment horizontal="right" vertical="center"/>
    </xf>
    <xf numFmtId="164" fontId="43" fillId="6" borderId="0" xfId="2" applyNumberFormat="1" applyFont="1" applyFill="1" applyAlignment="1">
      <alignment horizontal="right" vertical="center"/>
    </xf>
    <xf numFmtId="164" fontId="50" fillId="6" borderId="0" xfId="0" applyNumberFormat="1" applyFont="1" applyFill="1" applyAlignment="1">
      <alignment horizontal="right" vertical="center"/>
    </xf>
    <xf numFmtId="10" fontId="43" fillId="6" borderId="0" xfId="2" applyNumberFormat="1" applyFont="1" applyFill="1" applyAlignment="1">
      <alignment horizontal="right" vertical="center"/>
    </xf>
    <xf numFmtId="10" fontId="43" fillId="6" borderId="0" xfId="0" applyNumberFormat="1" applyFont="1" applyFill="1" applyAlignment="1">
      <alignment horizontal="right" vertical="center"/>
    </xf>
    <xf numFmtId="10" fontId="50" fillId="6" borderId="0" xfId="0" applyNumberFormat="1" applyFont="1" applyFill="1" applyAlignment="1">
      <alignment horizontal="right" vertical="center"/>
    </xf>
    <xf numFmtId="165" fontId="51" fillId="6" borderId="0" xfId="1" applyNumberFormat="1" applyFont="1" applyFill="1" applyAlignment="1">
      <alignment horizontal="right" vertical="center"/>
    </xf>
    <xf numFmtId="168" fontId="43" fillId="6" borderId="0" xfId="0" applyNumberFormat="1" applyFont="1" applyFill="1" applyAlignment="1">
      <alignment horizontal="right" vertical="center"/>
    </xf>
    <xf numFmtId="9" fontId="43" fillId="6" borderId="0" xfId="2" applyFont="1" applyFill="1" applyAlignment="1">
      <alignment horizontal="right" vertical="center"/>
    </xf>
    <xf numFmtId="165" fontId="44" fillId="6" borderId="0" xfId="0" applyNumberFormat="1" applyFont="1" applyFill="1" applyAlignment="1">
      <alignment horizontal="right" vertical="center"/>
    </xf>
    <xf numFmtId="164" fontId="53" fillId="4" borderId="0" xfId="2" applyNumberFormat="1" applyFont="1" applyFill="1" applyAlignment="1">
      <alignment horizontal="right" vertical="center"/>
    </xf>
    <xf numFmtId="175" fontId="4" fillId="0" borderId="0" xfId="0" applyNumberFormat="1" applyFont="1"/>
    <xf numFmtId="9" fontId="4" fillId="0" borderId="0" xfId="2" applyFont="1"/>
    <xf numFmtId="10" fontId="34" fillId="6" borderId="0" xfId="2" applyNumberFormat="1" applyFont="1" applyFill="1" applyAlignment="1">
      <alignment horizontal="right" vertical="center"/>
    </xf>
    <xf numFmtId="177" fontId="3" fillId="3" borderId="1" xfId="0" applyNumberFormat="1" applyFont="1" applyFill="1" applyBorder="1" applyAlignment="1">
      <alignment horizontal="right" vertical="center"/>
    </xf>
    <xf numFmtId="0" fontId="11" fillId="4" borderId="0" xfId="4" quotePrefix="1" applyFont="1" applyFill="1" applyAlignment="1">
      <alignment horizontal="left" vertical="center"/>
    </xf>
  </cellXfs>
  <cellStyles count="20">
    <cellStyle name="Comma" xfId="1" builtinId="3"/>
    <cellStyle name="Comma [0] 2" xfId="17" xr:uid="{F4E1725A-C228-45C5-BBD8-668B6066FE69}"/>
    <cellStyle name="Comma 12" xfId="11" xr:uid="{1A0B3D13-6AB2-4551-81F0-BE9EA84A50FA}"/>
    <cellStyle name="Comma 2" xfId="16" xr:uid="{E91138EE-BBDD-402E-9F3D-AB8F468B8923}"/>
    <cellStyle name="Comma 3" xfId="19" xr:uid="{60CA1554-34CF-4949-93DB-C72D3684BD6D}"/>
    <cellStyle name="Currency [0] 2" xfId="15" xr:uid="{C69296E7-DD78-4F85-A025-F2CBC933E166}"/>
    <cellStyle name="Currency 2" xfId="14" xr:uid="{93875C19-3549-4C47-8A5A-D1BD05CA298D}"/>
    <cellStyle name="Currency 3" xfId="18" xr:uid="{B99B04C5-6A4D-47FD-9A14-530056B97718}"/>
    <cellStyle name="Normal" xfId="0" builtinId="0"/>
    <cellStyle name="Normal 15" xfId="10" xr:uid="{86552619-5AD9-4CF9-B1BC-1122191DB22D}"/>
    <cellStyle name="Normal 16" xfId="9" xr:uid="{A05D662F-1768-4E6D-B9C1-9B870A8477B0}"/>
    <cellStyle name="Normal 2" xfId="12" xr:uid="{4E99B8D4-DF34-4AD7-8FA9-551FDEE283E0}"/>
    <cellStyle name="Normal 3" xfId="6" xr:uid="{EC57BDA9-A952-4187-AEF7-74B4AE255679}"/>
    <cellStyle name="Normal 8 3" xfId="3" xr:uid="{D2B8E716-8BD2-4CB3-A61E-385E53F148C1}"/>
    <cellStyle name="Normal_PBLMODEL" xfId="7" xr:uid="{0020309B-2161-47B4-AA8D-92FFFD25ECFD}"/>
    <cellStyle name="Normal_Sector_Summary_Pack_Eur" xfId="4" xr:uid="{CC985274-D7F3-4F94-B169-D1CE74927AA7}"/>
    <cellStyle name="Percent" xfId="2" builtinId="5"/>
    <cellStyle name="Percent 10" xfId="5" xr:uid="{8E2CCED8-6053-4F0C-9C56-43B3149983E7}"/>
    <cellStyle name="Percent 2" xfId="13" xr:uid="{2247B7D0-69F6-4A04-8616-3FEDB6DAC689}"/>
    <cellStyle name="Percent 2 2" xfId="8" xr:uid="{D7AE5EA9-1AD4-4893-84DF-748C4CDE4E17}"/>
  </cellStyles>
  <dxfs count="5">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s>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800" b="1"/>
              <a:t>SIG</a:t>
            </a:r>
            <a:r>
              <a:rPr lang="en-US" sz="800" b="1" baseline="0"/>
              <a:t> FY25 Store Count by Banner</a:t>
            </a:r>
            <a:endParaRPr lang="en-US" sz="800" b="1"/>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'Australia Stores'!$M$20:$M$25</c:f>
              <c:strCache>
                <c:ptCount val="6"/>
                <c:pt idx="0">
                  <c:v>Chemist Warehouse</c:v>
                </c:pt>
                <c:pt idx="1">
                  <c:v>Amcal</c:v>
                </c:pt>
                <c:pt idx="2">
                  <c:v>Discount Drug Stores</c:v>
                </c:pt>
                <c:pt idx="3">
                  <c:v>MyChemist</c:v>
                </c:pt>
                <c:pt idx="4">
                  <c:v>Ultra Beauty Stores</c:v>
                </c:pt>
                <c:pt idx="5">
                  <c:v>Pipeline</c:v>
                </c:pt>
              </c:strCache>
            </c:strRef>
          </c:cat>
          <c:val>
            <c:numRef>
              <c:f>'Australia Stores'!$N$20:$N$25</c:f>
              <c:numCache>
                <c:formatCode>General</c:formatCode>
                <c:ptCount val="6"/>
                <c:pt idx="0">
                  <c:v>537</c:v>
                </c:pt>
                <c:pt idx="1">
                  <c:v>216</c:v>
                </c:pt>
                <c:pt idx="2">
                  <c:v>89</c:v>
                </c:pt>
                <c:pt idx="3">
                  <c:v>13</c:v>
                </c:pt>
                <c:pt idx="4">
                  <c:v>20</c:v>
                </c:pt>
                <c:pt idx="5">
                  <c:v>19</c:v>
                </c:pt>
              </c:numCache>
            </c:numRef>
          </c:val>
          <c:extLst>
            <c:ext xmlns:c16="http://schemas.microsoft.com/office/drawing/2014/chart" uri="{C3380CC4-5D6E-409C-BE32-E72D297353CC}">
              <c16:uniqueId val="{00000000-A17C-4481-ACAB-B1F333490D42}"/>
            </c:ext>
          </c:extLst>
        </c:ser>
        <c:dLbls>
          <c:showLegendKey val="0"/>
          <c:showVal val="0"/>
          <c:showCatName val="0"/>
          <c:showSerName val="0"/>
          <c:showPercent val="0"/>
          <c:showBubbleSize val="0"/>
        </c:dLbls>
        <c:gapWidth val="219"/>
        <c:overlap val="-27"/>
        <c:axId val="1186127152"/>
        <c:axId val="1186126192"/>
      </c:barChart>
      <c:catAx>
        <c:axId val="118612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86126192"/>
        <c:crosses val="autoZero"/>
        <c:auto val="1"/>
        <c:lblAlgn val="ctr"/>
        <c:lblOffset val="100"/>
        <c:noMultiLvlLbl val="0"/>
      </c:catAx>
      <c:valAx>
        <c:axId val="118612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861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xdr:colOff>
      <xdr:row>0</xdr:row>
      <xdr:rowOff>212351</xdr:rowOff>
    </xdr:from>
    <xdr:to>
      <xdr:col>3</xdr:col>
      <xdr:colOff>291912</xdr:colOff>
      <xdr:row>2</xdr:row>
      <xdr:rowOff>0</xdr:rowOff>
    </xdr:to>
    <xdr:grpSp>
      <xdr:nvGrpSpPr>
        <xdr:cNvPr id="2" name="Group 1">
          <a:extLst>
            <a:ext uri="{FF2B5EF4-FFF2-40B4-BE49-F238E27FC236}">
              <a16:creationId xmlns:a16="http://schemas.microsoft.com/office/drawing/2014/main" id="{DF131054-2FD7-4990-8A62-EFB2CCCAACF6}"/>
            </a:ext>
          </a:extLst>
        </xdr:cNvPr>
        <xdr:cNvGrpSpPr/>
      </xdr:nvGrpSpPr>
      <xdr:grpSpPr>
        <a:xfrm>
          <a:off x="304801" y="212351"/>
          <a:ext cx="6492686" cy="1111624"/>
          <a:chOff x="303566" y="343042"/>
          <a:chExt cx="6558166" cy="1336633"/>
        </a:xfrm>
      </xdr:grpSpPr>
      <xdr:pic>
        <xdr:nvPicPr>
          <xdr:cNvPr id="3" name="Picture 2">
            <a:extLst>
              <a:ext uri="{FF2B5EF4-FFF2-40B4-BE49-F238E27FC236}">
                <a16:creationId xmlns:a16="http://schemas.microsoft.com/office/drawing/2014/main" id="{02008487-2029-D554-7074-B018EF0355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3566" y="343042"/>
            <a:ext cx="1257780" cy="1336633"/>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4" name="TextBox 3">
            <a:extLst>
              <a:ext uri="{FF2B5EF4-FFF2-40B4-BE49-F238E27FC236}">
                <a16:creationId xmlns:a16="http://schemas.microsoft.com/office/drawing/2014/main" id="{4AEABFAC-C64C-049F-DEC0-91E030E740F0}"/>
              </a:ext>
            </a:extLst>
          </xdr:cNvPr>
          <xdr:cNvSpPr txBox="1"/>
        </xdr:nvSpPr>
        <xdr:spPr>
          <a:xfrm>
            <a:off x="1875115" y="720179"/>
            <a:ext cx="4986617" cy="79891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panose="020B0604020202020204" pitchFamily="34" charset="0"/>
                <a:cs typeface="Arial" panose="020B0604020202020204" pitchFamily="34" charset="0"/>
              </a:rPr>
              <a:t>Global Investment Research</a:t>
            </a:r>
          </a:p>
          <a:p>
            <a:r>
              <a:rPr lang="en-US" sz="1400" b="1">
                <a:solidFill>
                  <a:schemeClr val="bg1"/>
                </a:solidFill>
                <a:latin typeface="Arial" panose="020B0604020202020204" pitchFamily="34" charset="0"/>
                <a:cs typeface="Arial" panose="020B0604020202020204" pitchFamily="34" charset="0"/>
              </a:rPr>
              <a:t>ANZ Retail &amp; Consumer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493527</xdr:colOff>
      <xdr:row>8</xdr:row>
      <xdr:rowOff>3019</xdr:rowOff>
    </xdr:from>
    <xdr:to>
      <xdr:col>34</xdr:col>
      <xdr:colOff>540459</xdr:colOff>
      <xdr:row>36</xdr:row>
      <xdr:rowOff>124192</xdr:rowOff>
    </xdr:to>
    <xdr:pic>
      <xdr:nvPicPr>
        <xdr:cNvPr id="2" name="Picture 1">
          <a:extLst>
            <a:ext uri="{FF2B5EF4-FFF2-40B4-BE49-F238E27FC236}">
              <a16:creationId xmlns:a16="http://schemas.microsoft.com/office/drawing/2014/main" id="{0C521D83-AAA4-0D8B-714B-B525857FE56C}"/>
            </a:ext>
          </a:extLst>
        </xdr:cNvPr>
        <xdr:cNvPicPr>
          <a:picLocks noChangeAspect="1"/>
        </xdr:cNvPicPr>
      </xdr:nvPicPr>
      <xdr:blipFill>
        <a:blip xmlns:r="http://schemas.openxmlformats.org/officeDocument/2006/relationships" r:embed="rId1"/>
        <a:stretch>
          <a:fillRect/>
        </a:stretch>
      </xdr:blipFill>
      <xdr:spPr>
        <a:xfrm>
          <a:off x="19257777" y="1309305"/>
          <a:ext cx="5557825" cy="4693173"/>
        </a:xfrm>
        <a:prstGeom prst="rect">
          <a:avLst/>
        </a:prstGeom>
      </xdr:spPr>
    </xdr:pic>
    <xdr:clientData/>
  </xdr:twoCellAnchor>
  <xdr:twoCellAnchor>
    <xdr:from>
      <xdr:col>10</xdr:col>
      <xdr:colOff>419099</xdr:colOff>
      <xdr:row>27</xdr:row>
      <xdr:rowOff>47625</xdr:rowOff>
    </xdr:from>
    <xdr:to>
      <xdr:col>16</xdr:col>
      <xdr:colOff>85725</xdr:colOff>
      <xdr:row>42</xdr:row>
      <xdr:rowOff>57150</xdr:rowOff>
    </xdr:to>
    <xdr:graphicFrame macro="">
      <xdr:nvGraphicFramePr>
        <xdr:cNvPr id="3" name="Chart 2">
          <a:extLst>
            <a:ext uri="{FF2B5EF4-FFF2-40B4-BE49-F238E27FC236}">
              <a16:creationId xmlns:a16="http://schemas.microsoft.com/office/drawing/2014/main" id="{571B7BE1-FFF3-BB5C-C01E-A3DA73CDF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aidar, Rayanne [GIR]" id="{D6D15D90-DB78-4A2E-812C-650A7240B812}" userId="S::haidar@firmwide.corp.gs.com::ad8b7b2a-2cf6-4320-b000-f0a2aae2eb35" providerId="AD"/>
  <person displayName="Marks, Peter J [GIR]" id="{891C1E32-F071-4D36-89CA-9E92D6DCAB67}" userId="S::marksp@firmwide.corp.gs.com::a3fd3642-93c9-46e7-a52b-63ac80f178b7" providerId="AD"/>
</personList>
</file>

<file path=xl/theme/theme1.xml><?xml version="1.0" encoding="utf-8"?>
<a:theme xmlns:a="http://schemas.openxmlformats.org/drawingml/2006/main" name="Office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9" dT="2025-11-14T04:13:19.99" personId="{891C1E32-F071-4D36-89CA-9E92D6DCAB67}" id="{4C457E8E-0E76-4D7A-98CA-B0A261E487EB}">
    <text xml:space="preserve">
Action taken to rebrand most My Chemist franchise stores into Amcal and DDS franchise sto 
</text>
  </threadedComment>
  <threadedComment ref="C93" dT="2025-11-11T22:38:35.16" personId="{D6D15D90-DB78-4A2E-812C-650A7240B812}" id="{DB409B56-FDEC-4B01-8436-4D29AFE749AB}">
    <text>Incl. chem warehouse, mychemist &amp; pipeline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3E7E8C-B8D0-4800-8CC9-0DBDBB7B7344}">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ustomProperty" Target="../customProperty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customProperty" Target="../customProperty6.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customProperty" Target="../customProperty10.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CAC2-6A51-4BF1-879B-A9BF64987BAB}">
  <sheetPr>
    <tabColor theme="4"/>
  </sheetPr>
  <dimension ref="A1:J23"/>
  <sheetViews>
    <sheetView tabSelected="1" workbookViewId="0">
      <selection activeCell="F19" sqref="F19"/>
    </sheetView>
  </sheetViews>
  <sheetFormatPr defaultColWidth="0" defaultRowHeight="12.75" customHeight="1" zeroHeight="1" x14ac:dyDescent="0.2"/>
  <cols>
    <col min="1" max="1" width="4.5703125" style="125" customWidth="1"/>
    <col min="2" max="2" width="72" style="125" customWidth="1"/>
    <col min="3" max="3" width="21" style="125" customWidth="1"/>
    <col min="4" max="9" width="9.140625" style="125" customWidth="1"/>
    <col min="10" max="10" width="3.5703125" style="125" customWidth="1"/>
    <col min="11" max="16384" width="9.140625" style="125" hidden="1"/>
  </cols>
  <sheetData>
    <row r="1" spans="1:10" s="114" customFormat="1" ht="60.75" customHeight="1" x14ac:dyDescent="0.25">
      <c r="A1" s="111"/>
      <c r="B1" s="111"/>
      <c r="C1" s="112"/>
      <c r="D1" s="111"/>
      <c r="E1" s="111"/>
      <c r="F1" s="111"/>
      <c r="G1" s="111"/>
      <c r="H1" s="111"/>
      <c r="I1" s="111"/>
      <c r="J1" s="113"/>
    </row>
    <row r="2" spans="1:10" s="114" customFormat="1" ht="43.5" customHeight="1" x14ac:dyDescent="0.25">
      <c r="A2" s="111"/>
      <c r="B2" s="111"/>
      <c r="C2" s="111"/>
      <c r="D2" s="111"/>
      <c r="E2" s="111"/>
      <c r="F2" s="111"/>
      <c r="G2" s="111"/>
      <c r="H2" s="111"/>
      <c r="I2" s="111"/>
      <c r="J2" s="113"/>
    </row>
    <row r="3" spans="1:10" s="114" customFormat="1" ht="18" customHeight="1" x14ac:dyDescent="0.25">
      <c r="A3" s="111"/>
      <c r="B3" s="112"/>
      <c r="C3" s="115"/>
      <c r="D3" s="115"/>
      <c r="E3" s="115"/>
      <c r="F3" s="115"/>
      <c r="G3" s="115"/>
      <c r="H3" s="115"/>
      <c r="I3" s="115"/>
      <c r="J3" s="113"/>
    </row>
    <row r="4" spans="1:10" s="113" customFormat="1" ht="7.5" customHeight="1" x14ac:dyDescent="0.25"/>
    <row r="5" spans="1:10" s="114" customFormat="1" ht="18" customHeight="1" x14ac:dyDescent="0.25">
      <c r="A5" s="116"/>
      <c r="B5" s="381" t="s">
        <v>231</v>
      </c>
      <c r="C5" s="381"/>
      <c r="D5" s="381"/>
      <c r="E5" s="381"/>
      <c r="F5" s="381"/>
      <c r="G5" s="381"/>
      <c r="H5" s="381"/>
      <c r="I5" s="381"/>
      <c r="J5" s="113"/>
    </row>
    <row r="6" spans="1:10" s="113" customFormat="1" ht="18.75" customHeight="1" x14ac:dyDescent="0.25">
      <c r="B6" s="117" t="s">
        <v>217</v>
      </c>
      <c r="C6" s="118" t="s">
        <v>474</v>
      </c>
    </row>
    <row r="7" spans="1:10" s="113" customFormat="1" ht="18.75" customHeight="1" x14ac:dyDescent="0.25">
      <c r="B7" s="117" t="s">
        <v>218</v>
      </c>
      <c r="C7" s="119" t="s">
        <v>494</v>
      </c>
    </row>
    <row r="8" spans="1:10" s="113" customFormat="1" ht="18.75" customHeight="1" x14ac:dyDescent="0.25">
      <c r="B8" s="117" t="s">
        <v>219</v>
      </c>
      <c r="C8" s="120">
        <v>3</v>
      </c>
    </row>
    <row r="9" spans="1:10" s="113" customFormat="1" ht="18.75" customHeight="1" x14ac:dyDescent="0.25">
      <c r="B9" s="117" t="s">
        <v>220</v>
      </c>
      <c r="C9" s="121"/>
      <c r="E9" s="122"/>
    </row>
    <row r="10" spans="1:10" s="113" customFormat="1" ht="18.75" customHeight="1" x14ac:dyDescent="0.25">
      <c r="B10" s="117" t="s">
        <v>221</v>
      </c>
      <c r="C10" s="121"/>
    </row>
    <row r="11" spans="1:10" s="113" customFormat="1" ht="18.75" customHeight="1" x14ac:dyDescent="0.25">
      <c r="B11" s="117" t="s">
        <v>222</v>
      </c>
      <c r="C11" s="118" t="s">
        <v>194</v>
      </c>
    </row>
    <row r="12" spans="1:10" s="113" customFormat="1" ht="18.75" customHeight="1" x14ac:dyDescent="0.25">
      <c r="B12" s="117" t="s">
        <v>223</v>
      </c>
      <c r="C12" s="118">
        <v>46043</v>
      </c>
    </row>
    <row r="13" spans="1:10" s="113" customFormat="1" ht="18.75" customHeight="1" x14ac:dyDescent="0.25">
      <c r="B13" s="117" t="s">
        <v>224</v>
      </c>
      <c r="C13" s="118"/>
    </row>
    <row r="14" spans="1:10" s="113" customFormat="1" ht="5.0999999999999996" customHeight="1" x14ac:dyDescent="0.25"/>
    <row r="15" spans="1:10" s="114" customFormat="1" ht="18" customHeight="1" x14ac:dyDescent="0.25">
      <c r="A15" s="116"/>
      <c r="B15" s="381" t="s">
        <v>225</v>
      </c>
      <c r="C15" s="381"/>
      <c r="D15" s="381"/>
      <c r="E15" s="381"/>
      <c r="F15" s="381"/>
      <c r="G15" s="381"/>
      <c r="H15" s="381"/>
      <c r="I15" s="381"/>
      <c r="J15" s="113"/>
    </row>
    <row r="16" spans="1:10" s="113" customFormat="1" ht="18.75" customHeight="1" x14ac:dyDescent="0.25">
      <c r="B16" s="123" t="s">
        <v>226</v>
      </c>
    </row>
    <row r="17" spans="2:2" s="113" customFormat="1" ht="18.75" customHeight="1" x14ac:dyDescent="0.25">
      <c r="B17" s="124" t="s">
        <v>227</v>
      </c>
    </row>
    <row r="18" spans="2:2" s="113" customFormat="1" ht="18.75" customHeight="1" x14ac:dyDescent="0.25">
      <c r="B18" s="123" t="s">
        <v>228</v>
      </c>
    </row>
    <row r="19" spans="2:2" s="113" customFormat="1" ht="18.75" customHeight="1" x14ac:dyDescent="0.25">
      <c r="B19" s="124" t="s">
        <v>229</v>
      </c>
    </row>
    <row r="20" spans="2:2" s="113" customFormat="1" ht="18.75" customHeight="1" x14ac:dyDescent="0.25">
      <c r="B20" s="123" t="s">
        <v>228</v>
      </c>
    </row>
    <row r="21" spans="2:2" s="113" customFormat="1" ht="18.75" customHeight="1" x14ac:dyDescent="0.25">
      <c r="B21" s="124" t="s">
        <v>230</v>
      </c>
    </row>
    <row r="22" spans="2:2" s="113" customFormat="1" ht="18" customHeight="1" x14ac:dyDescent="0.25">
      <c r="B22" s="124"/>
    </row>
    <row r="23" spans="2:2" s="113" customFormat="1" ht="18" hidden="1" customHeight="1" x14ac:dyDescent="0.25"/>
  </sheetData>
  <mergeCells count="2">
    <mergeCell ref="B5:I5"/>
    <mergeCell ref="B15:I15"/>
  </mergeCells>
  <pageMargins left="0.7" right="0.7" top="0.75" bottom="0.75" header="0.3" footer="0.3"/>
  <customProperties>
    <customPr name="Qube.Worksheet.Visibility"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7DF6-C59A-4895-9E35-AEBEB823AE60}">
  <sheetPr>
    <tabColor theme="7" tint="0.59999389629810485"/>
    <pageSetUpPr autoPageBreaks="0" fitToPage="1"/>
  </sheetPr>
  <dimension ref="A1:Z104"/>
  <sheetViews>
    <sheetView showGridLines="0" topLeftCell="C1" zoomScale="85" zoomScaleNormal="85" workbookViewId="0">
      <selection activeCell="P67" sqref="P67"/>
    </sheetView>
  </sheetViews>
  <sheetFormatPr defaultColWidth="9.140625" defaultRowHeight="12.75" outlineLevelCol="1" x14ac:dyDescent="0.2"/>
  <cols>
    <col min="1" max="2" width="24.85546875" style="29" hidden="1" customWidth="1" outlineLevel="1"/>
    <col min="3" max="3" width="7.7109375" style="29" customWidth="1" collapsed="1"/>
    <col min="4" max="4" width="32.28515625" style="136" customWidth="1"/>
    <col min="5" max="9" width="12.140625" style="137" customWidth="1"/>
    <col min="10" max="10" width="3.7109375" style="137" customWidth="1"/>
    <col min="11" max="11" width="30" style="136" customWidth="1"/>
    <col min="12" max="12" width="13.140625" style="136" customWidth="1"/>
    <col min="13" max="18" width="12.140625" style="137" customWidth="1"/>
    <col min="19" max="16384" width="9.140625" style="29"/>
  </cols>
  <sheetData>
    <row r="1" spans="1:19" s="126" customFormat="1" x14ac:dyDescent="0.2">
      <c r="D1" s="8" t="s">
        <v>231</v>
      </c>
      <c r="E1" s="40"/>
      <c r="F1" s="40"/>
      <c r="G1" s="40"/>
      <c r="H1" s="40"/>
      <c r="I1" s="40"/>
      <c r="J1" s="40"/>
      <c r="K1" s="127"/>
      <c r="L1" s="127"/>
      <c r="M1" s="40"/>
      <c r="N1" s="40"/>
      <c r="O1" s="40"/>
      <c r="P1" s="40"/>
      <c r="Q1" s="40"/>
      <c r="R1" s="40"/>
    </row>
    <row r="2" spans="1:19" s="126" customFormat="1" x14ac:dyDescent="0.2">
      <c r="D2" s="127"/>
      <c r="E2" s="40"/>
      <c r="F2" s="40"/>
      <c r="G2" s="40"/>
      <c r="H2" s="40"/>
      <c r="I2" s="40"/>
      <c r="J2" s="40"/>
      <c r="K2" s="127"/>
      <c r="L2" s="127"/>
      <c r="M2" s="40"/>
      <c r="N2" s="40"/>
      <c r="O2" s="40"/>
      <c r="P2" s="40"/>
      <c r="Q2" s="40"/>
      <c r="R2" s="40"/>
    </row>
    <row r="3" spans="1:19" s="126" customFormat="1" x14ac:dyDescent="0.2">
      <c r="D3" s="127"/>
      <c r="E3" s="40"/>
      <c r="F3" s="40"/>
      <c r="G3" s="40"/>
      <c r="H3" s="40"/>
      <c r="I3" s="40"/>
      <c r="J3" s="40"/>
      <c r="K3" s="127"/>
      <c r="L3" s="127"/>
      <c r="M3" s="40"/>
      <c r="N3" s="40"/>
      <c r="O3" s="40"/>
      <c r="P3" s="40"/>
      <c r="Q3" s="40"/>
      <c r="R3" s="40"/>
    </row>
    <row r="4" spans="1:19" s="126" customFormat="1" x14ac:dyDescent="0.2">
      <c r="D4" s="127"/>
      <c r="E4" s="40"/>
      <c r="F4" s="40"/>
      <c r="G4" s="40"/>
      <c r="H4" s="40"/>
      <c r="I4" s="40"/>
      <c r="J4" s="40"/>
      <c r="K4" s="127"/>
      <c r="L4" s="127"/>
      <c r="M4" s="40"/>
      <c r="N4" s="40"/>
      <c r="O4" s="40"/>
      <c r="P4" s="40"/>
      <c r="Q4" s="40"/>
      <c r="R4" s="40"/>
    </row>
    <row r="6" spans="1:19" ht="23.25" customHeight="1" x14ac:dyDescent="0.2">
      <c r="D6" s="291" t="s">
        <v>289</v>
      </c>
      <c r="E6" s="292"/>
      <c r="F6" s="292"/>
      <c r="G6" s="292"/>
      <c r="H6" s="292"/>
      <c r="I6" s="292"/>
      <c r="J6" s="292"/>
      <c r="K6" s="291"/>
      <c r="L6" s="291"/>
      <c r="M6" s="292"/>
      <c r="N6" s="292"/>
      <c r="O6" s="292"/>
      <c r="P6" s="292"/>
    </row>
    <row r="7" spans="1:19" ht="6.75" customHeight="1" x14ac:dyDescent="0.2">
      <c r="D7" s="293"/>
      <c r="E7" s="294"/>
      <c r="F7" s="294"/>
      <c r="G7" s="294"/>
      <c r="H7" s="294"/>
      <c r="I7" s="294"/>
      <c r="J7" s="294"/>
      <c r="K7" s="293"/>
      <c r="L7" s="293"/>
      <c r="M7" s="294"/>
      <c r="N7" s="294"/>
      <c r="O7" s="294"/>
      <c r="P7" s="294"/>
    </row>
    <row r="8" spans="1:19" ht="23.25" customHeight="1" x14ac:dyDescent="0.2">
      <c r="D8" s="295" t="s">
        <v>232</v>
      </c>
      <c r="E8" s="296"/>
      <c r="F8" s="297">
        <f>Valuation!E22</f>
        <v>3.5</v>
      </c>
      <c r="G8" s="296"/>
      <c r="H8" s="298"/>
      <c r="I8" s="298"/>
      <c r="J8" s="296"/>
      <c r="K8" s="299"/>
      <c r="L8" s="300"/>
      <c r="M8" s="298"/>
      <c r="N8" s="298"/>
      <c r="O8" s="298"/>
      <c r="P8" s="298"/>
    </row>
    <row r="9" spans="1:19" ht="23.25" customHeight="1" x14ac:dyDescent="0.2">
      <c r="D9" s="295" t="s">
        <v>233</v>
      </c>
      <c r="E9" s="296"/>
      <c r="F9" s="301">
        <v>2.92</v>
      </c>
      <c r="G9" s="296"/>
      <c r="H9" s="298"/>
      <c r="I9" s="298"/>
      <c r="J9" s="296"/>
      <c r="K9" s="299"/>
      <c r="L9" s="300"/>
      <c r="M9" s="298"/>
      <c r="N9" s="298"/>
      <c r="O9" s="298"/>
      <c r="P9" s="298"/>
      <c r="S9" s="377"/>
    </row>
    <row r="10" spans="1:19" ht="23.25" customHeight="1" x14ac:dyDescent="0.2">
      <c r="D10" s="295" t="s">
        <v>234</v>
      </c>
      <c r="E10" s="296"/>
      <c r="F10" s="302">
        <f>F8/F9-1</f>
        <v>0.1986301369863015</v>
      </c>
      <c r="G10" s="296"/>
      <c r="H10" s="298"/>
      <c r="I10" s="298"/>
      <c r="J10" s="296"/>
      <c r="K10" s="299"/>
      <c r="L10" s="300"/>
      <c r="M10" s="298"/>
      <c r="N10" s="298"/>
      <c r="O10" s="298"/>
      <c r="P10" s="298"/>
      <c r="S10" s="378"/>
    </row>
    <row r="11" spans="1:19" ht="23.25" customHeight="1" x14ac:dyDescent="0.2">
      <c r="D11" s="295" t="s">
        <v>487</v>
      </c>
      <c r="E11" s="296"/>
      <c r="F11" s="376" t="s">
        <v>488</v>
      </c>
      <c r="G11" s="296"/>
      <c r="H11" s="298"/>
      <c r="I11" s="298"/>
      <c r="J11" s="296"/>
      <c r="K11" s="299"/>
      <c r="L11" s="300"/>
      <c r="M11" s="298"/>
      <c r="N11" s="298"/>
      <c r="O11" s="298"/>
      <c r="P11" s="298"/>
    </row>
    <row r="12" spans="1:19" ht="6.75" customHeight="1" x14ac:dyDescent="0.2">
      <c r="C12" s="137"/>
      <c r="D12" s="303"/>
      <c r="E12" s="303"/>
      <c r="F12" s="303"/>
      <c r="G12" s="303"/>
      <c r="H12" s="303"/>
      <c r="I12" s="303"/>
      <c r="J12" s="303"/>
      <c r="K12" s="303"/>
      <c r="L12" s="303"/>
      <c r="M12" s="303"/>
      <c r="N12" s="303"/>
      <c r="O12" s="303"/>
      <c r="P12" s="303"/>
    </row>
    <row r="13" spans="1:19" ht="23.25" customHeight="1" x14ac:dyDescent="0.2">
      <c r="A13" s="30" t="s">
        <v>466</v>
      </c>
      <c r="B13" s="30" t="s">
        <v>235</v>
      </c>
      <c r="C13" s="30"/>
      <c r="D13" s="304" t="s">
        <v>160</v>
      </c>
      <c r="E13" s="305" t="s">
        <v>18</v>
      </c>
      <c r="F13" s="305" t="s">
        <v>19</v>
      </c>
      <c r="G13" s="305" t="s">
        <v>20</v>
      </c>
      <c r="H13" s="305" t="s">
        <v>21</v>
      </c>
      <c r="I13" s="305" t="s">
        <v>87</v>
      </c>
      <c r="J13" s="303"/>
      <c r="K13" s="304" t="s">
        <v>301</v>
      </c>
      <c r="L13" s="305" t="str">
        <f>E$13</f>
        <v>FY24</v>
      </c>
      <c r="M13" s="305" t="str">
        <f>F$13</f>
        <v>FY25</v>
      </c>
      <c r="N13" s="305" t="str">
        <f>G$13</f>
        <v>FY26E</v>
      </c>
      <c r="O13" s="305" t="str">
        <f>H$13</f>
        <v>FY27E</v>
      </c>
      <c r="P13" s="305" t="str">
        <f>I$13</f>
        <v>FY28E</v>
      </c>
    </row>
    <row r="14" spans="1:19" ht="22.5" customHeight="1" x14ac:dyDescent="0.2">
      <c r="B14" s="29" t="s">
        <v>22</v>
      </c>
      <c r="C14" s="28"/>
      <c r="D14" s="306" t="s">
        <v>292</v>
      </c>
      <c r="E14" s="307"/>
      <c r="F14" s="307"/>
      <c r="G14" s="294"/>
      <c r="H14" s="294"/>
      <c r="I14" s="307"/>
      <c r="J14" s="303"/>
      <c r="K14" s="308" t="s">
        <v>236</v>
      </c>
      <c r="L14" s="309"/>
      <c r="M14" s="311">
        <f>VLOOKUP($B14,BS!$1:$1048576,MATCH(F$37,BS!$3:$3,0),FALSE)</f>
        <v>138.774</v>
      </c>
      <c r="N14" s="311">
        <f>VLOOKUP($B14,BS!$1:$1048576,MATCH(G$37,BS!$3:$3,0),FALSE)</f>
        <v>262.54586159464975</v>
      </c>
      <c r="O14" s="311">
        <f>VLOOKUP($B14,BS!$1:$1048576,MATCH(H$37,BS!$3:$3,0),FALSE)</f>
        <v>477.70275081593763</v>
      </c>
      <c r="P14" s="311">
        <f>VLOOKUP($B14,BS!$1:$1048576,MATCH(I$37,BS!$3:$3,0),FALSE)</f>
        <v>723.64380317281007</v>
      </c>
    </row>
    <row r="15" spans="1:19" ht="22.5" customHeight="1" x14ac:dyDescent="0.2">
      <c r="A15" s="28" t="s">
        <v>397</v>
      </c>
      <c r="B15" s="29" t="s">
        <v>237</v>
      </c>
      <c r="C15" s="28"/>
      <c r="D15" s="310" t="s">
        <v>1</v>
      </c>
      <c r="E15" s="311">
        <f>VLOOKUP($A15,Model!$1:$1048576,MATCH(L$51,Model!$3:$3,0),FALSE)</f>
        <v>7909.9</v>
      </c>
      <c r="F15" s="311">
        <f>VLOOKUP($A15,Model!$1:$1048576,MATCH(M$51,Model!$3:$3,0),FALSE)</f>
        <v>8968.9</v>
      </c>
      <c r="G15" s="311">
        <f>VLOOKUP($A15,Model!$1:$1048576,MATCH(N$51,Model!$3:$3,0),FALSE)</f>
        <v>10113.441463265304</v>
      </c>
      <c r="H15" s="311">
        <f>VLOOKUP($A15,Model!$1:$1048576,MATCH(O$51,Model!$3:$3,0),FALSE)</f>
        <v>11091.441292688198</v>
      </c>
      <c r="I15" s="311">
        <f>VLOOKUP($A15,Model!$1:$1048576,MATCH(P$51,Model!$3:$3,0),FALSE)</f>
        <v>11821.770042422126</v>
      </c>
      <c r="J15" s="303"/>
      <c r="K15" s="312" t="s">
        <v>238</v>
      </c>
      <c r="L15" s="309"/>
      <c r="M15" s="311">
        <f>VLOOKUP($B15,BS!$1:$1048576,MATCH(F$37,BS!$3:$3,0),FALSE)</f>
        <v>1575.136</v>
      </c>
      <c r="N15" s="311">
        <f>VLOOKUP($B15,BS!$1:$1048576,MATCH(G$37,BS!$3:$3,0),FALSE)</f>
        <v>1709.8834966073759</v>
      </c>
      <c r="O15" s="311">
        <f>VLOOKUP($B15,BS!$1:$1048576,MATCH(H$37,BS!$3:$3,0),FALSE)</f>
        <v>1838.0482683607343</v>
      </c>
      <c r="P15" s="311">
        <f>VLOOKUP($B15,BS!$1:$1048576,MATCH(I$37,BS!$3:$3,0),FALSE)</f>
        <v>1992.8446506136388</v>
      </c>
    </row>
    <row r="16" spans="1:19" ht="22.5" customHeight="1" x14ac:dyDescent="0.2">
      <c r="A16" s="28" t="s">
        <v>402</v>
      </c>
      <c r="B16" s="29" t="s">
        <v>24</v>
      </c>
      <c r="C16" s="28"/>
      <c r="D16" s="310" t="s">
        <v>2</v>
      </c>
      <c r="E16" s="311">
        <f>VLOOKUP($A16,Model!$1:$1048576,MATCH(L$51,Model!$3:$3,0),FALSE)</f>
        <v>886</v>
      </c>
      <c r="F16" s="311">
        <f>VLOOKUP($A16,Model!$1:$1048576,MATCH(M$51,Model!$3:$3,0),FALSE)</f>
        <v>1050</v>
      </c>
      <c r="G16" s="311">
        <f>VLOOKUP($A16,Model!$1:$1048576,MATCH(N$51,Model!$3:$3,0),FALSE)</f>
        <v>1297.6967213114754</v>
      </c>
      <c r="H16" s="311">
        <f>VLOOKUP($A16,Model!$1:$1048576,MATCH(O$51,Model!$3:$3,0),FALSE)</f>
        <v>1533.3311259706643</v>
      </c>
      <c r="I16" s="311">
        <f>VLOOKUP($A16,Model!$1:$1048576,MATCH(P$51,Model!$3:$3,0),FALSE)</f>
        <v>1788.2919992425307</v>
      </c>
      <c r="J16" s="303"/>
      <c r="K16" s="312" t="s">
        <v>24</v>
      </c>
      <c r="L16" s="309"/>
      <c r="M16" s="311">
        <f>VLOOKUP($B16,BS!$1:$1048576,MATCH(F$37,BS!$3:$3,0),FALSE)</f>
        <v>1019.778</v>
      </c>
      <c r="N16" s="311">
        <f>VLOOKUP($B16,BS!$1:$1048576,MATCH(G$37,BS!$3:$3,0),FALSE)</f>
        <v>1171.1085441437249</v>
      </c>
      <c r="O16" s="311">
        <f>VLOOKUP($B16,BS!$1:$1048576,MATCH(H$37,BS!$3:$3,0),FALSE)</f>
        <v>1247.247039244784</v>
      </c>
      <c r="P16" s="311">
        <f>VLOOKUP($B16,BS!$1:$1048576,MATCH(I$37,BS!$3:$3,0),FALSE)</f>
        <v>1281.1144182516248</v>
      </c>
    </row>
    <row r="17" spans="1:16" ht="22.5" customHeight="1" x14ac:dyDescent="0.2">
      <c r="A17" s="28" t="s">
        <v>398</v>
      </c>
      <c r="B17" s="29" t="s">
        <v>424</v>
      </c>
      <c r="C17" s="28"/>
      <c r="D17" s="310" t="s">
        <v>3</v>
      </c>
      <c r="E17" s="311">
        <f>VLOOKUP($A17,Model!$1:$1048576,MATCH(L$51,Model!$3:$3,0),FALSE)</f>
        <v>105.69921151807108</v>
      </c>
      <c r="F17" s="311">
        <f>VLOOKUP($A17,Model!$1:$1048576,MATCH(M$51,Model!$3:$3,0),FALSE)</f>
        <v>167.47139477774832</v>
      </c>
      <c r="G17" s="311">
        <f>VLOOKUP($A17,Model!$1:$1048576,MATCH(N$51,Model!$3:$3,0),FALSE)</f>
        <v>266.16179202581452</v>
      </c>
      <c r="H17" s="311">
        <f>VLOOKUP($A17,Model!$1:$1048576,MATCH(O$51,Model!$3:$3,0),FALSE)</f>
        <v>368.14378391781082</v>
      </c>
      <c r="I17" s="311">
        <f>VLOOKUP($A17,Model!$1:$1048576,MATCH(P$51,Model!$3:$3,0),FALSE)</f>
        <v>467.5426055756198</v>
      </c>
      <c r="J17" s="303"/>
      <c r="K17" s="313" t="s">
        <v>419</v>
      </c>
      <c r="L17" s="309"/>
      <c r="M17" s="311">
        <f>VLOOKUP($B17,BS!$1:$1048576,MATCH(F$37,BS!$3:$3,0),FALSE)</f>
        <v>139.65600000000001</v>
      </c>
      <c r="N17" s="311">
        <f>VLOOKUP($B17,BS!$1:$1048576,MATCH(G$37,BS!$3:$3,0),FALSE)</f>
        <v>139.65600000000001</v>
      </c>
      <c r="O17" s="311">
        <f>VLOOKUP($B17,BS!$1:$1048576,MATCH(H$37,BS!$3:$3,0),FALSE)</f>
        <v>139.65600000000001</v>
      </c>
      <c r="P17" s="311">
        <f>VLOOKUP($B17,BS!$1:$1048576,MATCH(I$37,BS!$3:$3,0),FALSE)</f>
        <v>139.65600000000001</v>
      </c>
    </row>
    <row r="18" spans="1:16" ht="22.5" customHeight="1" x14ac:dyDescent="0.2">
      <c r="A18" s="28" t="s">
        <v>399</v>
      </c>
      <c r="B18" s="28" t="s">
        <v>420</v>
      </c>
      <c r="C18" s="28"/>
      <c r="D18" s="310" t="s">
        <v>4</v>
      </c>
      <c r="E18" s="309">
        <f>VLOOKUP($A18,Model!$1:$1048576,MATCH(L$51,Model!$3:$3,0),FALSE)</f>
        <v>100.30078848192898</v>
      </c>
      <c r="F18" s="309">
        <f>VLOOKUP($A18,Model!$1:$1048576,MATCH(M$51,Model!$3:$3,0),FALSE)</f>
        <v>72.128605222251281</v>
      </c>
      <c r="G18" s="309">
        <f>VLOOKUP($A18,Model!$1:$1048576,MATCH(N$51,Model!$3:$3,0),FALSE)</f>
        <v>80</v>
      </c>
      <c r="H18" s="309">
        <f>VLOOKUP($A18,Model!$1:$1048576,MATCH(O$51,Model!$3:$3,0),FALSE)</f>
        <v>80</v>
      </c>
      <c r="I18" s="309">
        <f>VLOOKUP($A18,Model!$1:$1048576,MATCH(P$51,Model!$3:$3,0),FALSE)</f>
        <v>80</v>
      </c>
      <c r="J18" s="303"/>
      <c r="K18" s="312" t="s">
        <v>239</v>
      </c>
      <c r="L18" s="309"/>
      <c r="M18" s="311">
        <f>VLOOKUP($B18,BS!$1:$1048576,MATCH(F$37,BS!$3:$3,0),FALSE)</f>
        <v>34.573</v>
      </c>
      <c r="N18" s="311">
        <f>VLOOKUP($B18,BS!$1:$1048576,MATCH(G$37,BS!$3:$3,0),FALSE)</f>
        <v>34.573</v>
      </c>
      <c r="O18" s="311">
        <f>VLOOKUP($B18,BS!$1:$1048576,MATCH(H$37,BS!$3:$3,0),FALSE)</f>
        <v>34.573</v>
      </c>
      <c r="P18" s="311">
        <f>VLOOKUP($B18,BS!$1:$1048576,MATCH(I$37,BS!$3:$3,0),FALSE)</f>
        <v>34.573</v>
      </c>
    </row>
    <row r="19" spans="1:16" ht="22.5" customHeight="1" x14ac:dyDescent="0.2">
      <c r="A19" s="28" t="s">
        <v>400</v>
      </c>
      <c r="B19" s="28" t="s">
        <v>240</v>
      </c>
      <c r="C19" s="28"/>
      <c r="D19" s="310" t="s">
        <v>7</v>
      </c>
      <c r="E19" s="309">
        <f>VLOOKUP($A19,Model!$1:$1048576,MATCH(L$51,Model!$3:$3,0),FALSE)</f>
        <v>0</v>
      </c>
      <c r="F19" s="309">
        <f>VLOOKUP($A19,Model!$1:$1048576,MATCH(M$51,Model!$3:$3,0),FALSE)</f>
        <v>10</v>
      </c>
      <c r="G19" s="309">
        <f>VLOOKUP($A19,Model!$1:$1048576,MATCH(N$51,Model!$3:$3,0),FALSE)</f>
        <v>35</v>
      </c>
      <c r="H19" s="309">
        <f>VLOOKUP($A19,Model!$1:$1048576,MATCH(O$51,Model!$3:$3,0),FALSE)</f>
        <v>56</v>
      </c>
      <c r="I19" s="309">
        <f>VLOOKUP($A19,Model!$1:$1048576,MATCH(P$51,Model!$3:$3,0),FALSE)</f>
        <v>77</v>
      </c>
      <c r="J19" s="303"/>
      <c r="K19" s="314" t="s">
        <v>241</v>
      </c>
      <c r="L19" s="315"/>
      <c r="M19" s="316">
        <f>VLOOKUP($B19,BS!$1:$1048576,MATCH(F$37,BS!$3:$3,0),FALSE)</f>
        <v>2908.4290000000001</v>
      </c>
      <c r="N19" s="316">
        <f>VLOOKUP($B19,BS!$1:$1048576,MATCH(G$37,BS!$3:$3,0),FALSE)</f>
        <v>3318.2789023457508</v>
      </c>
      <c r="O19" s="316">
        <f>VLOOKUP($B19,BS!$1:$1048576,MATCH(H$37,BS!$3:$3,0),FALSE)</f>
        <v>3737.7390584214559</v>
      </c>
      <c r="P19" s="316">
        <f>VLOOKUP($B19,BS!$1:$1048576,MATCH(I$37,BS!$3:$3,0),FALSE)</f>
        <v>4172.3438720380746</v>
      </c>
    </row>
    <row r="20" spans="1:16" ht="22.5" customHeight="1" x14ac:dyDescent="0.2">
      <c r="A20" s="28" t="s">
        <v>125</v>
      </c>
      <c r="B20" s="28" t="s">
        <v>31</v>
      </c>
      <c r="C20" s="28"/>
      <c r="D20" s="314" t="s">
        <v>293</v>
      </c>
      <c r="E20" s="316">
        <f>VLOOKUP($A20,Model!$1:$1048576,MATCH(L$51,Model!$3:$3,0),FALSE)</f>
        <v>9001.9</v>
      </c>
      <c r="F20" s="316">
        <f>VLOOKUP($A20,Model!$1:$1048576,MATCH(M$51,Model!$3:$3,0),FALSE)</f>
        <v>10268.5</v>
      </c>
      <c r="G20" s="316">
        <f>VLOOKUP($A20,Model!$1:$1048576,MATCH(N$51,Model!$3:$3,0),FALSE)</f>
        <v>11792.299976602593</v>
      </c>
      <c r="H20" s="316">
        <f>VLOOKUP($A20,Model!$1:$1048576,MATCH(O$51,Model!$3:$3,0),FALSE)</f>
        <v>13128.916202576673</v>
      </c>
      <c r="I20" s="316">
        <f>VLOOKUP($A20,Model!$1:$1048576,MATCH(P$51,Model!$3:$3,0),FALSE)</f>
        <v>14234.604647240276</v>
      </c>
      <c r="J20" s="303"/>
      <c r="K20" s="308" t="s">
        <v>31</v>
      </c>
      <c r="L20" s="309"/>
      <c r="M20" s="311">
        <f>VLOOKUP($B20,BS!$1:$1048576,MATCH(F$37,BS!$3:$3,0),FALSE)</f>
        <v>320.43799999999999</v>
      </c>
      <c r="N20" s="311">
        <f>VLOOKUP($B20,BS!$1:$1048576,MATCH(G$37,BS!$3:$3,0),FALSE)</f>
        <v>340.93441691394656</v>
      </c>
      <c r="O20" s="311">
        <f>VLOOKUP($B20,BS!$1:$1048576,MATCH(H$37,BS!$3:$3,0),FALSE)</f>
        <v>364.10257789317507</v>
      </c>
      <c r="P20" s="311">
        <f>VLOOKUP($B20,BS!$1:$1048576,MATCH(I$37,BS!$3:$3,0),FALSE)</f>
        <v>390.1751117581602</v>
      </c>
    </row>
    <row r="21" spans="1:16" ht="22.5" customHeight="1" x14ac:dyDescent="0.2">
      <c r="A21" s="28" t="s">
        <v>416</v>
      </c>
      <c r="B21" s="28" t="s">
        <v>423</v>
      </c>
      <c r="C21" s="28"/>
      <c r="D21" s="310" t="s">
        <v>137</v>
      </c>
      <c r="E21" s="317">
        <f>VLOOKUP($A21,Model!$1:$1048576,MATCH(L$51,Model!$3:$3,0),FALSE)</f>
        <v>0.1412145030425962</v>
      </c>
      <c r="F21" s="317">
        <f>VLOOKUP($A21,Model!$1:$1048576,MATCH(M$51,Model!$3:$3,0),FALSE)</f>
        <v>0.1407036292338284</v>
      </c>
      <c r="G21" s="317">
        <f>VLOOKUP($A21,Model!$1:$1048576,MATCH(N$51,Model!$3:$3,0),FALSE)</f>
        <v>0.14839557643303247</v>
      </c>
      <c r="H21" s="317">
        <f>VLOOKUP($A21,Model!$1:$1048576,MATCH(O$51,Model!$3:$3,0),FALSE)</f>
        <v>0.11334652515845889</v>
      </c>
      <c r="I21" s="317">
        <f>VLOOKUP($A21,Model!$1:$1048576,MATCH(P$51,Model!$3:$3,0),FALSE)</f>
        <v>8.4217800434022161E-2</v>
      </c>
      <c r="J21" s="303"/>
      <c r="K21" s="312" t="s">
        <v>242</v>
      </c>
      <c r="L21" s="309"/>
      <c r="M21" s="311">
        <f>VLOOKUP($B21,BS!$1:$1048576,MATCH(F$37,BS!$3:$3,0),FALSE)</f>
        <v>821.66800000000001</v>
      </c>
      <c r="N21" s="311">
        <f>VLOOKUP($B21,BS!$1:$1048576,MATCH(G$37,BS!$3:$3,0),FALSE)</f>
        <v>686.24127151335313</v>
      </c>
      <c r="O21" s="311">
        <f>VLOOKUP($B21,BS!$1:$1048576,MATCH(H$37,BS!$3:$3,0),FALSE)</f>
        <v>545.70052670623147</v>
      </c>
      <c r="P21" s="311">
        <f>VLOOKUP($B21,BS!$1:$1048576,MATCH(I$37,BS!$3:$3,0),FALSE)</f>
        <v>398.15168545994067</v>
      </c>
    </row>
    <row r="22" spans="1:16" ht="22.5" customHeight="1" x14ac:dyDescent="0.2">
      <c r="A22" s="29" t="s">
        <v>429</v>
      </c>
      <c r="B22" s="28" t="s">
        <v>243</v>
      </c>
      <c r="C22" s="28"/>
      <c r="D22" s="312" t="s">
        <v>294</v>
      </c>
      <c r="E22" s="311">
        <f>VLOOKUP($A22,Model!$1:$1048576,MATCH(L$51,Model!$3:$3,0),FALSE)</f>
        <v>6655.7</v>
      </c>
      <c r="F22" s="311">
        <f>VLOOKUP($A22,Model!$1:$1048576,MATCH(M$51,Model!$3:$3,0),FALSE)</f>
        <v>9591.2999999999993</v>
      </c>
      <c r="G22" s="311">
        <f>VLOOKUP($A22,Model!$1:$1048576,MATCH(N$51,Model!$3:$3,0),FALSE)</f>
        <v>10928.78463449656</v>
      </c>
      <c r="H22" s="311">
        <f>VLOOKUP($A22,Model!$1:$1048576,MATCH(O$51,Model!$3:$3,0),FALSE)</f>
        <v>12084.818883243226</v>
      </c>
      <c r="I22" s="311">
        <f>VLOOKUP($A22,Model!$1:$1048576,MATCH(P$51,Model!$3:$3,0),FALSE)</f>
        <v>12985.046854052593</v>
      </c>
      <c r="J22" s="303"/>
      <c r="K22" s="312" t="s">
        <v>243</v>
      </c>
      <c r="L22" s="309"/>
      <c r="M22" s="311">
        <f>VLOOKUP($B22,BS!$1:$1048576,MATCH(F$37,BS!$3:$3,0),FALSE)</f>
        <v>3860.4810000000002</v>
      </c>
      <c r="N22" s="311">
        <f>VLOOKUP($B22,BS!$1:$1048576,MATCH(G$37,BS!$3:$3,0),FALSE)</f>
        <v>3860.4810000000002</v>
      </c>
      <c r="O22" s="311">
        <f>VLOOKUP($B22,BS!$1:$1048576,MATCH(H$37,BS!$3:$3,0),FALSE)</f>
        <v>3860.4810000000002</v>
      </c>
      <c r="P22" s="311">
        <f>VLOOKUP($B22,BS!$1:$1048576,MATCH(I$37,BS!$3:$3,0),FALSE)</f>
        <v>3860.4810000000002</v>
      </c>
    </row>
    <row r="23" spans="1:16" ht="22.5" customHeight="1" x14ac:dyDescent="0.2">
      <c r="A23" s="29" t="s">
        <v>198</v>
      </c>
      <c r="B23" s="28" t="s">
        <v>425</v>
      </c>
      <c r="C23" s="28"/>
      <c r="D23" s="314" t="s">
        <v>198</v>
      </c>
      <c r="E23" s="316">
        <f>VLOOKUP($A23,Model!$1:$1048576,MATCH(L$51,Model!$3:$3,0),FALSE)</f>
        <v>1312.3</v>
      </c>
      <c r="F23" s="316">
        <f>VLOOKUP($A23,Model!$1:$1048576,MATCH(M$51,Model!$3:$3,0),FALSE)</f>
        <v>1698.6</v>
      </c>
      <c r="G23" s="316">
        <f>VLOOKUP($A23,Model!$1:$1048576,MATCH(N$51,Model!$3:$3,0),FALSE)</f>
        <v>1947.1270361361683</v>
      </c>
      <c r="H23" s="316">
        <f>VLOOKUP($A23,Model!$1:$1048576,MATCH(O$51,Model!$3:$3,0),FALSE)</f>
        <v>2185.157289111693</v>
      </c>
      <c r="I23" s="316">
        <f>VLOOKUP($A23,Model!$1:$1048576,MATCH(P$51,Model!$3:$3,0),FALSE)</f>
        <v>2390.5383365739108</v>
      </c>
      <c r="J23" s="303"/>
      <c r="K23" s="312" t="s">
        <v>244</v>
      </c>
      <c r="L23" s="309"/>
      <c r="M23" s="311">
        <f>VLOOKUP($B23,BS!$1:$1048576,MATCH(F$37,BS!$3:$3,0),FALSE)</f>
        <v>6.7809999999999997</v>
      </c>
      <c r="N23" s="311">
        <f>VLOOKUP($B23,BS!$1:$1048576,MATCH(G$37,BS!$3:$3,0),FALSE)</f>
        <v>6.7809999999999997</v>
      </c>
      <c r="O23" s="311">
        <f>VLOOKUP($B23,BS!$1:$1048576,MATCH(H$37,BS!$3:$3,0),FALSE)</f>
        <v>6.7809999999999997</v>
      </c>
      <c r="P23" s="311">
        <f>VLOOKUP($B23,BS!$1:$1048576,MATCH(I$37,BS!$3:$3,0),FALSE)</f>
        <v>6.7809999999999997</v>
      </c>
    </row>
    <row r="24" spans="1:16" ht="22.5" customHeight="1" x14ac:dyDescent="0.2">
      <c r="A24" s="29" t="s">
        <v>295</v>
      </c>
      <c r="B24" s="28" t="s">
        <v>245</v>
      </c>
      <c r="C24" s="28"/>
      <c r="D24" s="312" t="s">
        <v>295</v>
      </c>
      <c r="E24" s="311">
        <f>VLOOKUP($A24,Model!$1:$1048576,MATCH(L$51,Model!$3:$3,0),FALSE)</f>
        <v>-705.4</v>
      </c>
      <c r="F24" s="311">
        <f>VLOOKUP($A24,Model!$1:$1048576,MATCH(M$51,Model!$3:$3,0),FALSE)</f>
        <v>-782.99999999999989</v>
      </c>
      <c r="G24" s="311">
        <f>VLOOKUP($A24,Model!$1:$1048576,MATCH(N$51,Model!$3:$3,0),FALSE)</f>
        <v>-841.67909385637734</v>
      </c>
      <c r="H24" s="311">
        <f>VLOOKUP($A24,Model!$1:$1048576,MATCH(O$51,Model!$3:$3,0),FALSE)</f>
        <v>-901.83369114754146</v>
      </c>
      <c r="I24" s="311">
        <f>VLOOKUP($A24,Model!$1:$1048576,MATCH(P$51,Model!$3:$3,0),FALSE)</f>
        <v>-944.87431016971448</v>
      </c>
      <c r="J24" s="303"/>
      <c r="K24" s="306" t="s">
        <v>246</v>
      </c>
      <c r="L24" s="315"/>
      <c r="M24" s="316">
        <f>VLOOKUP($B24,BS!$1:$1048576,MATCH(F$37,BS!$3:$3,0),FALSE)</f>
        <v>5379.3729999999996</v>
      </c>
      <c r="N24" s="316">
        <f>VLOOKUP($B24,BS!$1:$1048576,MATCH(G$37,BS!$3:$3,0),FALSE)</f>
        <v>5396.7422715133534</v>
      </c>
      <c r="O24" s="316">
        <f>VLOOKUP($B24,BS!$1:$1048576,MATCH(H$37,BS!$3:$3,0),FALSE)</f>
        <v>5416.2441123705667</v>
      </c>
      <c r="P24" s="316">
        <f>VLOOKUP($B24,BS!$1:$1048576,MATCH(I$37,BS!$3:$3,0),FALSE)</f>
        <v>5437.91145705085</v>
      </c>
    </row>
    <row r="25" spans="1:16" ht="22.5" customHeight="1" x14ac:dyDescent="0.2">
      <c r="A25" s="29" t="s">
        <v>10</v>
      </c>
      <c r="B25" s="28" t="s">
        <v>247</v>
      </c>
      <c r="C25" s="28"/>
      <c r="D25" s="318" t="s">
        <v>10</v>
      </c>
      <c r="E25" s="316">
        <f>VLOOKUP($A25,Model!$1:$1048576,MATCH(L$51,Model!$3:$3,0),FALSE)</f>
        <v>675.1</v>
      </c>
      <c r="F25" s="316">
        <f>VLOOKUP($A25,Model!$1:$1048576,MATCH(M$51,Model!$3:$3,0),FALSE)</f>
        <v>968.5</v>
      </c>
      <c r="G25" s="316">
        <f>VLOOKUP($A25,Model!$1:$1048576,MATCH(N$51,Model!$3:$3,0),FALSE)</f>
        <v>1201.5729422797908</v>
      </c>
      <c r="H25" s="316">
        <f>VLOOKUP($A25,Model!$1:$1048576,MATCH(O$51,Model!$3:$3,0),FALSE)</f>
        <v>1424.6573479641515</v>
      </c>
      <c r="I25" s="316">
        <f>VLOOKUP($A25,Model!$1:$1048576,MATCH(P$51,Model!$3:$3,0),FALSE)</f>
        <v>1633.2645264041962</v>
      </c>
      <c r="J25" s="303"/>
      <c r="K25" s="312" t="s">
        <v>248</v>
      </c>
      <c r="L25" s="309"/>
      <c r="M25" s="311">
        <f>VLOOKUP($B25,BS!$1:$1048576,MATCH(F$37,BS!$3:$3,0),FALSE)</f>
        <v>1323.6030000000001</v>
      </c>
      <c r="N25" s="311">
        <f>VLOOKUP($B25,BS!$1:$1048576,MATCH(G$37,BS!$3:$3,0),FALSE)</f>
        <v>1520.0198301534911</v>
      </c>
      <c r="O25" s="311">
        <f>VLOOKUP($B25,BS!$1:$1048576,MATCH(H$37,BS!$3:$3,0),FALSE)</f>
        <v>1692.3087960733401</v>
      </c>
      <c r="P25" s="311">
        <f>VLOOKUP($B25,BS!$1:$1048576,MATCH(I$37,BS!$3:$3,0),FALSE)</f>
        <v>1834.8313205337852</v>
      </c>
    </row>
    <row r="26" spans="1:16" ht="22.5" customHeight="1" x14ac:dyDescent="0.2">
      <c r="A26" s="29" t="s">
        <v>11</v>
      </c>
      <c r="B26" s="28" t="s">
        <v>426</v>
      </c>
      <c r="C26" s="28"/>
      <c r="D26" s="320" t="s">
        <v>11</v>
      </c>
      <c r="E26" s="311">
        <f>VLOOKUP($A26,Model!$1:$1048576,MATCH(L$51,Model!$3:$3,0),FALSE)</f>
        <v>-69.600000000000023</v>
      </c>
      <c r="F26" s="311">
        <f>VLOOKUP($A26,Model!$1:$1048576,MATCH(M$51,Model!$3:$3,0),FALSE)</f>
        <v>-65.099999999999994</v>
      </c>
      <c r="G26" s="311">
        <f>VLOOKUP($A26,Model!$1:$1048576,MATCH(N$51,Model!$3:$3,0),FALSE)</f>
        <v>-68.355000000000004</v>
      </c>
      <c r="H26" s="311">
        <f>VLOOKUP($A26,Model!$1:$1048576,MATCH(O$51,Model!$3:$3,0),FALSE)</f>
        <v>-71.772750000000002</v>
      </c>
      <c r="I26" s="311">
        <f>VLOOKUP($A26,Model!$1:$1048576,MATCH(P$51,Model!$3:$3,0),FALSE)</f>
        <v>-75.361387500000006</v>
      </c>
      <c r="J26" s="303"/>
      <c r="K26" s="319" t="s">
        <v>36</v>
      </c>
      <c r="L26" s="309"/>
      <c r="M26" s="311">
        <f>VLOOKUP($B26,BS!$1:$1048576,MATCH(F$37,BS!$3:$3,0),FALSE)</f>
        <v>35.643000000000001</v>
      </c>
      <c r="N26" s="311">
        <f>VLOOKUP($B26,BS!$1:$1048576,MATCH(G$37,BS!$3:$3,0),FALSE)</f>
        <v>35.643000000000001</v>
      </c>
      <c r="O26" s="311">
        <f>VLOOKUP($B26,BS!$1:$1048576,MATCH(H$37,BS!$3:$3,0),FALSE)</f>
        <v>35.643000000000001</v>
      </c>
      <c r="P26" s="311">
        <f>VLOOKUP($B26,BS!$1:$1048576,MATCH(I$37,BS!$3:$3,0),FALSE)</f>
        <v>35.643000000000001</v>
      </c>
    </row>
    <row r="27" spans="1:16" ht="22.5" customHeight="1" x14ac:dyDescent="0.2">
      <c r="A27" s="28" t="s">
        <v>12</v>
      </c>
      <c r="B27" s="28" t="s">
        <v>427</v>
      </c>
      <c r="C27" s="28"/>
      <c r="D27" s="314" t="s">
        <v>252</v>
      </c>
      <c r="E27" s="316">
        <f>VLOOKUP($A27,Model!$1:$1048576,MATCH(L$51,Model!$3:$3,0),FALSE)</f>
        <v>605.5</v>
      </c>
      <c r="F27" s="316">
        <f>VLOOKUP($A27,Model!$1:$1048576,MATCH(M$51,Model!$3:$3,0),FALSE)</f>
        <v>903.4</v>
      </c>
      <c r="G27" s="316">
        <f>VLOOKUP($A27,Model!$1:$1048576,MATCH(N$51,Model!$3:$3,0),FALSE)</f>
        <v>1133.2179422797908</v>
      </c>
      <c r="H27" s="316">
        <f>VLOOKUP($A27,Model!$1:$1048576,MATCH(O$51,Model!$3:$3,0),FALSE)</f>
        <v>1352.8845979641515</v>
      </c>
      <c r="I27" s="316">
        <f>VLOOKUP($A27,Model!$1:$1048576,MATCH(P$51,Model!$3:$3,0),FALSE)</f>
        <v>1557.9031389041961</v>
      </c>
      <c r="J27" s="303"/>
      <c r="K27" s="313" t="s">
        <v>37</v>
      </c>
      <c r="L27" s="309"/>
      <c r="M27" s="311">
        <f>VLOOKUP($B27,BS!$1:$1048576,MATCH(F$37,BS!$3:$3,0),FALSE)</f>
        <v>157.97499999999999</v>
      </c>
      <c r="N27" s="311">
        <f>VLOOKUP($B27,BS!$1:$1048576,MATCH(G$37,BS!$3:$3,0),FALSE)</f>
        <v>157.97499999999999</v>
      </c>
      <c r="O27" s="311">
        <f>VLOOKUP($B27,BS!$1:$1048576,MATCH(H$37,BS!$3:$3,0),FALSE)</f>
        <v>157.97499999999999</v>
      </c>
      <c r="P27" s="311">
        <f>VLOOKUP($B27,BS!$1:$1048576,MATCH(I$37,BS!$3:$3,0),FALSE)</f>
        <v>157.97499999999999</v>
      </c>
    </row>
    <row r="28" spans="1:16" ht="22.5" customHeight="1" x14ac:dyDescent="0.2">
      <c r="A28" s="28" t="s">
        <v>164</v>
      </c>
      <c r="B28" s="28" t="s">
        <v>249</v>
      </c>
      <c r="C28" s="28"/>
      <c r="D28" s="312" t="s">
        <v>164</v>
      </c>
      <c r="E28" s="311"/>
      <c r="F28" s="311">
        <f>VLOOKUP($A28,PL!$1:$1048576,MATCH(M$51,PL!$3:$3,0),FALSE)</f>
        <v>-24.1</v>
      </c>
      <c r="G28" s="311">
        <f>VLOOKUP($A28,PL!$1:$1048576,MATCH(N$51,PL!$3:$3,0),FALSE)</f>
        <v>-50</v>
      </c>
      <c r="H28" s="311">
        <f>VLOOKUP($A28,PL!$1:$1048576,MATCH(O$51,PL!$3:$3,0),FALSE)</f>
        <v>-46</v>
      </c>
      <c r="I28" s="311">
        <f>VLOOKUP($A28,PL!$1:$1048576,MATCH(P$51,PL!$3:$3,0),FALSE)</f>
        <v>-40</v>
      </c>
      <c r="J28" s="303"/>
      <c r="K28" s="321" t="s">
        <v>250</v>
      </c>
      <c r="L28" s="315"/>
      <c r="M28" s="316">
        <f>VLOOKUP($B28,BS!$1:$1048576,MATCH(F$37,BS!$3:$3,0),FALSE)</f>
        <v>1702.865</v>
      </c>
      <c r="N28" s="316">
        <f>VLOOKUP($B28,BS!$1:$1048576,MATCH(G$37,BS!$3:$3,0),FALSE)</f>
        <v>1899.281830153491</v>
      </c>
      <c r="O28" s="316">
        <f>VLOOKUP($B28,BS!$1:$1048576,MATCH(H$37,BS!$3:$3,0),FALSE)</f>
        <v>2071.5707960733398</v>
      </c>
      <c r="P28" s="316">
        <f>VLOOKUP($B28,BS!$1:$1048576,MATCH(I$37,BS!$3:$3,0),FALSE)</f>
        <v>2214.0933205337851</v>
      </c>
    </row>
    <row r="29" spans="1:16" ht="22.5" customHeight="1" x14ac:dyDescent="0.2">
      <c r="A29" s="28" t="s">
        <v>14</v>
      </c>
      <c r="B29" s="28" t="s">
        <v>423</v>
      </c>
      <c r="C29" s="28"/>
      <c r="D29" s="314" t="s">
        <v>14</v>
      </c>
      <c r="E29" s="311"/>
      <c r="F29" s="316">
        <f>VLOOKUP($A29,PL!$1:$1048576,MATCH(M$51,PL!$3:$3,0),FALSE)</f>
        <v>879.3</v>
      </c>
      <c r="G29" s="316">
        <f>VLOOKUP($A29,PL!$1:$1048576,MATCH(N$51,PL!$3:$3,0),FALSE)</f>
        <v>1083.2179422797908</v>
      </c>
      <c r="H29" s="316">
        <f>VLOOKUP($A29,PL!$1:$1048576,MATCH(O$51,PL!$3:$3,0),FALSE)</f>
        <v>1306.8845979641515</v>
      </c>
      <c r="I29" s="316">
        <f>VLOOKUP($A29,PL!$1:$1048576,MATCH(P$51,PL!$3:$3,0),FALSE)</f>
        <v>1517.9031389041961</v>
      </c>
      <c r="J29" s="303"/>
      <c r="K29" s="319" t="s">
        <v>37</v>
      </c>
      <c r="L29" s="309"/>
      <c r="M29" s="311">
        <f>VLOOKUP($B29,BS!$1:$1048576,MATCH(F$37,BS!$3:$3,0),FALSE)</f>
        <v>821.66800000000001</v>
      </c>
      <c r="N29" s="311">
        <f>VLOOKUP($B29,BS!$1:$1048576,MATCH(G$37,BS!$3:$3,0),FALSE)</f>
        <v>686.24127151335313</v>
      </c>
      <c r="O29" s="311">
        <f>VLOOKUP($B29,BS!$1:$1048576,MATCH(H$37,BS!$3:$3,0),FALSE)</f>
        <v>545.70052670623147</v>
      </c>
      <c r="P29" s="311">
        <f>VLOOKUP($B29,BS!$1:$1048576,MATCH(I$37,BS!$3:$3,0),FALSE)</f>
        <v>398.15168545994067</v>
      </c>
    </row>
    <row r="30" spans="1:16" ht="22.5" customHeight="1" x14ac:dyDescent="0.2">
      <c r="A30" s="28" t="s">
        <v>15</v>
      </c>
      <c r="B30" s="28" t="s">
        <v>251</v>
      </c>
      <c r="C30" s="28"/>
      <c r="D30" s="312" t="s">
        <v>257</v>
      </c>
      <c r="E30" s="311"/>
      <c r="F30" s="311">
        <f>VLOOKUP($A30,PL!$1:$1048576,MATCH(M$51,PL!$3:$3,0),FALSE)</f>
        <v>-254.99699999999996</v>
      </c>
      <c r="G30" s="311">
        <f>VLOOKUP($A30,PL!$1:$1048576,MATCH(N$51,PL!$3:$3,0),FALSE)</f>
        <v>-314.13320326113933</v>
      </c>
      <c r="H30" s="311">
        <f>VLOOKUP($A30,PL!$1:$1048576,MATCH(O$51,PL!$3:$3,0),FALSE)</f>
        <v>-378.9965334096039</v>
      </c>
      <c r="I30" s="311">
        <f>VLOOKUP($A30,PL!$1:$1048576,MATCH(P$51,PL!$3:$3,0),FALSE)</f>
        <v>-440.19191028221684</v>
      </c>
      <c r="J30" s="303"/>
      <c r="K30" s="319" t="s">
        <v>36</v>
      </c>
      <c r="L30" s="309"/>
      <c r="M30" s="311">
        <f>VLOOKUP($B30,BS!$1:$1048576,MATCH(F$37,BS!$3:$3,0),FALSE)</f>
        <v>855.29200000000003</v>
      </c>
      <c r="N30" s="311">
        <f>VLOOKUP($B30,BS!$1:$1048576,MATCH(G$37,BS!$3:$3,0),FALSE)</f>
        <v>855.29200000000003</v>
      </c>
      <c r="O30" s="311">
        <f>VLOOKUP($B30,BS!$1:$1048576,MATCH(H$37,BS!$3:$3,0),FALSE)</f>
        <v>855.29200000000003</v>
      </c>
      <c r="P30" s="311">
        <f>VLOOKUP($B30,BS!$1:$1048576,MATCH(I$37,BS!$3:$3,0),FALSE)</f>
        <v>855.29200000000003</v>
      </c>
    </row>
    <row r="31" spans="1:16" ht="22.5" customHeight="1" x14ac:dyDescent="0.2">
      <c r="A31" s="29" t="s">
        <v>260</v>
      </c>
      <c r="B31" s="28" t="s">
        <v>428</v>
      </c>
      <c r="C31" s="28"/>
      <c r="D31" s="312" t="s">
        <v>472</v>
      </c>
      <c r="F31" s="311">
        <f>VLOOKUP($A31,PL!$1:$1048576,MATCH(M$51,PL!$3:$3,0),FALSE)</f>
        <v>-4.5</v>
      </c>
      <c r="G31" s="311">
        <f>VLOOKUP($A31,PL!$1:$1048576,MATCH(N$51,PL!$3:$3,0),FALSE)</f>
        <v>-7.8058614413134215</v>
      </c>
      <c r="H31" s="311">
        <f>VLOOKUP($A31,PL!$1:$1048576,MATCH(O$51,PL!$3:$3,0),FALSE)</f>
        <v>-11.184446825174765</v>
      </c>
      <c r="I31" s="311">
        <f>VLOOKUP($A31,PL!$1:$1048576,MATCH(P$51,PL!$3:$3,0),FALSE)</f>
        <v>-14.100187132038569</v>
      </c>
      <c r="J31" s="303"/>
      <c r="K31" s="319" t="s">
        <v>253</v>
      </c>
      <c r="L31" s="309"/>
      <c r="M31" s="311">
        <f>VLOOKUP($B31,BS!$1:$1048576,MATCH(F$37,BS!$3:$3,0),FALSE)</f>
        <v>17.103999999999999</v>
      </c>
      <c r="N31" s="311">
        <f>VLOOKUP($B31,BS!$1:$1048576,MATCH(G$37,BS!$3:$3,0),FALSE)</f>
        <v>17.103999999999999</v>
      </c>
      <c r="O31" s="311">
        <f>VLOOKUP($B31,BS!$1:$1048576,MATCH(H$37,BS!$3:$3,0),FALSE)</f>
        <v>17.103999999999999</v>
      </c>
      <c r="P31" s="311">
        <f>VLOOKUP($B31,BS!$1:$1048576,MATCH(I$37,BS!$3:$3,0),FALSE)</f>
        <v>17.103999999999999</v>
      </c>
    </row>
    <row r="32" spans="1:16" ht="22.5" customHeight="1" x14ac:dyDescent="0.2">
      <c r="A32" s="28" t="s">
        <v>16</v>
      </c>
      <c r="B32" s="28" t="s">
        <v>254</v>
      </c>
      <c r="C32" s="28"/>
      <c r="D32" s="314" t="s">
        <v>259</v>
      </c>
      <c r="E32" s="311"/>
      <c r="F32" s="316">
        <f>VLOOKUP($A32,PL!$1:$1048576,MATCH(M$51,PL!$3:$3,0),FALSE)</f>
        <v>619.803</v>
      </c>
      <c r="G32" s="316">
        <f>VLOOKUP($A32,PL!$1:$1048576,MATCH(N$51,PL!$3:$3,0),FALSE)</f>
        <v>761.27887757733811</v>
      </c>
      <c r="H32" s="316">
        <f>VLOOKUP($A32,PL!$1:$1048576,MATCH(O$51,PL!$3:$3,0),FALSE)</f>
        <v>916.70361772937281</v>
      </c>
      <c r="I32" s="316">
        <f>VLOOKUP($A32,PL!$1:$1048576,MATCH(P$51,PL!$3:$3,0),FALSE)</f>
        <v>1063.6110414899406</v>
      </c>
      <c r="J32" s="303"/>
      <c r="K32" s="322" t="s">
        <v>255</v>
      </c>
      <c r="L32" s="315"/>
      <c r="M32" s="316">
        <f>VLOOKUP($B32,BS!$1:$1048576,MATCH(F$37,BS!$3:$3,0),FALSE)</f>
        <v>1924.3420000000001</v>
      </c>
      <c r="N32" s="316">
        <f>VLOOKUP($B32,BS!$1:$1048576,MATCH(G$37,BS!$3:$3,0),FALSE)</f>
        <v>1926.0548189910978</v>
      </c>
      <c r="O32" s="316">
        <f>VLOOKUP($B32,BS!$1:$1048576,MATCH(H$37,BS!$3:$3,0),FALSE)</f>
        <v>1927.8323178601813</v>
      </c>
      <c r="P32" s="316">
        <f>VLOOKUP($B32,BS!$1:$1048576,MATCH(I$37,BS!$3:$3,0),FALSE)</f>
        <v>1929.6984521176155</v>
      </c>
    </row>
    <row r="33" spans="1:26" ht="22.5" customHeight="1" x14ac:dyDescent="0.2">
      <c r="A33" s="28" t="s">
        <v>355</v>
      </c>
      <c r="B33" s="28" t="s">
        <v>256</v>
      </c>
      <c r="C33" s="28"/>
      <c r="D33" s="312" t="s">
        <v>261</v>
      </c>
      <c r="E33" s="311"/>
      <c r="F33" s="311">
        <f>VLOOKUP($A33,PL!$1:$1048576,MATCH(M$51,PL!$3:$3,0),FALSE)</f>
        <v>11540</v>
      </c>
      <c r="G33" s="311">
        <f>VLOOKUP($A33,PL!$1:$1048576,MATCH(N$51,PL!$3:$3,0),FALSE)</f>
        <v>11540</v>
      </c>
      <c r="H33" s="311">
        <f>VLOOKUP($A33,PL!$1:$1048576,MATCH(O$51,PL!$3:$3,0),FALSE)</f>
        <v>11540</v>
      </c>
      <c r="I33" s="311">
        <f>VLOOKUP($A33,PL!$1:$1048576,MATCH(P$51,PL!$3:$3,0),FALSE)</f>
        <v>11540</v>
      </c>
      <c r="J33" s="303"/>
      <c r="K33" s="323" t="s">
        <v>40</v>
      </c>
      <c r="L33" s="309"/>
      <c r="M33" s="311">
        <f>VLOOKUP($B33,BS!$1:$1048576,MATCH(F$37,BS!$3:$3,0),FALSE)</f>
        <v>4403.299</v>
      </c>
      <c r="N33" s="311">
        <f>VLOOKUP($B33,BS!$1:$1048576,MATCH(G$37,BS!$3:$3,0),FALSE)</f>
        <v>4403.299</v>
      </c>
      <c r="O33" s="311">
        <f>VLOOKUP($B33,BS!$1:$1048576,MATCH(H$37,BS!$3:$3,0),FALSE)</f>
        <v>4403.299</v>
      </c>
      <c r="P33" s="311">
        <f>VLOOKUP($B33,BS!$1:$1048576,MATCH(I$37,BS!$3:$3,0),FALSE)</f>
        <v>4403.299</v>
      </c>
    </row>
    <row r="34" spans="1:26" ht="22.5" customHeight="1" x14ac:dyDescent="0.2">
      <c r="A34" s="28" t="s">
        <v>216</v>
      </c>
      <c r="B34" s="28" t="s">
        <v>41</v>
      </c>
      <c r="C34" s="28"/>
      <c r="D34" s="314" t="s">
        <v>216</v>
      </c>
      <c r="E34" s="324"/>
      <c r="F34" s="325">
        <f>VLOOKUP($A34,PL!$1:$1048576,MATCH(M$51,PL!$3:$3,0),FALSE)</f>
        <v>5.3709098786828426E-2</v>
      </c>
      <c r="G34" s="325">
        <f>VLOOKUP($A34,PL!$1:$1048576,MATCH(N$51,PL!$3:$3,0),FALSE)</f>
        <v>6.59687068957832E-2</v>
      </c>
      <c r="H34" s="325">
        <f>VLOOKUP($A34,PL!$1:$1048576,MATCH(O$51,PL!$3:$3,0),FALSE)</f>
        <v>7.9437055262510645E-2</v>
      </c>
      <c r="I34" s="325">
        <f>VLOOKUP($A34,PL!$1:$1048576,MATCH(P$51,PL!$3:$3,0),FALSE)</f>
        <v>9.2167334617845806E-2</v>
      </c>
      <c r="J34" s="303"/>
      <c r="K34" s="323" t="s">
        <v>41</v>
      </c>
      <c r="L34" s="309"/>
      <c r="M34" s="311">
        <f>VLOOKUP($B34,BS!$1:$1048576,MATCH(F$37,BS!$3:$3,0),FALSE)</f>
        <v>-6.0229999999999997</v>
      </c>
      <c r="N34" s="311">
        <f>VLOOKUP($B34,BS!$1:$1048576,MATCH(G$37,BS!$3:$3,0),FALSE)</f>
        <v>-6.0229999999999997</v>
      </c>
      <c r="O34" s="311">
        <f>VLOOKUP($B34,BS!$1:$1048576,MATCH(H$37,BS!$3:$3,0),FALSE)</f>
        <v>-6.0229999999999997</v>
      </c>
      <c r="P34" s="311">
        <f>VLOOKUP($B34,BS!$1:$1048576,MATCH(I$37,BS!$3:$3,0),FALSE)</f>
        <v>-6.0229999999999997</v>
      </c>
    </row>
    <row r="35" spans="1:26" ht="22.5" customHeight="1" x14ac:dyDescent="0.2">
      <c r="A35" s="28" t="s">
        <v>264</v>
      </c>
      <c r="B35" s="28" t="s">
        <v>258</v>
      </c>
      <c r="C35" s="28"/>
      <c r="D35" s="312" t="s">
        <v>265</v>
      </c>
      <c r="E35" s="324"/>
      <c r="F35" s="324"/>
      <c r="G35" s="324">
        <f>VLOOKUP($A35,PL!$1:$1048576,MATCH(N$51,PL!$3:$3,0),FALSE)</f>
        <v>4.6178094827048238E-2</v>
      </c>
      <c r="H35" s="324">
        <f>VLOOKUP($A35,PL!$1:$1048576,MATCH(O$51,PL!$3:$3,0),FALSE)</f>
        <v>5.5605938683757447E-2</v>
      </c>
      <c r="I35" s="324">
        <f>VLOOKUP($A35,PL!$1:$1048576,MATCH(P$51,PL!$3:$3,0),FALSE)</f>
        <v>6.4517134232492057E-2</v>
      </c>
      <c r="J35" s="303"/>
      <c r="K35" s="323" t="s">
        <v>258</v>
      </c>
      <c r="L35" s="309"/>
      <c r="M35" s="311">
        <f>VLOOKUP($B35,BS!$1:$1048576,MATCH(F$37,BS!$3:$3,0),FALSE)</f>
        <v>273.26299999999998</v>
      </c>
      <c r="N35" s="311">
        <f>VLOOKUP($B35,BS!$1:$1048576,MATCH(G$37,BS!$3:$3,0),FALSE)</f>
        <v>494.54666327320149</v>
      </c>
      <c r="O35" s="311">
        <f>VLOOKUP($B35,BS!$1:$1048576,MATCH(H$37,BS!$3:$3,0),FALSE)</f>
        <v>748.25774859201329</v>
      </c>
      <c r="P35" s="311">
        <f>VLOOKUP($B35,BS!$1:$1048576,MATCH(I$37,BS!$3:$3,0),FALSE)</f>
        <v>1046.0410610389956</v>
      </c>
    </row>
    <row r="36" spans="1:26" ht="22.5" customHeight="1" x14ac:dyDescent="0.2">
      <c r="B36" s="29" t="s">
        <v>260</v>
      </c>
      <c r="C36" s="28"/>
      <c r="J36" s="303"/>
      <c r="K36" s="323" t="s">
        <v>262</v>
      </c>
      <c r="L36" s="309"/>
      <c r="M36" s="311">
        <f>VLOOKUP($B36,BS!$1:$1048576,MATCH(F$37,BS!$3:$3,0),FALSE)</f>
        <v>-9.9440000000000008</v>
      </c>
      <c r="N36" s="311">
        <f>VLOOKUP($B36,BS!$1:$1048576,MATCH(G$37,BS!$3:$3,0),FALSE)</f>
        <v>-2.1381385586865793</v>
      </c>
      <c r="O36" s="311">
        <f>VLOOKUP($B36,BS!$1:$1048576,MATCH(H$37,BS!$3:$3,0),FALSE)</f>
        <v>9.046308266488186</v>
      </c>
      <c r="P36" s="311">
        <f>VLOOKUP($B36,BS!$1:$1048576,MATCH(I$37,BS!$3:$3,0),FALSE)</f>
        <v>23.146495398526753</v>
      </c>
    </row>
    <row r="37" spans="1:26" ht="22.5" customHeight="1" x14ac:dyDescent="0.2">
      <c r="B37" s="28" t="s">
        <v>421</v>
      </c>
      <c r="C37" s="28"/>
      <c r="D37" s="304" t="s">
        <v>268</v>
      </c>
      <c r="E37" s="305" t="s">
        <v>18</v>
      </c>
      <c r="F37" s="305" t="s">
        <v>19</v>
      </c>
      <c r="G37" s="305" t="s">
        <v>20</v>
      </c>
      <c r="H37" s="305" t="s">
        <v>21</v>
      </c>
      <c r="I37" s="305" t="s">
        <v>87</v>
      </c>
      <c r="J37" s="303"/>
      <c r="K37" s="321" t="s">
        <v>263</v>
      </c>
      <c r="L37" s="315"/>
      <c r="M37" s="316">
        <f>VLOOKUP($B37,BS!$1:$1048576,MATCH(F$37,BS!$3:$3,0),FALSE)</f>
        <v>4660.5949999999993</v>
      </c>
      <c r="N37" s="316">
        <f>VLOOKUP($B37,BS!$1:$1048576,MATCH(G$37,BS!$3:$3,0),FALSE)</f>
        <v>4889.6845247145147</v>
      </c>
      <c r="O37" s="316">
        <f>VLOOKUP($B37,BS!$1:$1048576,MATCH(H$37,BS!$3:$3,0),FALSE)</f>
        <v>5154.5800568585018</v>
      </c>
      <c r="P37" s="316">
        <f>VLOOKUP($B37,BS!$1:$1048576,MATCH(I$37,BS!$3:$3,0),FALSE)</f>
        <v>5466.4635564375221</v>
      </c>
    </row>
    <row r="38" spans="1:26" ht="22.5" customHeight="1" x14ac:dyDescent="0.2">
      <c r="A38" s="28" t="s">
        <v>12</v>
      </c>
      <c r="B38" s="28" t="s">
        <v>179</v>
      </c>
      <c r="C38" s="28"/>
      <c r="D38" s="293" t="s">
        <v>12</v>
      </c>
      <c r="E38" s="309"/>
      <c r="F38" s="311">
        <f>VLOOKUP($A38,CF!$1:$1048576,MATCH(F$37,CF!$3:$3,0),FALSE)</f>
        <v>903.4</v>
      </c>
      <c r="G38" s="311">
        <f>VLOOKUP($A38,CF!$1:$1048576,MATCH(G$37,CF!$3:$3,0),FALSE)</f>
        <v>1133.2179422797908</v>
      </c>
      <c r="H38" s="311">
        <f>VLOOKUP($A38,CF!$1:$1048576,MATCH(H$37,CF!$3:$3,0),FALSE)</f>
        <v>1352.8845979641515</v>
      </c>
      <c r="I38" s="311">
        <f>VLOOKUP($A38,CF!$1:$1048576,MATCH(I$37,CF!$3:$3,0),FALSE)</f>
        <v>1557.9031389041961</v>
      </c>
      <c r="J38" s="303"/>
      <c r="K38" s="321" t="s">
        <v>266</v>
      </c>
      <c r="L38" s="309"/>
      <c r="M38" s="311">
        <f>VLOOKUP($B38,BS!$1:$1048576,MATCH(F$37,BS!$3:$3,0),FALSE)</f>
        <v>752.16100000000006</v>
      </c>
      <c r="N38" s="311">
        <f>VLOOKUP($B38,BS!$1:$1048576,MATCH(G$37,BS!$3:$3,0),FALSE)</f>
        <v>628.38913840535031</v>
      </c>
      <c r="O38" s="311">
        <f>VLOOKUP($B38,BS!$1:$1048576,MATCH(H$37,BS!$3:$3,0),FALSE)</f>
        <v>413.23224918406243</v>
      </c>
      <c r="P38" s="311">
        <f>VLOOKUP($B38,BS!$1:$1048576,MATCH(I$37,BS!$3:$3,0),FALSE)</f>
        <v>167.29119682718999</v>
      </c>
    </row>
    <row r="39" spans="1:26" ht="22.5" customHeight="1" x14ac:dyDescent="0.2">
      <c r="A39" s="28" t="s">
        <v>11</v>
      </c>
      <c r="C39" s="28"/>
      <c r="D39" s="293" t="s">
        <v>11</v>
      </c>
      <c r="E39" s="309"/>
      <c r="F39" s="311">
        <f>VLOOKUP($A39,CF!$1:$1048576,MATCH(F$37,CF!$3:$3,0),FALSE)</f>
        <v>65.099999999999994</v>
      </c>
      <c r="G39" s="311">
        <f>VLOOKUP($A39,CF!$1:$1048576,MATCH(G$37,CF!$3:$3,0),FALSE)</f>
        <v>68.355000000000004</v>
      </c>
      <c r="H39" s="311">
        <f>VLOOKUP($A39,CF!$1:$1048576,MATCH(H$37,CF!$3:$3,0),FALSE)</f>
        <v>71.772750000000002</v>
      </c>
      <c r="I39" s="311">
        <f>VLOOKUP($A39,CF!$1:$1048576,MATCH(I$37,CF!$3:$3,0),FALSE)</f>
        <v>75.361387500000006</v>
      </c>
      <c r="J39" s="303"/>
      <c r="K39" s="304" t="s">
        <v>267</v>
      </c>
      <c r="L39" s="305" t="str">
        <f>E$13</f>
        <v>FY24</v>
      </c>
      <c r="M39" s="305" t="str">
        <f>F$13</f>
        <v>FY25</v>
      </c>
      <c r="N39" s="305" t="str">
        <f>G$13</f>
        <v>FY26E</v>
      </c>
      <c r="O39" s="305" t="str">
        <f>H$13</f>
        <v>FY27E</v>
      </c>
      <c r="P39" s="305" t="str">
        <f>I$13</f>
        <v>FY28E</v>
      </c>
    </row>
    <row r="40" spans="1:26" ht="22.5" customHeight="1" x14ac:dyDescent="0.2">
      <c r="A40" s="28" t="s">
        <v>164</v>
      </c>
      <c r="C40" s="28"/>
      <c r="D40" s="326" t="s">
        <v>164</v>
      </c>
      <c r="E40" s="309"/>
      <c r="F40" s="311">
        <f>VLOOKUP($A40,CF!$1:$1048576,MATCH(F$37,CF!$3:$3,0),FALSE)</f>
        <v>-24.1</v>
      </c>
      <c r="G40" s="311">
        <f>VLOOKUP($A40,CF!$1:$1048576,MATCH(G$37,CF!$3:$3,0),FALSE)</f>
        <v>-50</v>
      </c>
      <c r="H40" s="311">
        <f>VLOOKUP($A40,CF!$1:$1048576,MATCH(H$37,CF!$3:$3,0),FALSE)</f>
        <v>-46</v>
      </c>
      <c r="I40" s="311">
        <f>VLOOKUP($A40,CF!$1:$1048576,MATCH(I$37,CF!$3:$3,0),FALSE)</f>
        <v>-40</v>
      </c>
      <c r="J40" s="303"/>
      <c r="K40" s="318" t="s">
        <v>296</v>
      </c>
      <c r="L40" s="303"/>
      <c r="M40" s="303"/>
      <c r="N40" s="303"/>
      <c r="O40" s="303"/>
      <c r="P40" s="303"/>
    </row>
    <row r="41" spans="1:26" ht="22.5" customHeight="1" x14ac:dyDescent="0.2">
      <c r="A41" s="28" t="s">
        <v>15</v>
      </c>
      <c r="B41" s="29" t="s">
        <v>299</v>
      </c>
      <c r="C41" s="28"/>
      <c r="D41" s="320" t="s">
        <v>15</v>
      </c>
      <c r="E41" s="309"/>
      <c r="F41" s="311">
        <f>VLOOKUP($A41,CF!$1:$1048576,MATCH(F$37,CF!$3:$3,0),FALSE)</f>
        <v>-254.99699999999996</v>
      </c>
      <c r="G41" s="311">
        <f>VLOOKUP($A41,CF!$1:$1048576,MATCH(G$37,CF!$3:$3,0),FALSE)</f>
        <v>-314.13320326113933</v>
      </c>
      <c r="H41" s="311">
        <f>VLOOKUP($A41,CF!$1:$1048576,MATCH(H$37,CF!$3:$3,0),FALSE)</f>
        <v>-378.9965334096039</v>
      </c>
      <c r="I41" s="311">
        <f>VLOOKUP($A41,CF!$1:$1048576,MATCH(I$37,CF!$3:$3,0),FALSE)</f>
        <v>-440.19191028221684</v>
      </c>
      <c r="J41" s="303"/>
      <c r="K41" s="328" t="s">
        <v>299</v>
      </c>
      <c r="L41" s="317">
        <f>VLOOKUP($B41,Model!$1:$1048576,MATCH(L$51,Model!$3:$3,0),FALSE)</f>
        <v>9.8000000000000004E-2</v>
      </c>
      <c r="M41" s="317">
        <f>VLOOKUP($B41,Model!$1:$1048576,MATCH(M$51,Model!$3:$3,0),FALSE)</f>
        <v>0.113</v>
      </c>
      <c r="N41" s="317">
        <f>VLOOKUP($B41,Model!$1:$1048576,MATCH(N$51,Model!$3:$3,0),FALSE)</f>
        <v>0.11</v>
      </c>
      <c r="O41" s="317">
        <f>VLOOKUP($B41,Model!$1:$1048576,MATCH(O$51,Model!$3:$3,0),FALSE)</f>
        <v>0.08</v>
      </c>
      <c r="P41" s="317">
        <f>VLOOKUP($B41,Model!$1:$1048576,MATCH(P$51,Model!$3:$3,0),FALSE)</f>
        <v>0.05</v>
      </c>
    </row>
    <row r="42" spans="1:26" ht="22.5" customHeight="1" x14ac:dyDescent="0.25">
      <c r="A42" s="28" t="s">
        <v>183</v>
      </c>
      <c r="B42" s="29" t="s">
        <v>300</v>
      </c>
      <c r="C42" s="28"/>
      <c r="D42" s="327" t="s">
        <v>270</v>
      </c>
      <c r="E42" s="309"/>
      <c r="F42" s="311">
        <f>VLOOKUP($A42,CF!$1:$1048576,MATCH(F$37,CF!$3:$3,0),FALSE)</f>
        <v>-722.21999999999969</v>
      </c>
      <c r="G42" s="311">
        <f>VLOOKUP($A42,CF!$1:$1048576,MATCH(G$37,CF!$3:$3,0),FALSE)</f>
        <v>-89.661210597610079</v>
      </c>
      <c r="H42" s="311">
        <f>VLOOKUP($A42,CF!$1:$1048576,MATCH(H$37,CF!$3:$3,0),FALSE)</f>
        <v>-32.014300934568382</v>
      </c>
      <c r="I42" s="311">
        <f>VLOOKUP($A42,CF!$1:$1048576,MATCH(I$37,CF!$3:$3,0),FALSE)</f>
        <v>-46.141236799300032</v>
      </c>
      <c r="J42" s="303"/>
      <c r="K42" s="328" t="s">
        <v>300</v>
      </c>
      <c r="L42" s="317">
        <f>VLOOKUP($B42,Model!$1:$1048576,MATCH(L$51,Model!$3:$3,0),FALSE)</f>
        <v>0.14399999999999999</v>
      </c>
      <c r="M42" s="317">
        <f>VLOOKUP($B42,Model!$1:$1048576,MATCH(M$51,Model!$3:$3,0),FALSE)</f>
        <v>8.1000000000000003E-2</v>
      </c>
      <c r="N42" s="317">
        <f>VLOOKUP($B42,Model!$1:$1048576,MATCH(N$51,Model!$3:$3,0),FALSE)</f>
        <v>0.1</v>
      </c>
      <c r="O42" s="317">
        <f>VLOOKUP($B42,Model!$1:$1048576,MATCH(O$51,Model!$3:$3,0),FALSE)</f>
        <v>0.08</v>
      </c>
      <c r="P42" s="317">
        <f>VLOOKUP($B42,Model!$1:$1048576,MATCH(P$51,Model!$3:$3,0),FALSE)</f>
        <v>0.08</v>
      </c>
      <c r="T42"/>
      <c r="U42"/>
      <c r="V42"/>
      <c r="W42"/>
      <c r="X42"/>
      <c r="Y42"/>
      <c r="Z42"/>
    </row>
    <row r="43" spans="1:26" ht="22.5" customHeight="1" x14ac:dyDescent="0.25">
      <c r="A43" s="28" t="s">
        <v>5</v>
      </c>
      <c r="C43" s="28"/>
      <c r="D43" s="320" t="s">
        <v>5</v>
      </c>
      <c r="E43" s="309"/>
      <c r="F43" s="311">
        <f>VLOOKUP($A43,CF!$1:$1048576,MATCH(F$37,CF!$3:$3,0),FALSE)</f>
        <v>631.64499999999987</v>
      </c>
      <c r="G43" s="311">
        <f>VLOOKUP($A43,CF!$1:$1048576,MATCH(G$37,CF!$3:$3,0),FALSE)</f>
        <v>-7.1</v>
      </c>
      <c r="H43" s="311">
        <f>VLOOKUP($A43,CF!$1:$1048576,MATCH(H$37,CF!$3:$3,0),FALSE)</f>
        <v>-21.3</v>
      </c>
      <c r="I43" s="311">
        <f>VLOOKUP($A43,CF!$1:$1048576,MATCH(I$37,CF!$3:$3,0),FALSE)</f>
        <v>-21.3</v>
      </c>
      <c r="J43" s="303"/>
      <c r="K43" s="330" t="s">
        <v>298</v>
      </c>
      <c r="L43" s="317"/>
      <c r="M43" s="317"/>
      <c r="N43" s="317"/>
      <c r="O43" s="317"/>
      <c r="P43" s="317"/>
      <c r="T43"/>
      <c r="U43"/>
      <c r="V43"/>
      <c r="W43"/>
      <c r="X43"/>
      <c r="Y43"/>
      <c r="Z43"/>
    </row>
    <row r="44" spans="1:26" ht="22.5" customHeight="1" x14ac:dyDescent="0.2">
      <c r="A44" s="28" t="s">
        <v>184</v>
      </c>
      <c r="B44" s="28" t="s">
        <v>403</v>
      </c>
      <c r="C44" s="28"/>
      <c r="D44" s="329" t="s">
        <v>273</v>
      </c>
      <c r="E44" s="315"/>
      <c r="F44" s="316">
        <f>VLOOKUP($A44,CF!$1:$1048576,MATCH(F$37,CF!$3:$3,0),FALSE)</f>
        <v>598.8280000000002</v>
      </c>
      <c r="G44" s="316">
        <f>VLOOKUP($A44,CF!$1:$1048576,MATCH(G$37,CF!$3:$3,0),FALSE)</f>
        <v>740.67852842104139</v>
      </c>
      <c r="H44" s="316">
        <f>VLOOKUP($A44,CF!$1:$1048576,MATCH(H$37,CF!$3:$3,0),FALSE)</f>
        <v>946.34651361997931</v>
      </c>
      <c r="I44" s="316">
        <f>VLOOKUP($A44,CF!$1:$1048576,MATCH(I$37,CF!$3:$3,0),FALSE)</f>
        <v>1085.6313793226793</v>
      </c>
      <c r="J44" s="303"/>
      <c r="K44" s="331" t="s">
        <v>1</v>
      </c>
      <c r="L44" s="309">
        <f>VLOOKUP($B44,Model!$1:$1048576,MATCH(L$51,Model!$3:$3,0),FALSE)</f>
        <v>567</v>
      </c>
      <c r="M44" s="309">
        <f>VLOOKUP($B44,Model!$1:$1048576,MATCH(M$51,Model!$3:$3,0),FALSE)</f>
        <v>569</v>
      </c>
      <c r="N44" s="309">
        <f>VLOOKUP($B44,Model!$1:$1048576,MATCH(N$51,Model!$3:$3,0),FALSE)</f>
        <v>587</v>
      </c>
      <c r="O44" s="309">
        <f>VLOOKUP($B44,Model!$1:$1048576,MATCH(O$51,Model!$3:$3,0),FALSE)</f>
        <v>605</v>
      </c>
      <c r="P44" s="309">
        <f>VLOOKUP($B44,Model!$1:$1048576,MATCH(P$51,Model!$3:$3,0),FALSE)</f>
        <v>623</v>
      </c>
    </row>
    <row r="45" spans="1:26" ht="22.5" customHeight="1" x14ac:dyDescent="0.2">
      <c r="A45" s="28" t="s">
        <v>185</v>
      </c>
      <c r="B45" s="28" t="s">
        <v>408</v>
      </c>
      <c r="C45" s="28"/>
      <c r="D45" s="326" t="s">
        <v>274</v>
      </c>
      <c r="E45" s="309"/>
      <c r="F45" s="311">
        <f>VLOOKUP($A45,CF!$1:$1048576,MATCH(F$37,CF!$3:$3,0),FALSE)</f>
        <v>-52.561999999999998</v>
      </c>
      <c r="G45" s="311">
        <f>VLOOKUP($A45,CF!$1:$1048576,MATCH(G$37,CF!$3:$3,0),FALSE)</f>
        <v>-60</v>
      </c>
      <c r="H45" s="311">
        <f>VLOOKUP($A45,CF!$1:$1048576,MATCH(H$37,CF!$3:$3,0),FALSE)</f>
        <v>-65</v>
      </c>
      <c r="I45" s="311">
        <f>VLOOKUP($A45,CF!$1:$1048576,MATCH(I$37,CF!$3:$3,0),FALSE)</f>
        <v>-70</v>
      </c>
      <c r="J45" s="303"/>
      <c r="K45" s="331" t="s">
        <v>2</v>
      </c>
      <c r="L45" s="309">
        <f>VLOOKUP($B45,Model!$1:$1048576,MATCH(L$51,Model!$3:$3,0),FALSE)</f>
        <v>50</v>
      </c>
      <c r="M45" s="309">
        <f>VLOOKUP($B45,Model!$1:$1048576,MATCH(M$51,Model!$3:$3,0),FALSE)</f>
        <v>61</v>
      </c>
      <c r="N45" s="309">
        <f>VLOOKUP($B45,Model!$1:$1048576,MATCH(N$51,Model!$3:$3,0),FALSE)</f>
        <v>76</v>
      </c>
      <c r="O45" s="309">
        <f>VLOOKUP($B45,Model!$1:$1048576,MATCH(O$51,Model!$3:$3,0),FALSE)</f>
        <v>86</v>
      </c>
      <c r="P45" s="309">
        <f>VLOOKUP($B45,Model!$1:$1048576,MATCH(P$51,Model!$3:$3,0),FALSE)</f>
        <v>96</v>
      </c>
    </row>
    <row r="46" spans="1:26" ht="22.5" customHeight="1" x14ac:dyDescent="0.2">
      <c r="A46" s="28" t="s">
        <v>188</v>
      </c>
      <c r="B46" s="28" t="s">
        <v>404</v>
      </c>
      <c r="C46" s="28"/>
      <c r="D46" s="293" t="s">
        <v>188</v>
      </c>
      <c r="E46" s="309"/>
      <c r="F46" s="311">
        <f>VLOOKUP($A46,CF!$1:$1048576,MATCH(F$37,CF!$3:$3,0),FALSE)</f>
        <v>-8.9879999999999995</v>
      </c>
      <c r="G46" s="311">
        <f>VLOOKUP($A46,CF!$1:$1048576,MATCH(G$37,CF!$3:$3,0),FALSE)</f>
        <v>0</v>
      </c>
      <c r="H46" s="311">
        <f>VLOOKUP($A46,CF!$1:$1048576,MATCH(H$37,CF!$3:$3,0),FALSE)</f>
        <v>0</v>
      </c>
      <c r="I46" s="311">
        <f>VLOOKUP($A46,CF!$1:$1048576,MATCH(I$37,CF!$3:$3,0),FALSE)</f>
        <v>0</v>
      </c>
      <c r="J46" s="303"/>
      <c r="K46" s="331" t="s">
        <v>3</v>
      </c>
      <c r="L46" s="309">
        <f>VLOOKUP($B46,Model!$1:$1048576,MATCH(L$51,Model!$3:$3,0),FALSE)</f>
        <v>10</v>
      </c>
      <c r="M46" s="309">
        <f>VLOOKUP($B46,Model!$1:$1048576,MATCH(M$51,Model!$3:$3,0),FALSE)</f>
        <v>14</v>
      </c>
      <c r="N46" s="309">
        <f>VLOOKUP($B46,Model!$1:$1048576,MATCH(N$51,Model!$3:$3,0),FALSE)</f>
        <v>19</v>
      </c>
      <c r="O46" s="309">
        <f>VLOOKUP($B46,Model!$1:$1048576,MATCH(O$51,Model!$3:$3,0),FALSE)</f>
        <v>24</v>
      </c>
      <c r="P46" s="309">
        <f>VLOOKUP($B46,Model!$1:$1048576,MATCH(P$51,Model!$3:$3,0),FALSE)</f>
        <v>30</v>
      </c>
    </row>
    <row r="47" spans="1:26" ht="22.5" customHeight="1" x14ac:dyDescent="0.2">
      <c r="A47" s="28" t="s">
        <v>187</v>
      </c>
      <c r="B47" s="28" t="s">
        <v>405</v>
      </c>
      <c r="C47" s="28"/>
      <c r="D47" s="293" t="s">
        <v>187</v>
      </c>
      <c r="E47" s="309"/>
      <c r="F47" s="311">
        <f>VLOOKUP($A47,CF!$1:$1048576,MATCH(F$37,CF!$3:$3,0),FALSE)</f>
        <v>55.756</v>
      </c>
      <c r="G47" s="311">
        <f>VLOOKUP($A47,CF!$1:$1048576,MATCH(G$37,CF!$3:$3,0),FALSE)</f>
        <v>0</v>
      </c>
      <c r="H47" s="311">
        <f>VLOOKUP($A47,CF!$1:$1048576,MATCH(H$37,CF!$3:$3,0),FALSE)</f>
        <v>0</v>
      </c>
      <c r="I47" s="311">
        <f>VLOOKUP($A47,CF!$1:$1048576,MATCH(I$37,CF!$3:$3,0),FALSE)</f>
        <v>0</v>
      </c>
      <c r="J47" s="303"/>
      <c r="K47" s="331" t="s">
        <v>4</v>
      </c>
      <c r="L47" s="309">
        <f>VLOOKUP($B47,Model!$1:$1048576,MATCH(L$51,Model!$3:$3,0),FALSE)</f>
        <v>10</v>
      </c>
      <c r="M47" s="309">
        <f>VLOOKUP($B47,Model!$1:$1048576,MATCH(M$51,Model!$3:$3,0),FALSE)</f>
        <v>9</v>
      </c>
      <c r="N47" s="309">
        <f>VLOOKUP($B47,Model!$1:$1048576,MATCH(N$51,Model!$3:$3,0),FALSE)</f>
        <v>9</v>
      </c>
      <c r="O47" s="309">
        <f>VLOOKUP($B47,Model!$1:$1048576,MATCH(O$51,Model!$3:$3,0),FALSE)</f>
        <v>0</v>
      </c>
      <c r="P47" s="309">
        <f>VLOOKUP($B47,Model!$1:$1048576,MATCH(P$51,Model!$3:$3,0),FALSE)</f>
        <v>0</v>
      </c>
    </row>
    <row r="48" spans="1:26" ht="22.5" customHeight="1" x14ac:dyDescent="0.2">
      <c r="A48" s="28" t="s">
        <v>477</v>
      </c>
      <c r="B48" s="28" t="s">
        <v>406</v>
      </c>
      <c r="C48" s="28"/>
      <c r="D48" s="312" t="s">
        <v>476</v>
      </c>
      <c r="E48" s="309"/>
      <c r="F48" s="311">
        <f>VLOOKUP($A48,CF!$1:$1048576,MATCH(F$37,CF!$3:$3,0),FALSE)</f>
        <v>-12.12299999999999</v>
      </c>
      <c r="G48" s="311">
        <f>VLOOKUP($A48,CF!$1:$1048576,MATCH(G$37,CF!$3:$3,0),FALSE)</f>
        <v>-12.860452522255173</v>
      </c>
      <c r="H48" s="311">
        <f>VLOOKUP($A48,CF!$1:$1048576,MATCH(H$37,CF!$3:$3,0),FALSE)</f>
        <v>-13.346091988130553</v>
      </c>
      <c r="I48" s="311">
        <f>VLOOKUP($A48,CF!$1:$1048576,MATCH(I$37,CF!$3:$3,0),FALSE)</f>
        <v>-14.011597922848637</v>
      </c>
      <c r="J48" s="303"/>
      <c r="K48" s="331" t="s">
        <v>7</v>
      </c>
      <c r="L48" s="309">
        <f>VLOOKUP($B48,Model!$1:$1048576,MATCH(L$51,Model!$3:$3,0),FALSE)</f>
        <v>0</v>
      </c>
      <c r="M48" s="309">
        <f>VLOOKUP($B48,Model!$1:$1048576,MATCH(M$51,Model!$3:$3,0),FALSE)</f>
        <v>2</v>
      </c>
      <c r="N48" s="309">
        <f>VLOOKUP($B48,Model!$1:$1048576,MATCH(N$51,Model!$3:$3,0),FALSE)</f>
        <v>5</v>
      </c>
      <c r="O48" s="309">
        <f>VLOOKUP($B48,Model!$1:$1048576,MATCH(O$51,Model!$3:$3,0),FALSE)</f>
        <v>8</v>
      </c>
      <c r="P48" s="309">
        <f>VLOOKUP($B48,Model!$1:$1048576,MATCH(P$51,Model!$3:$3,0),FALSE)</f>
        <v>11</v>
      </c>
    </row>
    <row r="49" spans="1:17" ht="22.5" customHeight="1" x14ac:dyDescent="0.2">
      <c r="A49" s="28" t="s">
        <v>479</v>
      </c>
      <c r="B49" s="28" t="s">
        <v>407</v>
      </c>
      <c r="C49" s="28"/>
      <c r="D49" s="313" t="s">
        <v>479</v>
      </c>
      <c r="E49" s="309"/>
      <c r="F49" s="311">
        <f>VLOOKUP($A49,CF!$1:$1048576,MATCH(F$37,CF!$3:$3,0),FALSE)</f>
        <v>-11.151000000000002</v>
      </c>
      <c r="G49" s="311">
        <f>VLOOKUP($A49,CF!$1:$1048576,MATCH(G$37,CF!$3:$3,0),FALSE)</f>
        <v>-11.151000000000002</v>
      </c>
      <c r="H49" s="311">
        <f>VLOOKUP($A49,CF!$1:$1048576,MATCH(H$37,CF!$3:$3,0),FALSE)</f>
        <v>-11.151000000000002</v>
      </c>
      <c r="I49" s="311">
        <f>VLOOKUP($A49,CF!$1:$1048576,MATCH(I$37,CF!$3:$3,0),FALSE)</f>
        <v>-11.151000000000002</v>
      </c>
      <c r="J49" s="303"/>
      <c r="K49" s="331" t="s">
        <v>5</v>
      </c>
      <c r="L49" s="309">
        <f>VLOOKUP($B49,Model!$1:$1048576,MATCH(L$51,Model!$3:$3,0),FALSE)</f>
        <v>2</v>
      </c>
      <c r="M49" s="309">
        <f>VLOOKUP($B49,Model!$1:$1048576,MATCH(M$51,Model!$3:$3,0),FALSE)</f>
        <v>19</v>
      </c>
      <c r="N49" s="309">
        <f>VLOOKUP($B49,Model!$1:$1048576,MATCH(N$51,Model!$3:$3,0),FALSE)</f>
        <v>19</v>
      </c>
      <c r="O49" s="309">
        <f>VLOOKUP($B49,Model!$1:$1048576,MATCH(O$51,Model!$3:$3,0),FALSE)</f>
        <v>19</v>
      </c>
      <c r="P49" s="309">
        <f>VLOOKUP($B49,Model!$1:$1048576,MATCH(P$51,Model!$3:$3,0),FALSE)</f>
        <v>19</v>
      </c>
    </row>
    <row r="50" spans="1:17" ht="22.5" customHeight="1" x14ac:dyDescent="0.2">
      <c r="B50" s="28" t="s">
        <v>297</v>
      </c>
      <c r="C50" s="28"/>
      <c r="D50" s="318" t="s">
        <v>279</v>
      </c>
      <c r="E50" s="332"/>
      <c r="F50" s="332">
        <f>SUM(F44:F49)</f>
        <v>569.76000000000033</v>
      </c>
      <c r="G50" s="332">
        <f t="shared" ref="G50:I50" si="0">SUM(G44:G49)</f>
        <v>656.66707589878627</v>
      </c>
      <c r="H50" s="332">
        <f t="shared" si="0"/>
        <v>856.84942163184883</v>
      </c>
      <c r="I50" s="332">
        <f t="shared" si="0"/>
        <v>990.46878139983073</v>
      </c>
      <c r="J50" s="303"/>
      <c r="K50" s="318" t="s">
        <v>297</v>
      </c>
      <c r="L50" s="315">
        <f>VLOOKUP($B50,Model!$1:$1048576,MATCH(L$51,Model!$3:$3,0),FALSE)</f>
        <v>639</v>
      </c>
      <c r="M50" s="315">
        <f>VLOOKUP($B50,Model!$1:$1048576,MATCH(M$51,Model!$3:$3,0),FALSE)</f>
        <v>674</v>
      </c>
      <c r="N50" s="315">
        <f>VLOOKUP($B50,Model!$1:$1048576,MATCH(N$51,Model!$3:$3,0),FALSE)</f>
        <v>715</v>
      </c>
      <c r="O50" s="315">
        <f>VLOOKUP($B50,Model!$1:$1048576,MATCH(O$51,Model!$3:$3,0),FALSE)</f>
        <v>742</v>
      </c>
      <c r="P50" s="315">
        <f>VLOOKUP($B50,Model!$1:$1048576,MATCH(P$51,Model!$3:$3,0),FALSE)</f>
        <v>779</v>
      </c>
    </row>
    <row r="51" spans="1:17" ht="22.5" customHeight="1" x14ac:dyDescent="0.2">
      <c r="A51" s="29" t="s">
        <v>417</v>
      </c>
      <c r="C51" s="28"/>
      <c r="D51" s="320" t="s">
        <v>281</v>
      </c>
      <c r="E51" s="309"/>
      <c r="F51" s="311">
        <f>VLOOKUP($A51,CF!$1:$1048576,MATCH(F$37,CF!$3:$3,0),FALSE)</f>
        <v>-486.036</v>
      </c>
      <c r="G51" s="311">
        <f>VLOOKUP($A51,CF!$1:$1048576,MATCH(G$37,CF!$3:$3,0),FALSE)</f>
        <v>-532.89521430413663</v>
      </c>
      <c r="H51" s="311">
        <f>VLOOKUP($A51,CF!$1:$1048576,MATCH(H$37,CF!$3:$3,0),FALSE)</f>
        <v>-641.69253241056094</v>
      </c>
      <c r="I51" s="311">
        <f>VLOOKUP($A51,CF!$1:$1048576,MATCH(I$37,CF!$3:$3,0),FALSE)</f>
        <v>-744.5277290429583</v>
      </c>
      <c r="J51" s="303"/>
      <c r="K51" s="304" t="s">
        <v>269</v>
      </c>
      <c r="L51" s="305" t="str">
        <f>E$13</f>
        <v>FY24</v>
      </c>
      <c r="M51" s="305" t="str">
        <f>F$13</f>
        <v>FY25</v>
      </c>
      <c r="N51" s="305" t="str">
        <f>G$13</f>
        <v>FY26E</v>
      </c>
      <c r="O51" s="305" t="str">
        <f>H$13</f>
        <v>FY27E</v>
      </c>
      <c r="P51" s="305" t="str">
        <f>I$13</f>
        <v>FY28E</v>
      </c>
    </row>
    <row r="52" spans="1:17" ht="22.5" customHeight="1" x14ac:dyDescent="0.2">
      <c r="A52" s="29" t="s">
        <v>430</v>
      </c>
      <c r="B52" s="29" t="s">
        <v>469</v>
      </c>
      <c r="C52" s="28"/>
      <c r="D52" s="320" t="s">
        <v>283</v>
      </c>
      <c r="E52" s="309"/>
      <c r="F52" s="311">
        <f>VLOOKUP($A52,CF!$1:$1048576,MATCH(F$37,CF!$3:$3,0),FALSE)</f>
        <v>0.80800000000044747</v>
      </c>
      <c r="G52" s="311">
        <f>VLOOKUP($A52,CF!$1:$1048576,MATCH(G$37,CF!$3:$3,0),FALSE)</f>
        <v>0</v>
      </c>
      <c r="H52" s="311">
        <f>VLOOKUP($A52,CF!$1:$1048576,MATCH(H$37,CF!$3:$3,0),FALSE)</f>
        <v>0</v>
      </c>
      <c r="I52" s="311">
        <f>VLOOKUP($A52,CF!$1:$1048576,MATCH(I$37,CF!$3:$3,0),FALSE)</f>
        <v>0</v>
      </c>
      <c r="J52" s="303"/>
      <c r="K52" s="293" t="s">
        <v>469</v>
      </c>
      <c r="L52" s="317"/>
      <c r="M52" s="317">
        <f>VLOOKUP($B52,PL!$1:$1048576,MATCH(M$51,PL!$3:$3,0),FALSE)</f>
        <v>0.1407036292338284</v>
      </c>
      <c r="N52" s="317">
        <f>VLOOKUP($B52,PL!$1:$1048576,MATCH(N$51,PL!$3:$3,0),FALSE)</f>
        <v>0.14839557643303247</v>
      </c>
      <c r="O52" s="317">
        <f>VLOOKUP($B52,PL!$1:$1048576,MATCH(O$51,PL!$3:$3,0),FALSE)</f>
        <v>0.11334652515845889</v>
      </c>
      <c r="P52" s="317">
        <f>VLOOKUP($B52,PL!$1:$1048576,MATCH(P$51,PL!$3:$3,0),FALSE)</f>
        <v>8.4217800434022161E-2</v>
      </c>
    </row>
    <row r="53" spans="1:17" ht="22.5" customHeight="1" x14ac:dyDescent="0.2">
      <c r="B53" s="29" t="s">
        <v>468</v>
      </c>
      <c r="C53" s="28"/>
      <c r="D53" s="318" t="s">
        <v>286</v>
      </c>
      <c r="E53" s="315"/>
      <c r="F53" s="316">
        <f t="shared" ref="F53:I53" si="1">SUM(F50:F52)</f>
        <v>84.532000000000778</v>
      </c>
      <c r="G53" s="316">
        <f t="shared" si="1"/>
        <v>123.77186159464964</v>
      </c>
      <c r="H53" s="316">
        <f t="shared" si="1"/>
        <v>215.15688922128788</v>
      </c>
      <c r="I53" s="316">
        <f t="shared" si="1"/>
        <v>245.94105235687243</v>
      </c>
      <c r="J53" s="303"/>
      <c r="K53" s="320" t="s">
        <v>468</v>
      </c>
      <c r="L53" s="317"/>
      <c r="M53" s="317"/>
      <c r="N53" s="317">
        <f>VLOOKUP($B53,PL!$1:$1048576,MATCH(N$51,PL!$3:$3,0),FALSE)</f>
        <v>0.13944769056296447</v>
      </c>
      <c r="O53" s="317">
        <f>VLOOKUP($B53,PL!$1:$1048576,MATCH(O$51,PL!$3:$3,0),FALSE)</f>
        <v>0.10577884800636106</v>
      </c>
      <c r="P53" s="317">
        <f>VLOOKUP($B53,PL!$1:$1048576,MATCH(P$51,PL!$3:$3,0),FALSE)</f>
        <v>7.449246691298117E-2</v>
      </c>
    </row>
    <row r="54" spans="1:17" ht="22.5" customHeight="1" x14ac:dyDescent="0.2">
      <c r="A54" s="28" t="s">
        <v>418</v>
      </c>
      <c r="B54" s="29" t="s">
        <v>271</v>
      </c>
      <c r="C54" s="28"/>
      <c r="D54" s="318" t="s">
        <v>287</v>
      </c>
      <c r="E54" s="315"/>
      <c r="F54" s="316">
        <f>VLOOKUP($A54,BS!$1:$1048576,MATCH(F$37,BS!$3:$3,0),FALSE)</f>
        <v>0</v>
      </c>
      <c r="G54" s="316">
        <f>VLOOKUP($A54,BS!$1:$1048576,MATCH(G$37,BS!$3:$3,0),FALSE)</f>
        <v>-123.77186159464975</v>
      </c>
      <c r="H54" s="316">
        <f>VLOOKUP($A54,BS!$1:$1048576,MATCH(H$37,BS!$3:$3,0),FALSE)</f>
        <v>-215.15688922128788</v>
      </c>
      <c r="I54" s="316">
        <f>VLOOKUP($A54,BS!$1:$1048576,MATCH(I$37,BS!$3:$3,0),FALSE)</f>
        <v>-245.94105235687243</v>
      </c>
      <c r="J54" s="303"/>
      <c r="K54" s="293" t="s">
        <v>271</v>
      </c>
      <c r="L54" s="317"/>
      <c r="M54" s="317"/>
      <c r="N54" s="317">
        <f>VLOOKUP($B54,PL!$1:$1048576,MATCH(N$51,PL!$3:$3,0),FALSE)</f>
        <v>0.25439223187933457</v>
      </c>
      <c r="O54" s="317">
        <f>VLOOKUP($B54,PL!$1:$1048576,MATCH(O$51,PL!$3:$3,0),FALSE)</f>
        <v>0.19384325599578722</v>
      </c>
      <c r="P54" s="317">
        <f>VLOOKUP($B54,PL!$1:$1048576,MATCH(P$51,PL!$3:$3,0),FALSE)</f>
        <v>0.15154178061348378</v>
      </c>
    </row>
    <row r="55" spans="1:17" ht="22.5" customHeight="1" x14ac:dyDescent="0.2">
      <c r="B55" s="29" t="s">
        <v>272</v>
      </c>
      <c r="C55" s="28"/>
      <c r="D55" s="304" t="s">
        <v>280</v>
      </c>
      <c r="E55" s="305" t="s">
        <v>18</v>
      </c>
      <c r="F55" s="305" t="s">
        <v>19</v>
      </c>
      <c r="G55" s="305" t="s">
        <v>20</v>
      </c>
      <c r="H55" s="305" t="s">
        <v>21</v>
      </c>
      <c r="I55" s="305" t="s">
        <v>87</v>
      </c>
      <c r="J55" s="303"/>
      <c r="K55" s="293" t="s">
        <v>272</v>
      </c>
      <c r="L55" s="317"/>
      <c r="M55" s="317"/>
      <c r="N55" s="317">
        <f>VLOOKUP($B55,PL!$1:$1048576,MATCH(N$51,PL!$3:$3,0),FALSE)</f>
        <v>0.22825942691038614</v>
      </c>
      <c r="O55" s="317">
        <f>VLOOKUP($B55,PL!$1:$1048576,MATCH(O$51,PL!$3:$3,0),FALSE)</f>
        <v>0.20416268562008688</v>
      </c>
      <c r="P55" s="317">
        <f>VLOOKUP($B55,PL!$1:$1048576,MATCH(P$51,PL!$3:$3,0),FALSE)</f>
        <v>0.16025618413555498</v>
      </c>
    </row>
    <row r="56" spans="1:17" ht="22.5" customHeight="1" x14ac:dyDescent="0.2">
      <c r="B56" s="29" t="s">
        <v>275</v>
      </c>
      <c r="C56" s="28"/>
      <c r="D56" s="333" t="s">
        <v>282</v>
      </c>
      <c r="E56" s="334"/>
      <c r="F56" s="335">
        <f>$F$9/F34</f>
        <v>54.366952079935075</v>
      </c>
      <c r="G56" s="335">
        <f>$F$9/G34</f>
        <v>44.263411205148998</v>
      </c>
      <c r="H56" s="335">
        <f>$F$9/H34</f>
        <v>36.758663703613628</v>
      </c>
      <c r="I56" s="335">
        <f>$F$9/I34</f>
        <v>31.681506383006738</v>
      </c>
      <c r="J56" s="303"/>
      <c r="K56" s="293" t="s">
        <v>275</v>
      </c>
      <c r="L56" s="317"/>
      <c r="M56" s="317"/>
      <c r="N56" s="317">
        <f>VLOOKUP($B56,PL!$1:$1048576,MATCH(N$51,PL!$3:$3,0),FALSE)</f>
        <v>0.22825942691038614</v>
      </c>
      <c r="O56" s="317">
        <f>VLOOKUP($B56,PL!$1:$1048576,MATCH(O$51,PL!$3:$3,0),FALSE)</f>
        <v>0.20416268562008688</v>
      </c>
      <c r="P56" s="317">
        <f>VLOOKUP($B56,PL!$1:$1048576,MATCH(P$51,PL!$3:$3,0),FALSE)</f>
        <v>0.16025618413555498</v>
      </c>
    </row>
    <row r="57" spans="1:17" ht="22.5" customHeight="1" x14ac:dyDescent="0.2">
      <c r="B57" s="29" t="s">
        <v>202</v>
      </c>
      <c r="D57" s="327" t="s">
        <v>284</v>
      </c>
      <c r="E57" s="336"/>
      <c r="F57" s="336"/>
      <c r="G57" s="336">
        <f>G35/$F$9</f>
        <v>1.5814416036660357E-2</v>
      </c>
      <c r="H57" s="336">
        <f>H35/$F$9</f>
        <v>1.9043129686218303E-2</v>
      </c>
      <c r="I57" s="336">
        <f>I35/$F$9</f>
        <v>2.2094908983730156E-2</v>
      </c>
      <c r="J57" s="303"/>
      <c r="K57" s="293" t="s">
        <v>486</v>
      </c>
      <c r="L57" s="317"/>
      <c r="M57" s="379">
        <f>VLOOKUP($B57,Model!$1:$1048576,MATCH(M$51,Model!$3:$3,0),FALSE)</f>
        <v>8.7977796172761358E-2</v>
      </c>
      <c r="N57" s="379">
        <f>VLOOKUP($B57,Model!$1:$1048576,MATCH(N$51,Model!$3:$3,0),FALSE)</f>
        <v>9.6098127127722144E-2</v>
      </c>
      <c r="O57" s="379">
        <f>VLOOKUP($B57,Model!$1:$1048576,MATCH(O$51,Model!$3:$3,0),FALSE)</f>
        <v>0.10304617510610931</v>
      </c>
      <c r="P57" s="379">
        <f>VLOOKUP($B57,Model!$1:$1048576,MATCH(P$51,Model!$3:$3,0),FALSE)</f>
        <v>0.10944477753417856</v>
      </c>
      <c r="Q57" s="309"/>
    </row>
    <row r="58" spans="1:17" ht="22.5" customHeight="1" x14ac:dyDescent="0.2">
      <c r="A58" s="28" t="s">
        <v>285</v>
      </c>
      <c r="C58" s="28"/>
      <c r="D58" s="320" t="s">
        <v>285</v>
      </c>
      <c r="E58" s="317"/>
      <c r="F58" s="317"/>
      <c r="G58" s="317">
        <f>G35/G34</f>
        <v>0.7</v>
      </c>
      <c r="H58" s="317">
        <f>H35/H34</f>
        <v>0.7</v>
      </c>
      <c r="I58" s="317">
        <f>I35/I34</f>
        <v>0.7</v>
      </c>
      <c r="J58" s="303"/>
      <c r="K58" s="293" t="s">
        <v>276</v>
      </c>
      <c r="L58" s="337"/>
      <c r="M58" s="337">
        <f>F32/M37</f>
        <v>0.13298795540054437</v>
      </c>
      <c r="N58" s="337">
        <f>G32/N37</f>
        <v>0.1556907963549623</v>
      </c>
      <c r="O58" s="337">
        <f>H32/O37</f>
        <v>0.17784254151017392</v>
      </c>
      <c r="P58" s="337">
        <f>I32/P37</f>
        <v>0.19457022451698053</v>
      </c>
    </row>
    <row r="59" spans="1:17" ht="22.5" customHeight="1" x14ac:dyDescent="0.2">
      <c r="A59" s="28" t="s">
        <v>467</v>
      </c>
      <c r="C59" s="28"/>
      <c r="D59" s="293" t="s">
        <v>288</v>
      </c>
      <c r="E59" s="336"/>
      <c r="F59" s="336">
        <f>F63/$F$9</f>
        <v>0</v>
      </c>
      <c r="G59" s="336">
        <f>G63/$F$9</f>
        <v>0</v>
      </c>
      <c r="H59" s="336">
        <f>H63/$F$9</f>
        <v>0</v>
      </c>
      <c r="I59" s="336">
        <f>I63/$F$9</f>
        <v>0</v>
      </c>
      <c r="J59" s="338"/>
      <c r="K59" s="320" t="s">
        <v>277</v>
      </c>
      <c r="L59" s="335"/>
      <c r="M59" s="335">
        <f>M38/F27</f>
        <v>0.83258910781492146</v>
      </c>
      <c r="N59" s="335">
        <f>N38/G27</f>
        <v>0.55451746302319083</v>
      </c>
      <c r="O59" s="335">
        <f>O38/H27</f>
        <v>0.30544530539109011</v>
      </c>
      <c r="P59" s="335">
        <f>P38/I27</f>
        <v>0.10738228369246365</v>
      </c>
    </row>
    <row r="60" spans="1:17" ht="22.5" customHeight="1" x14ac:dyDescent="0.2">
      <c r="A60" s="28"/>
      <c r="C60" s="28"/>
      <c r="D60" s="320"/>
      <c r="E60" s="303"/>
      <c r="F60" s="303"/>
      <c r="G60" s="303"/>
      <c r="H60" s="303"/>
      <c r="I60" s="303"/>
      <c r="J60" s="303"/>
      <c r="K60" s="320" t="s">
        <v>278</v>
      </c>
      <c r="L60" s="339"/>
      <c r="M60" s="339">
        <f>M38/F25</f>
        <v>0.77662467733608676</v>
      </c>
      <c r="N60" s="339">
        <f>N38/G25</f>
        <v>0.52297211121705456</v>
      </c>
      <c r="O60" s="339">
        <f>O38/H25</f>
        <v>0.29005728975783202</v>
      </c>
      <c r="P60" s="339">
        <f>P38/I25</f>
        <v>0.10242749666246605</v>
      </c>
    </row>
    <row r="61" spans="1:17" ht="19.5" customHeight="1" x14ac:dyDescent="0.2">
      <c r="A61" s="28"/>
      <c r="D61" s="340"/>
      <c r="E61" s="341"/>
      <c r="F61" s="341"/>
      <c r="G61" s="341"/>
      <c r="H61" s="341"/>
      <c r="I61" s="341"/>
      <c r="J61" s="341"/>
      <c r="K61" s="342"/>
      <c r="L61" s="342"/>
      <c r="M61" s="343"/>
      <c r="N61" s="343"/>
      <c r="O61" s="343"/>
      <c r="P61" s="343"/>
    </row>
    <row r="62" spans="1:17" ht="15" customHeight="1" x14ac:dyDescent="0.2">
      <c r="A62" s="28"/>
    </row>
    <row r="63" spans="1:17" ht="15" customHeight="1" x14ac:dyDescent="0.2">
      <c r="A63" s="28"/>
      <c r="D63" s="131"/>
      <c r="E63" s="132"/>
      <c r="F63" s="287"/>
      <c r="G63" s="287"/>
      <c r="H63" s="287"/>
      <c r="I63" s="287"/>
      <c r="J63" s="132"/>
    </row>
    <row r="64" spans="1:17" x14ac:dyDescent="0.2">
      <c r="A64" s="28"/>
      <c r="D64" s="131"/>
      <c r="E64" s="132"/>
      <c r="F64" s="132"/>
      <c r="G64" s="132"/>
      <c r="H64" s="132"/>
      <c r="I64" s="132"/>
      <c r="J64" s="132"/>
    </row>
    <row r="65" spans="1:10" x14ac:dyDescent="0.2">
      <c r="A65" s="28"/>
      <c r="E65" s="29"/>
      <c r="F65" s="29"/>
      <c r="G65" s="29"/>
      <c r="H65" s="29"/>
      <c r="I65" s="29"/>
      <c r="J65" s="29"/>
    </row>
    <row r="66" spans="1:10" ht="15" x14ac:dyDescent="0.25">
      <c r="A66" s="28"/>
      <c r="E66"/>
      <c r="F66"/>
      <c r="G66"/>
      <c r="H66"/>
      <c r="I66"/>
      <c r="J66"/>
    </row>
    <row r="67" spans="1:10" ht="15.75" customHeight="1" x14ac:dyDescent="0.25">
      <c r="A67" s="28"/>
      <c r="E67"/>
      <c r="F67"/>
      <c r="G67"/>
      <c r="H67"/>
      <c r="I67"/>
      <c r="J67"/>
    </row>
    <row r="68" spans="1:10" ht="15" x14ac:dyDescent="0.25">
      <c r="A68" s="28"/>
      <c r="E68"/>
      <c r="F68"/>
      <c r="G68"/>
      <c r="H68"/>
      <c r="I68"/>
      <c r="J68"/>
    </row>
    <row r="71" spans="1:10" x14ac:dyDescent="0.2">
      <c r="C71" s="28"/>
    </row>
    <row r="82" spans="5:10" ht="15" x14ac:dyDescent="0.25">
      <c r="E82"/>
      <c r="F82"/>
      <c r="G82"/>
      <c r="H82"/>
      <c r="I82"/>
      <c r="J82"/>
    </row>
    <row r="83" spans="5:10" ht="15" x14ac:dyDescent="0.25">
      <c r="E83"/>
      <c r="F83"/>
      <c r="G83"/>
      <c r="H83"/>
      <c r="I83"/>
      <c r="J83"/>
    </row>
    <row r="84" spans="5:10" ht="15" x14ac:dyDescent="0.25">
      <c r="E84"/>
      <c r="F84"/>
      <c r="G84"/>
      <c r="H84"/>
      <c r="I84"/>
      <c r="J84"/>
    </row>
    <row r="85" spans="5:10" ht="15" x14ac:dyDescent="0.25">
      <c r="E85"/>
      <c r="F85"/>
      <c r="G85"/>
      <c r="H85"/>
      <c r="I85"/>
      <c r="J85"/>
    </row>
    <row r="86" spans="5:10" ht="15" x14ac:dyDescent="0.25">
      <c r="E86"/>
      <c r="F86"/>
      <c r="G86"/>
      <c r="H86"/>
      <c r="I86"/>
      <c r="J86"/>
    </row>
    <row r="87" spans="5:10" ht="15" x14ac:dyDescent="0.25">
      <c r="E87"/>
      <c r="F87"/>
      <c r="G87"/>
      <c r="H87"/>
      <c r="I87"/>
      <c r="J87"/>
    </row>
    <row r="88" spans="5:10" ht="15" x14ac:dyDescent="0.25">
      <c r="E88"/>
      <c r="F88"/>
      <c r="G88"/>
      <c r="H88"/>
      <c r="I88"/>
      <c r="J88"/>
    </row>
    <row r="89" spans="5:10" ht="15" x14ac:dyDescent="0.25">
      <c r="E89"/>
      <c r="F89"/>
      <c r="G89"/>
      <c r="H89"/>
      <c r="I89"/>
      <c r="J89"/>
    </row>
    <row r="90" spans="5:10" ht="15" x14ac:dyDescent="0.25">
      <c r="E90"/>
      <c r="F90"/>
      <c r="G90"/>
      <c r="H90"/>
      <c r="I90"/>
      <c r="J90"/>
    </row>
    <row r="91" spans="5:10" ht="15" x14ac:dyDescent="0.25">
      <c r="E91"/>
      <c r="F91"/>
      <c r="G91"/>
      <c r="H91"/>
      <c r="I91"/>
      <c r="J91"/>
    </row>
    <row r="92" spans="5:10" ht="15" x14ac:dyDescent="0.25">
      <c r="E92"/>
      <c r="F92"/>
      <c r="G92"/>
      <c r="H92"/>
      <c r="I92"/>
      <c r="J92"/>
    </row>
    <row r="93" spans="5:10" ht="15" x14ac:dyDescent="0.25">
      <c r="E93"/>
      <c r="F93"/>
      <c r="G93"/>
      <c r="H93"/>
      <c r="I93"/>
      <c r="J93"/>
    </row>
    <row r="103" spans="1:2" x14ac:dyDescent="0.2">
      <c r="B103" s="28"/>
    </row>
    <row r="104" spans="1:2" x14ac:dyDescent="0.2">
      <c r="A104" s="28"/>
      <c r="B104" s="28"/>
    </row>
  </sheetData>
  <conditionalFormatting sqref="D42 D44">
    <cfRule type="expression" dxfId="4" priority="4">
      <formula>D$7=1</formula>
    </cfRule>
  </conditionalFormatting>
  <conditionalFormatting sqref="D56:D57 D59">
    <cfRule type="expression" dxfId="3" priority="3">
      <formula>D$7=1</formula>
    </cfRule>
  </conditionalFormatting>
  <conditionalFormatting sqref="K26 K28:K33">
    <cfRule type="expression" dxfId="2" priority="2">
      <formula>L$7=1</formula>
    </cfRule>
  </conditionalFormatting>
  <conditionalFormatting sqref="K35:K38">
    <cfRule type="expression" dxfId="1" priority="1">
      <formula>L$7=1</formula>
    </cfRule>
  </conditionalFormatting>
  <printOptions horizontalCentered="1" verticalCentered="1"/>
  <pageMargins left="0.7" right="0.7" top="0.75" bottom="0.75" header="0.3" footer="0.3"/>
  <pageSetup paperSize="9" orientation="portrait" r:id="rId1"/>
  <customProperties>
    <customPr name="Qube.Worksheet.Visibility"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2D62-876C-4DF6-9758-3EBF7783F6D7}">
  <dimension ref="A1:N93"/>
  <sheetViews>
    <sheetView workbookViewId="0"/>
  </sheetViews>
  <sheetFormatPr defaultColWidth="9.140625" defaultRowHeight="12.75" x14ac:dyDescent="0.2"/>
  <cols>
    <col min="1" max="1" width="3.28515625" style="126" customWidth="1"/>
    <col min="2" max="2" width="4.85546875" style="29" customWidth="1"/>
    <col min="3" max="3" width="38.140625" style="29" customWidth="1"/>
    <col min="4" max="6" width="17.7109375" style="141" customWidth="1"/>
    <col min="7" max="8" width="9.140625" style="29"/>
    <col min="9" max="9" width="16.5703125" style="29" bestFit="1" customWidth="1"/>
    <col min="10" max="12" width="9.140625" style="29"/>
    <col min="13" max="13" width="19" style="29" bestFit="1" customWidth="1"/>
    <col min="14" max="16384" width="9.140625" style="29"/>
  </cols>
  <sheetData>
    <row r="1" spans="2:10" s="126" customFormat="1" x14ac:dyDescent="0.2">
      <c r="D1" s="209"/>
      <c r="E1" s="209"/>
      <c r="F1" s="209"/>
    </row>
    <row r="2" spans="2:10" x14ac:dyDescent="0.2">
      <c r="J2" s="29" t="s">
        <v>290</v>
      </c>
    </row>
    <row r="3" spans="2:10" x14ac:dyDescent="0.2">
      <c r="B3" s="126"/>
      <c r="C3" s="30" t="s">
        <v>441</v>
      </c>
    </row>
    <row r="5" spans="2:10" x14ac:dyDescent="0.2">
      <c r="C5" s="8" t="s">
        <v>106</v>
      </c>
      <c r="D5" s="142" t="s">
        <v>18</v>
      </c>
      <c r="E5" s="142" t="s">
        <v>110</v>
      </c>
      <c r="F5" s="142" t="s">
        <v>19</v>
      </c>
    </row>
    <row r="6" spans="2:10" x14ac:dyDescent="0.2">
      <c r="C6" s="2" t="s">
        <v>98</v>
      </c>
      <c r="D6" s="145">
        <f t="shared" ref="D6:F13" si="0">D28+D39+D50+D61+D72+D83</f>
        <v>313</v>
      </c>
      <c r="E6" s="145">
        <f t="shared" si="0"/>
        <v>321</v>
      </c>
      <c r="F6" s="145">
        <f t="shared" si="0"/>
        <v>323</v>
      </c>
      <c r="G6" s="29">
        <f>F6-E6</f>
        <v>2</v>
      </c>
      <c r="J6" s="29" t="s">
        <v>291</v>
      </c>
    </row>
    <row r="7" spans="2:10" x14ac:dyDescent="0.2">
      <c r="C7" s="2" t="s">
        <v>99</v>
      </c>
      <c r="D7" s="145">
        <f t="shared" si="0"/>
        <v>203</v>
      </c>
      <c r="E7" s="145">
        <f t="shared" si="0"/>
        <v>199</v>
      </c>
      <c r="F7" s="145">
        <f t="shared" si="0"/>
        <v>196</v>
      </c>
      <c r="G7" s="29">
        <f t="shared" ref="G7:G69" si="1">F7-E7</f>
        <v>-3</v>
      </c>
    </row>
    <row r="8" spans="2:10" x14ac:dyDescent="0.2">
      <c r="C8" s="2" t="s">
        <v>100</v>
      </c>
      <c r="D8" s="145">
        <f t="shared" si="0"/>
        <v>192</v>
      </c>
      <c r="E8" s="145">
        <f t="shared" si="0"/>
        <v>188</v>
      </c>
      <c r="F8" s="145">
        <f t="shared" si="0"/>
        <v>184</v>
      </c>
      <c r="G8" s="29">
        <f t="shared" si="1"/>
        <v>-4</v>
      </c>
    </row>
    <row r="9" spans="2:10" x14ac:dyDescent="0.2">
      <c r="C9" s="2" t="s">
        <v>101</v>
      </c>
      <c r="D9" s="145">
        <f t="shared" si="0"/>
        <v>83</v>
      </c>
      <c r="E9" s="145">
        <f t="shared" si="0"/>
        <v>87</v>
      </c>
      <c r="F9" s="145">
        <f t="shared" si="0"/>
        <v>89</v>
      </c>
      <c r="G9" s="29">
        <f t="shared" si="1"/>
        <v>2</v>
      </c>
      <c r="J9" s="29" t="s">
        <v>431</v>
      </c>
    </row>
    <row r="10" spans="2:10" x14ac:dyDescent="0.2">
      <c r="C10" s="2" t="s">
        <v>102</v>
      </c>
      <c r="D10" s="145">
        <f t="shared" si="0"/>
        <v>45</v>
      </c>
      <c r="E10" s="145">
        <f t="shared" si="0"/>
        <v>46</v>
      </c>
      <c r="F10" s="145">
        <f t="shared" si="0"/>
        <v>46</v>
      </c>
      <c r="G10" s="29">
        <f t="shared" si="1"/>
        <v>0</v>
      </c>
    </row>
    <row r="11" spans="2:10" x14ac:dyDescent="0.2">
      <c r="C11" s="2" t="s">
        <v>103</v>
      </c>
      <c r="D11" s="145">
        <f t="shared" si="0"/>
        <v>34</v>
      </c>
      <c r="E11" s="145">
        <f t="shared" si="0"/>
        <v>32</v>
      </c>
      <c r="F11" s="145">
        <f t="shared" si="0"/>
        <v>33</v>
      </c>
      <c r="G11" s="29">
        <f t="shared" si="1"/>
        <v>1</v>
      </c>
    </row>
    <row r="12" spans="2:10" x14ac:dyDescent="0.2">
      <c r="C12" s="2" t="s">
        <v>104</v>
      </c>
      <c r="D12" s="145">
        <f t="shared" si="0"/>
        <v>15</v>
      </c>
      <c r="E12" s="145">
        <f t="shared" si="0"/>
        <v>15</v>
      </c>
      <c r="F12" s="145">
        <f t="shared" si="0"/>
        <v>14</v>
      </c>
      <c r="G12" s="29">
        <f t="shared" si="1"/>
        <v>-1</v>
      </c>
    </row>
    <row r="13" spans="2:10" x14ac:dyDescent="0.2">
      <c r="C13" s="2" t="s">
        <v>105</v>
      </c>
      <c r="D13" s="145">
        <f t="shared" si="0"/>
        <v>11</v>
      </c>
      <c r="E13" s="145">
        <f t="shared" si="0"/>
        <v>10</v>
      </c>
      <c r="F13" s="145">
        <f t="shared" si="0"/>
        <v>9</v>
      </c>
      <c r="G13" s="29">
        <f t="shared" si="1"/>
        <v>-1</v>
      </c>
    </row>
    <row r="14" spans="2:10" x14ac:dyDescent="0.2">
      <c r="C14" s="140" t="s">
        <v>6</v>
      </c>
      <c r="D14" s="144">
        <f>SUM(D6:D13)</f>
        <v>896</v>
      </c>
      <c r="E14" s="144">
        <f>SUM(E6:E13)</f>
        <v>898</v>
      </c>
      <c r="F14" s="144">
        <f>SUM(F6:F13)</f>
        <v>894</v>
      </c>
      <c r="G14" s="29">
        <f t="shared" si="1"/>
        <v>-4</v>
      </c>
    </row>
    <row r="16" spans="2:10" x14ac:dyDescent="0.2">
      <c r="C16" s="8" t="s">
        <v>456</v>
      </c>
      <c r="D16" s="142"/>
      <c r="E16" s="142"/>
      <c r="F16" s="142"/>
    </row>
    <row r="17" spans="3:14" x14ac:dyDescent="0.2">
      <c r="C17" s="2" t="s">
        <v>98</v>
      </c>
      <c r="D17" s="145">
        <f>D28+D61+D83</f>
        <v>239</v>
      </c>
      <c r="E17" s="145">
        <f t="shared" ref="E17:F17" si="2">E28+E61+E83</f>
        <v>245</v>
      </c>
      <c r="F17" s="145">
        <f t="shared" si="2"/>
        <v>237</v>
      </c>
      <c r="G17" s="29">
        <f t="shared" si="1"/>
        <v>-8</v>
      </c>
      <c r="H17" s="29" t="s">
        <v>457</v>
      </c>
    </row>
    <row r="18" spans="3:14" x14ac:dyDescent="0.2">
      <c r="C18" s="2" t="s">
        <v>99</v>
      </c>
      <c r="D18" s="145">
        <f t="shared" ref="D18:F18" si="3">D29+D62+D84</f>
        <v>129</v>
      </c>
      <c r="E18" s="145">
        <f t="shared" si="3"/>
        <v>129</v>
      </c>
      <c r="F18" s="145">
        <f t="shared" si="3"/>
        <v>129</v>
      </c>
      <c r="G18" s="29">
        <f t="shared" si="1"/>
        <v>0</v>
      </c>
      <c r="H18" s="29" t="s">
        <v>458</v>
      </c>
    </row>
    <row r="19" spans="3:14" x14ac:dyDescent="0.2">
      <c r="C19" s="2" t="s">
        <v>100</v>
      </c>
      <c r="D19" s="145">
        <f t="shared" ref="D19:F19" si="4">D30+D63+D85</f>
        <v>96</v>
      </c>
      <c r="E19" s="145">
        <f t="shared" si="4"/>
        <v>97</v>
      </c>
      <c r="F19" s="145">
        <f t="shared" si="4"/>
        <v>97</v>
      </c>
      <c r="G19" s="29">
        <f t="shared" si="1"/>
        <v>0</v>
      </c>
    </row>
    <row r="20" spans="3:14" x14ac:dyDescent="0.2">
      <c r="C20" s="2" t="s">
        <v>101</v>
      </c>
      <c r="D20" s="145">
        <f t="shared" ref="D20:F20" si="5">D31+D64+D86</f>
        <v>40</v>
      </c>
      <c r="E20" s="145">
        <f t="shared" si="5"/>
        <v>41</v>
      </c>
      <c r="F20" s="145">
        <f t="shared" si="5"/>
        <v>43</v>
      </c>
      <c r="G20" s="29">
        <f t="shared" si="1"/>
        <v>2</v>
      </c>
      <c r="M20" s="29" t="s">
        <v>462</v>
      </c>
      <c r="N20" s="29">
        <f>F36</f>
        <v>537</v>
      </c>
    </row>
    <row r="21" spans="3:14" x14ac:dyDescent="0.2">
      <c r="C21" s="2" t="s">
        <v>102</v>
      </c>
      <c r="D21" s="145">
        <f t="shared" ref="D21:F21" si="6">D32+D65+D87</f>
        <v>30</v>
      </c>
      <c r="E21" s="145">
        <f t="shared" si="6"/>
        <v>30</v>
      </c>
      <c r="F21" s="145">
        <f t="shared" si="6"/>
        <v>31</v>
      </c>
      <c r="G21" s="29">
        <f t="shared" si="1"/>
        <v>1</v>
      </c>
      <c r="M21" s="29" t="s">
        <v>463</v>
      </c>
      <c r="N21" s="29">
        <f>F47</f>
        <v>216</v>
      </c>
    </row>
    <row r="22" spans="3:14" x14ac:dyDescent="0.2">
      <c r="C22" s="2" t="s">
        <v>103</v>
      </c>
      <c r="D22" s="145">
        <f t="shared" ref="D22:F22" si="7">D33+D66+D88</f>
        <v>18</v>
      </c>
      <c r="E22" s="145">
        <f t="shared" si="7"/>
        <v>18</v>
      </c>
      <c r="F22" s="145">
        <f t="shared" si="7"/>
        <v>18</v>
      </c>
      <c r="G22" s="29">
        <f t="shared" si="1"/>
        <v>0</v>
      </c>
      <c r="M22" s="29" t="s">
        <v>464</v>
      </c>
      <c r="N22" s="29">
        <f>F58</f>
        <v>89</v>
      </c>
    </row>
    <row r="23" spans="3:14" x14ac:dyDescent="0.2">
      <c r="C23" s="2" t="s">
        <v>104</v>
      </c>
      <c r="D23" s="145">
        <f t="shared" ref="D23:F23" si="8">D34+D67+D89</f>
        <v>6</v>
      </c>
      <c r="E23" s="145">
        <f t="shared" si="8"/>
        <v>6</v>
      </c>
      <c r="F23" s="145">
        <f t="shared" si="8"/>
        <v>5</v>
      </c>
      <c r="G23" s="29">
        <f t="shared" si="1"/>
        <v>-1</v>
      </c>
      <c r="M23" s="29" t="s">
        <v>438</v>
      </c>
      <c r="N23" s="29">
        <f>F69</f>
        <v>13</v>
      </c>
    </row>
    <row r="24" spans="3:14" x14ac:dyDescent="0.2">
      <c r="C24" s="2" t="s">
        <v>105</v>
      </c>
      <c r="D24" s="145">
        <f t="shared" ref="D24:F24" si="9">D35+D68+D90</f>
        <v>9</v>
      </c>
      <c r="E24" s="145">
        <f t="shared" si="9"/>
        <v>9</v>
      </c>
      <c r="F24" s="145">
        <f t="shared" si="9"/>
        <v>9</v>
      </c>
      <c r="G24" s="29">
        <f t="shared" si="1"/>
        <v>0</v>
      </c>
      <c r="M24" s="29" t="s">
        <v>465</v>
      </c>
      <c r="N24" s="29">
        <f>F80</f>
        <v>20</v>
      </c>
    </row>
    <row r="25" spans="3:14" x14ac:dyDescent="0.2">
      <c r="C25" s="140" t="s">
        <v>6</v>
      </c>
      <c r="D25" s="144">
        <f t="shared" ref="D25:F25" si="10">D36+D69+D91</f>
        <v>567</v>
      </c>
      <c r="E25" s="144">
        <f t="shared" si="10"/>
        <v>575</v>
      </c>
      <c r="F25" s="144">
        <f t="shared" si="10"/>
        <v>569</v>
      </c>
      <c r="G25" s="29">
        <f t="shared" si="1"/>
        <v>-6</v>
      </c>
      <c r="M25" s="29" t="s">
        <v>437</v>
      </c>
      <c r="N25" s="29">
        <f>F91</f>
        <v>19</v>
      </c>
    </row>
    <row r="27" spans="3:14" x14ac:dyDescent="0.2">
      <c r="C27" s="8" t="s">
        <v>118</v>
      </c>
      <c r="D27" s="142"/>
      <c r="E27" s="142"/>
      <c r="F27" s="142"/>
    </row>
    <row r="28" spans="3:14" x14ac:dyDescent="0.2">
      <c r="C28" s="2" t="s">
        <v>98</v>
      </c>
      <c r="D28" s="143">
        <v>206</v>
      </c>
      <c r="E28" s="143">
        <v>209</v>
      </c>
      <c r="F28" s="143">
        <v>213</v>
      </c>
      <c r="G28" s="29">
        <f t="shared" si="1"/>
        <v>4</v>
      </c>
    </row>
    <row r="29" spans="3:14" x14ac:dyDescent="0.2">
      <c r="C29" s="2" t="s">
        <v>99</v>
      </c>
      <c r="D29" s="143">
        <v>120</v>
      </c>
      <c r="E29" s="143">
        <v>122</v>
      </c>
      <c r="F29" s="143">
        <v>123</v>
      </c>
      <c r="G29" s="29">
        <f t="shared" si="1"/>
        <v>1</v>
      </c>
      <c r="I29" s="29" t="s">
        <v>433</v>
      </c>
      <c r="J29" s="29">
        <v>674</v>
      </c>
    </row>
    <row r="30" spans="3:14" x14ac:dyDescent="0.2">
      <c r="C30" s="2" t="s">
        <v>100</v>
      </c>
      <c r="D30" s="143">
        <v>90</v>
      </c>
      <c r="E30" s="143">
        <v>94</v>
      </c>
      <c r="F30" s="143">
        <v>96</v>
      </c>
      <c r="G30" s="29">
        <f t="shared" si="1"/>
        <v>2</v>
      </c>
      <c r="I30" s="29" t="s">
        <v>434</v>
      </c>
      <c r="J30" s="29">
        <v>61</v>
      </c>
    </row>
    <row r="31" spans="3:14" x14ac:dyDescent="0.2">
      <c r="C31" s="2" t="s">
        <v>101</v>
      </c>
      <c r="D31" s="143">
        <v>40</v>
      </c>
      <c r="E31" s="143">
        <v>41</v>
      </c>
      <c r="F31" s="143">
        <v>43</v>
      </c>
      <c r="G31" s="29">
        <f t="shared" si="1"/>
        <v>2</v>
      </c>
      <c r="I31" s="29" t="s">
        <v>3</v>
      </c>
      <c r="J31" s="29">
        <v>14</v>
      </c>
    </row>
    <row r="32" spans="3:14" x14ac:dyDescent="0.2">
      <c r="C32" s="2" t="s">
        <v>102</v>
      </c>
      <c r="D32" s="143">
        <v>29</v>
      </c>
      <c r="E32" s="143">
        <v>29</v>
      </c>
      <c r="F32" s="143">
        <v>30</v>
      </c>
      <c r="G32" s="29">
        <f t="shared" si="1"/>
        <v>1</v>
      </c>
      <c r="I32" s="29" t="s">
        <v>7</v>
      </c>
      <c r="J32" s="29">
        <v>2</v>
      </c>
    </row>
    <row r="33" spans="3:10" x14ac:dyDescent="0.2">
      <c r="C33" s="2" t="s">
        <v>103</v>
      </c>
      <c r="D33" s="143">
        <v>18</v>
      </c>
      <c r="E33" s="143">
        <v>18</v>
      </c>
      <c r="F33" s="143">
        <v>18</v>
      </c>
      <c r="G33" s="29">
        <f t="shared" si="1"/>
        <v>0</v>
      </c>
      <c r="I33" s="29" t="s">
        <v>4</v>
      </c>
      <c r="J33" s="29">
        <v>9</v>
      </c>
    </row>
    <row r="34" spans="3:10" x14ac:dyDescent="0.2">
      <c r="C34" s="2" t="s">
        <v>104</v>
      </c>
      <c r="D34" s="143">
        <v>5</v>
      </c>
      <c r="E34" s="143">
        <v>5</v>
      </c>
      <c r="F34" s="143">
        <v>5</v>
      </c>
      <c r="G34" s="29">
        <f t="shared" si="1"/>
        <v>0</v>
      </c>
    </row>
    <row r="35" spans="3:10" x14ac:dyDescent="0.2">
      <c r="C35" s="2" t="s">
        <v>105</v>
      </c>
      <c r="D35" s="143">
        <v>9</v>
      </c>
      <c r="E35" s="143">
        <v>9</v>
      </c>
      <c r="F35" s="143">
        <v>9</v>
      </c>
      <c r="G35" s="29">
        <f t="shared" si="1"/>
        <v>0</v>
      </c>
      <c r="I35" s="29" t="s">
        <v>432</v>
      </c>
      <c r="J35" s="29">
        <f>J29-SUM(J30:J33)</f>
        <v>588</v>
      </c>
    </row>
    <row r="36" spans="3:10" x14ac:dyDescent="0.2">
      <c r="C36" s="140" t="s">
        <v>6</v>
      </c>
      <c r="D36" s="144">
        <f>SUM(D28:D35)</f>
        <v>517</v>
      </c>
      <c r="E36" s="144">
        <f>SUM(E28:E35)</f>
        <v>527</v>
      </c>
      <c r="F36" s="144">
        <f>SUM(F28:F35)</f>
        <v>537</v>
      </c>
      <c r="G36" s="29">
        <f t="shared" si="1"/>
        <v>10</v>
      </c>
      <c r="I36" s="29" t="s">
        <v>435</v>
      </c>
      <c r="J36" s="29">
        <f>F36</f>
        <v>537</v>
      </c>
    </row>
    <row r="37" spans="3:10" x14ac:dyDescent="0.2">
      <c r="I37" s="29" t="s">
        <v>437</v>
      </c>
      <c r="J37" s="29">
        <f>F91</f>
        <v>19</v>
      </c>
    </row>
    <row r="38" spans="3:10" x14ac:dyDescent="0.2">
      <c r="C38" s="8" t="s">
        <v>119</v>
      </c>
      <c r="D38" s="142"/>
      <c r="E38" s="142"/>
      <c r="F38" s="142"/>
      <c r="I38" s="29" t="s">
        <v>438</v>
      </c>
      <c r="J38" s="29">
        <f>F69</f>
        <v>13</v>
      </c>
    </row>
    <row r="39" spans="3:10" x14ac:dyDescent="0.2">
      <c r="C39" s="2" t="s">
        <v>98</v>
      </c>
      <c r="D39" s="143">
        <v>61</v>
      </c>
      <c r="E39" s="143">
        <v>61</v>
      </c>
      <c r="F39" s="143">
        <v>70</v>
      </c>
      <c r="G39" s="29">
        <f t="shared" si="1"/>
        <v>9</v>
      </c>
      <c r="I39" s="207" t="s">
        <v>436</v>
      </c>
      <c r="J39" s="207">
        <f>J35-J36-J37-J38</f>
        <v>19</v>
      </c>
    </row>
    <row r="40" spans="3:10" x14ac:dyDescent="0.2">
      <c r="C40" s="2" t="s">
        <v>99</v>
      </c>
      <c r="D40" s="143">
        <v>42</v>
      </c>
      <c r="E40" s="143">
        <v>40</v>
      </c>
      <c r="F40" s="143">
        <v>39</v>
      </c>
      <c r="G40" s="29">
        <f t="shared" si="1"/>
        <v>-1</v>
      </c>
    </row>
    <row r="41" spans="3:10" x14ac:dyDescent="0.2">
      <c r="C41" s="2" t="s">
        <v>100</v>
      </c>
      <c r="D41" s="143">
        <v>43</v>
      </c>
      <c r="E41" s="143">
        <v>41</v>
      </c>
      <c r="F41" s="143">
        <v>41</v>
      </c>
      <c r="G41" s="29">
        <f t="shared" si="1"/>
        <v>0</v>
      </c>
    </row>
    <row r="42" spans="3:10" x14ac:dyDescent="0.2">
      <c r="C42" s="2" t="s">
        <v>101</v>
      </c>
      <c r="D42" s="143">
        <v>31</v>
      </c>
      <c r="E42" s="143">
        <v>35</v>
      </c>
      <c r="F42" s="143">
        <v>36</v>
      </c>
      <c r="G42" s="29">
        <f t="shared" si="1"/>
        <v>1</v>
      </c>
    </row>
    <row r="43" spans="3:10" x14ac:dyDescent="0.2">
      <c r="C43" s="2" t="s">
        <v>102</v>
      </c>
      <c r="D43" s="143">
        <v>12</v>
      </c>
      <c r="E43" s="143">
        <v>13</v>
      </c>
      <c r="F43" s="143">
        <v>13</v>
      </c>
      <c r="G43" s="29">
        <f t="shared" si="1"/>
        <v>0</v>
      </c>
    </row>
    <row r="44" spans="3:10" x14ac:dyDescent="0.2">
      <c r="C44" s="2" t="s">
        <v>103</v>
      </c>
      <c r="D44" s="143">
        <v>15</v>
      </c>
      <c r="E44" s="143">
        <v>13</v>
      </c>
      <c r="F44" s="143">
        <v>14</v>
      </c>
      <c r="G44" s="29">
        <f t="shared" si="1"/>
        <v>1</v>
      </c>
    </row>
    <row r="45" spans="3:10" x14ac:dyDescent="0.2">
      <c r="C45" s="2" t="s">
        <v>104</v>
      </c>
      <c r="D45" s="143">
        <v>3</v>
      </c>
      <c r="E45" s="143">
        <v>3</v>
      </c>
      <c r="F45" s="143">
        <v>3</v>
      </c>
      <c r="G45" s="29">
        <f t="shared" si="1"/>
        <v>0</v>
      </c>
      <c r="J45" s="208" t="s">
        <v>439</v>
      </c>
    </row>
    <row r="46" spans="3:10" x14ac:dyDescent="0.2">
      <c r="C46" s="2" t="s">
        <v>105</v>
      </c>
      <c r="D46" s="143">
        <v>2</v>
      </c>
      <c r="E46" s="143">
        <v>1</v>
      </c>
      <c r="F46" s="143">
        <v>0</v>
      </c>
      <c r="G46" s="29">
        <f t="shared" si="1"/>
        <v>-1</v>
      </c>
      <c r="J46" s="29" t="s">
        <v>440</v>
      </c>
    </row>
    <row r="47" spans="3:10" x14ac:dyDescent="0.2">
      <c r="C47" s="140" t="s">
        <v>6</v>
      </c>
      <c r="D47" s="144">
        <f>SUM(D39:D46)</f>
        <v>209</v>
      </c>
      <c r="E47" s="144">
        <f>SUM(E39:E46)</f>
        <v>207</v>
      </c>
      <c r="F47" s="144">
        <f>SUM(F39:F46)</f>
        <v>216</v>
      </c>
      <c r="G47" s="29">
        <f t="shared" si="1"/>
        <v>9</v>
      </c>
    </row>
    <row r="49" spans="3:7" x14ac:dyDescent="0.2">
      <c r="C49" s="8" t="s">
        <v>120</v>
      </c>
      <c r="D49" s="142"/>
      <c r="E49" s="142"/>
      <c r="F49" s="142"/>
    </row>
    <row r="50" spans="3:7" x14ac:dyDescent="0.2">
      <c r="C50" s="2" t="s">
        <v>98</v>
      </c>
      <c r="D50" s="143">
        <v>5</v>
      </c>
      <c r="E50" s="143">
        <v>4</v>
      </c>
      <c r="F50" s="143">
        <v>5</v>
      </c>
      <c r="G50" s="29">
        <f t="shared" si="1"/>
        <v>1</v>
      </c>
    </row>
    <row r="51" spans="3:7" x14ac:dyDescent="0.2">
      <c r="C51" s="2" t="s">
        <v>99</v>
      </c>
      <c r="D51" s="143">
        <v>27</v>
      </c>
      <c r="E51" s="143">
        <v>25</v>
      </c>
      <c r="F51" s="143">
        <v>22</v>
      </c>
      <c r="G51" s="29">
        <f t="shared" si="1"/>
        <v>-3</v>
      </c>
    </row>
    <row r="52" spans="3:7" x14ac:dyDescent="0.2">
      <c r="C52" s="2" t="s">
        <v>100</v>
      </c>
      <c r="D52" s="143">
        <v>52</v>
      </c>
      <c r="E52" s="143">
        <v>49</v>
      </c>
      <c r="F52" s="143">
        <v>45</v>
      </c>
      <c r="G52" s="29">
        <f t="shared" si="1"/>
        <v>-4</v>
      </c>
    </row>
    <row r="53" spans="3:7" x14ac:dyDescent="0.2">
      <c r="C53" s="2" t="s">
        <v>101</v>
      </c>
      <c r="D53" s="143">
        <v>12</v>
      </c>
      <c r="E53" s="143">
        <v>11</v>
      </c>
      <c r="F53" s="143">
        <v>10</v>
      </c>
      <c r="G53" s="29">
        <f t="shared" si="1"/>
        <v>-1</v>
      </c>
    </row>
    <row r="54" spans="3:7" x14ac:dyDescent="0.2">
      <c r="C54" s="2" t="s">
        <v>102</v>
      </c>
      <c r="D54" s="143">
        <v>2</v>
      </c>
      <c r="E54" s="143">
        <v>2</v>
      </c>
      <c r="F54" s="143">
        <v>1</v>
      </c>
      <c r="G54" s="29">
        <f t="shared" si="1"/>
        <v>-1</v>
      </c>
    </row>
    <row r="55" spans="3:7" x14ac:dyDescent="0.2">
      <c r="C55" s="2" t="s">
        <v>103</v>
      </c>
      <c r="D55" s="143">
        <v>1</v>
      </c>
      <c r="E55" s="143">
        <v>1</v>
      </c>
      <c r="F55" s="143">
        <v>1</v>
      </c>
      <c r="G55" s="29">
        <f t="shared" si="1"/>
        <v>0</v>
      </c>
    </row>
    <row r="56" spans="3:7" x14ac:dyDescent="0.2">
      <c r="C56" s="2" t="s">
        <v>104</v>
      </c>
      <c r="D56" s="143">
        <v>5</v>
      </c>
      <c r="E56" s="143">
        <v>5</v>
      </c>
      <c r="F56" s="143">
        <v>5</v>
      </c>
      <c r="G56" s="29">
        <f t="shared" si="1"/>
        <v>0</v>
      </c>
    </row>
    <row r="57" spans="3:7" x14ac:dyDescent="0.2">
      <c r="C57" s="2" t="s">
        <v>105</v>
      </c>
      <c r="D57" s="143">
        <v>0</v>
      </c>
      <c r="E57" s="143">
        <v>0</v>
      </c>
      <c r="F57" s="143">
        <v>0</v>
      </c>
      <c r="G57" s="29">
        <f t="shared" si="1"/>
        <v>0</v>
      </c>
    </row>
    <row r="58" spans="3:7" x14ac:dyDescent="0.2">
      <c r="C58" s="140" t="s">
        <v>6</v>
      </c>
      <c r="D58" s="144">
        <f>SUM(D50:D57)</f>
        <v>104</v>
      </c>
      <c r="E58" s="144">
        <f>SUM(E50:E57)</f>
        <v>97</v>
      </c>
      <c r="F58" s="144">
        <f>SUM(F50:F57)</f>
        <v>89</v>
      </c>
      <c r="G58" s="29">
        <f t="shared" si="1"/>
        <v>-8</v>
      </c>
    </row>
    <row r="60" spans="3:7" x14ac:dyDescent="0.2">
      <c r="C60" s="8" t="s">
        <v>121</v>
      </c>
      <c r="D60" s="142"/>
      <c r="E60" s="142"/>
      <c r="F60" s="142"/>
    </row>
    <row r="61" spans="3:7" x14ac:dyDescent="0.2">
      <c r="C61" s="2" t="s">
        <v>98</v>
      </c>
      <c r="D61" s="143">
        <v>20</v>
      </c>
      <c r="E61" s="143">
        <v>24</v>
      </c>
      <c r="F61" s="143">
        <v>13</v>
      </c>
      <c r="G61" s="29">
        <f t="shared" si="1"/>
        <v>-11</v>
      </c>
    </row>
    <row r="62" spans="3:7" x14ac:dyDescent="0.2">
      <c r="C62" s="2" t="s">
        <v>99</v>
      </c>
      <c r="D62" s="143">
        <v>1</v>
      </c>
      <c r="E62" s="143">
        <v>1</v>
      </c>
      <c r="F62" s="143"/>
      <c r="G62" s="29">
        <f t="shared" si="1"/>
        <v>-1</v>
      </c>
    </row>
    <row r="63" spans="3:7" x14ac:dyDescent="0.2">
      <c r="C63" s="2" t="s">
        <v>100</v>
      </c>
      <c r="D63" s="143"/>
      <c r="E63" s="143"/>
      <c r="F63" s="143"/>
      <c r="G63" s="29">
        <f t="shared" si="1"/>
        <v>0</v>
      </c>
    </row>
    <row r="64" spans="3:7" x14ac:dyDescent="0.2">
      <c r="C64" s="2" t="s">
        <v>101</v>
      </c>
      <c r="D64" s="143"/>
      <c r="E64" s="143"/>
      <c r="F64" s="143"/>
      <c r="G64" s="29">
        <f t="shared" si="1"/>
        <v>0</v>
      </c>
    </row>
    <row r="65" spans="3:7" x14ac:dyDescent="0.2">
      <c r="C65" s="2" t="s">
        <v>102</v>
      </c>
      <c r="D65" s="143"/>
      <c r="E65" s="143"/>
      <c r="F65" s="143"/>
      <c r="G65" s="29">
        <f t="shared" si="1"/>
        <v>0</v>
      </c>
    </row>
    <row r="66" spans="3:7" x14ac:dyDescent="0.2">
      <c r="C66" s="2" t="s">
        <v>103</v>
      </c>
      <c r="D66" s="143"/>
      <c r="E66" s="143"/>
      <c r="F66" s="143"/>
      <c r="G66" s="29">
        <f t="shared" si="1"/>
        <v>0</v>
      </c>
    </row>
    <row r="67" spans="3:7" x14ac:dyDescent="0.2">
      <c r="C67" s="2" t="s">
        <v>104</v>
      </c>
      <c r="D67" s="143"/>
      <c r="E67" s="143"/>
      <c r="F67" s="143"/>
      <c r="G67" s="29">
        <f t="shared" si="1"/>
        <v>0</v>
      </c>
    </row>
    <row r="68" spans="3:7" x14ac:dyDescent="0.2">
      <c r="C68" s="2" t="s">
        <v>105</v>
      </c>
      <c r="D68" s="143"/>
      <c r="E68" s="143"/>
      <c r="F68" s="143"/>
      <c r="G68" s="29">
        <f t="shared" si="1"/>
        <v>0</v>
      </c>
    </row>
    <row r="69" spans="3:7" x14ac:dyDescent="0.2">
      <c r="C69" s="140" t="s">
        <v>6</v>
      </c>
      <c r="D69" s="144">
        <f>SUM(D61:D68)</f>
        <v>21</v>
      </c>
      <c r="E69" s="144">
        <f>SUM(E61:E68)</f>
        <v>25</v>
      </c>
      <c r="F69" s="144">
        <f>SUM(F61:F68)</f>
        <v>13</v>
      </c>
      <c r="G69" s="29">
        <f t="shared" si="1"/>
        <v>-12</v>
      </c>
    </row>
    <row r="71" spans="3:7" x14ac:dyDescent="0.2">
      <c r="C71" s="8" t="s">
        <v>122</v>
      </c>
      <c r="D71" s="142"/>
      <c r="E71" s="142"/>
      <c r="F71" s="142"/>
    </row>
    <row r="72" spans="3:7" x14ac:dyDescent="0.2">
      <c r="C72" s="2" t="s">
        <v>98</v>
      </c>
      <c r="D72" s="143">
        <v>8</v>
      </c>
      <c r="E72" s="143">
        <v>11</v>
      </c>
      <c r="F72" s="143">
        <v>11</v>
      </c>
      <c r="G72" s="29">
        <f t="shared" ref="G72:G93" si="11">F72-E72</f>
        <v>0</v>
      </c>
    </row>
    <row r="73" spans="3:7" x14ac:dyDescent="0.2">
      <c r="C73" s="2" t="s">
        <v>99</v>
      </c>
      <c r="D73" s="143">
        <v>5</v>
      </c>
      <c r="E73" s="143">
        <v>5</v>
      </c>
      <c r="F73" s="143">
        <v>6</v>
      </c>
      <c r="G73" s="29">
        <f t="shared" si="11"/>
        <v>1</v>
      </c>
    </row>
    <row r="74" spans="3:7" x14ac:dyDescent="0.2">
      <c r="C74" s="2" t="s">
        <v>100</v>
      </c>
      <c r="D74" s="143">
        <v>1</v>
      </c>
      <c r="E74" s="143">
        <v>1</v>
      </c>
      <c r="F74" s="143">
        <v>1</v>
      </c>
      <c r="G74" s="29">
        <f t="shared" si="11"/>
        <v>0</v>
      </c>
    </row>
    <row r="75" spans="3:7" x14ac:dyDescent="0.2">
      <c r="C75" s="2" t="s">
        <v>101</v>
      </c>
      <c r="D75" s="143"/>
      <c r="E75" s="143"/>
      <c r="F75" s="143"/>
      <c r="G75" s="29">
        <f t="shared" si="11"/>
        <v>0</v>
      </c>
    </row>
    <row r="76" spans="3:7" x14ac:dyDescent="0.2">
      <c r="C76" s="2" t="s">
        <v>102</v>
      </c>
      <c r="D76" s="143">
        <v>1</v>
      </c>
      <c r="E76" s="143">
        <v>1</v>
      </c>
      <c r="F76" s="143">
        <v>1</v>
      </c>
      <c r="G76" s="29">
        <f t="shared" si="11"/>
        <v>0</v>
      </c>
    </row>
    <row r="77" spans="3:7" x14ac:dyDescent="0.2">
      <c r="C77" s="2" t="s">
        <v>103</v>
      </c>
      <c r="D77" s="143"/>
      <c r="E77" s="143"/>
      <c r="F77" s="143"/>
      <c r="G77" s="29">
        <f t="shared" si="11"/>
        <v>0</v>
      </c>
    </row>
    <row r="78" spans="3:7" x14ac:dyDescent="0.2">
      <c r="C78" s="2" t="s">
        <v>104</v>
      </c>
      <c r="D78" s="143">
        <v>1</v>
      </c>
      <c r="E78" s="143">
        <v>1</v>
      </c>
      <c r="F78" s="143">
        <v>1</v>
      </c>
      <c r="G78" s="29">
        <f t="shared" si="11"/>
        <v>0</v>
      </c>
    </row>
    <row r="79" spans="3:7" x14ac:dyDescent="0.2">
      <c r="C79" s="2" t="s">
        <v>105</v>
      </c>
      <c r="D79" s="143"/>
      <c r="E79" s="143"/>
      <c r="F79" s="143"/>
      <c r="G79" s="29">
        <f t="shared" si="11"/>
        <v>0</v>
      </c>
    </row>
    <row r="80" spans="3:7" x14ac:dyDescent="0.2">
      <c r="C80" s="140" t="s">
        <v>6</v>
      </c>
      <c r="D80" s="144">
        <f>SUM(D72:D79)</f>
        <v>16</v>
      </c>
      <c r="E80" s="144">
        <f>SUM(E72:E79)</f>
        <v>19</v>
      </c>
      <c r="F80" s="144">
        <f>SUM(F72:F79)</f>
        <v>20</v>
      </c>
      <c r="G80" s="29">
        <f t="shared" si="11"/>
        <v>1</v>
      </c>
    </row>
    <row r="82" spans="3:7" x14ac:dyDescent="0.2">
      <c r="C82" s="8" t="s">
        <v>123</v>
      </c>
      <c r="D82" s="142"/>
      <c r="E82" s="142"/>
      <c r="F82" s="142"/>
    </row>
    <row r="83" spans="3:7" x14ac:dyDescent="0.2">
      <c r="C83" s="2" t="s">
        <v>98</v>
      </c>
      <c r="D83" s="143">
        <v>13</v>
      </c>
      <c r="E83" s="143">
        <v>12</v>
      </c>
      <c r="F83" s="143">
        <v>11</v>
      </c>
      <c r="G83" s="29">
        <f t="shared" si="11"/>
        <v>-1</v>
      </c>
    </row>
    <row r="84" spans="3:7" x14ac:dyDescent="0.2">
      <c r="C84" s="2" t="s">
        <v>99</v>
      </c>
      <c r="D84" s="143">
        <v>8</v>
      </c>
      <c r="E84" s="143">
        <v>6</v>
      </c>
      <c r="F84" s="143">
        <v>6</v>
      </c>
      <c r="G84" s="29">
        <f t="shared" si="11"/>
        <v>0</v>
      </c>
    </row>
    <row r="85" spans="3:7" x14ac:dyDescent="0.2">
      <c r="C85" s="2" t="s">
        <v>100</v>
      </c>
      <c r="D85" s="143">
        <v>6</v>
      </c>
      <c r="E85" s="143">
        <v>3</v>
      </c>
      <c r="F85" s="143">
        <v>1</v>
      </c>
      <c r="G85" s="29">
        <f t="shared" si="11"/>
        <v>-2</v>
      </c>
    </row>
    <row r="86" spans="3:7" x14ac:dyDescent="0.2">
      <c r="C86" s="2" t="s">
        <v>101</v>
      </c>
      <c r="D86" s="143"/>
      <c r="E86" s="143"/>
      <c r="F86" s="143"/>
      <c r="G86" s="29">
        <f t="shared" si="11"/>
        <v>0</v>
      </c>
    </row>
    <row r="87" spans="3:7" x14ac:dyDescent="0.2">
      <c r="C87" s="2" t="s">
        <v>102</v>
      </c>
      <c r="D87" s="143">
        <v>1</v>
      </c>
      <c r="E87" s="143">
        <v>1</v>
      </c>
      <c r="F87" s="143">
        <v>1</v>
      </c>
      <c r="G87" s="29">
        <f t="shared" si="11"/>
        <v>0</v>
      </c>
    </row>
    <row r="88" spans="3:7" x14ac:dyDescent="0.2">
      <c r="C88" s="2" t="s">
        <v>103</v>
      </c>
      <c r="D88" s="143"/>
      <c r="E88" s="143"/>
      <c r="F88" s="143"/>
      <c r="G88" s="29">
        <f t="shared" si="11"/>
        <v>0</v>
      </c>
    </row>
    <row r="89" spans="3:7" x14ac:dyDescent="0.2">
      <c r="C89" s="2" t="s">
        <v>104</v>
      </c>
      <c r="D89" s="143">
        <v>1</v>
      </c>
      <c r="E89" s="143">
        <v>1</v>
      </c>
      <c r="F89" s="143"/>
      <c r="G89" s="29">
        <f t="shared" si="11"/>
        <v>-1</v>
      </c>
    </row>
    <row r="90" spans="3:7" x14ac:dyDescent="0.2">
      <c r="C90" s="2" t="s">
        <v>105</v>
      </c>
      <c r="D90" s="143"/>
      <c r="E90" s="143"/>
      <c r="F90" s="143"/>
      <c r="G90" s="29">
        <f t="shared" si="11"/>
        <v>0</v>
      </c>
    </row>
    <row r="91" spans="3:7" x14ac:dyDescent="0.2">
      <c r="C91" s="140" t="s">
        <v>6</v>
      </c>
      <c r="D91" s="144">
        <f>SUM(D83:D90)</f>
        <v>29</v>
      </c>
      <c r="E91" s="144">
        <f>SUM(E83:E90)</f>
        <v>23</v>
      </c>
      <c r="F91" s="144">
        <f>SUM(F83:F90)</f>
        <v>19</v>
      </c>
      <c r="G91" s="29">
        <f t="shared" si="11"/>
        <v>-4</v>
      </c>
    </row>
    <row r="93" spans="3:7" ht="42" customHeight="1" x14ac:dyDescent="0.2">
      <c r="C93" s="146" t="s">
        <v>302</v>
      </c>
      <c r="D93" s="147">
        <f>D91+D69+D36</f>
        <v>567</v>
      </c>
      <c r="E93" s="147">
        <f t="shared" ref="E93:F93" si="12">E91+E69+E36</f>
        <v>575</v>
      </c>
      <c r="F93" s="147">
        <f t="shared" si="12"/>
        <v>569</v>
      </c>
      <c r="G93" s="29">
        <f t="shared" si="11"/>
        <v>-6</v>
      </c>
    </row>
  </sheetData>
  <pageMargins left="0.7" right="0.7" top="0.75" bottom="0.75" header="0.3" footer="0.3"/>
  <customProperties>
    <customPr name="Qube.Worksheet.Visibility" r:id="rId1"/>
  </customPropertie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DA223-B77E-40B3-B489-C78D1F216583}">
  <sheetPr>
    <tabColor theme="7" tint="0.59999389629810485"/>
    <pageSetUpPr autoPageBreaks="0"/>
  </sheetPr>
  <dimension ref="A1:AK209"/>
  <sheetViews>
    <sheetView showGridLines="0" topLeftCell="B1" zoomScale="85" zoomScaleNormal="85" workbookViewId="0">
      <selection activeCell="X12" sqref="X12"/>
    </sheetView>
  </sheetViews>
  <sheetFormatPr defaultColWidth="9.140625" defaultRowHeight="12.75" outlineLevelRow="1" outlineLevelCol="1" x14ac:dyDescent="0.2"/>
  <cols>
    <col min="1" max="1" width="23.5703125" style="29" hidden="1" customWidth="1" outlineLevel="1"/>
    <col min="2" max="2" width="56.42578125" style="29" customWidth="1" collapsed="1"/>
    <col min="3" max="17" width="9.5703125" style="29" hidden="1" customWidth="1" outlineLevel="1"/>
    <col min="18" max="18" width="9.5703125" style="29" bestFit="1" customWidth="1" collapsed="1"/>
    <col min="19" max="24" width="9.5703125" style="29" bestFit="1" customWidth="1"/>
    <col min="25" max="25" width="9.7109375" style="29" bestFit="1" customWidth="1"/>
    <col min="26" max="29" width="10.5703125" style="29" bestFit="1" customWidth="1"/>
    <col min="30" max="16384" width="9.140625" style="29"/>
  </cols>
  <sheetData>
    <row r="1" spans="1:37" x14ac:dyDescent="0.2">
      <c r="B1" s="128" t="s">
        <v>231</v>
      </c>
      <c r="C1" s="6"/>
      <c r="D1" s="6"/>
      <c r="E1" s="6"/>
      <c r="F1" s="6"/>
      <c r="G1" s="6"/>
      <c r="H1" s="6"/>
      <c r="I1" s="6"/>
      <c r="J1" s="6"/>
      <c r="K1" s="6"/>
      <c r="L1" s="6"/>
      <c r="M1" s="6"/>
      <c r="N1" s="6"/>
      <c r="O1" s="6"/>
      <c r="P1" s="6"/>
      <c r="Q1" s="6"/>
      <c r="R1" s="6"/>
      <c r="S1" s="6"/>
      <c r="T1" s="6"/>
      <c r="U1" s="6"/>
      <c r="V1" s="6"/>
      <c r="W1" s="6" t="s">
        <v>91</v>
      </c>
      <c r="X1" s="6"/>
      <c r="Y1" s="6"/>
      <c r="Z1" s="6"/>
      <c r="AA1" s="6"/>
      <c r="AB1" s="6"/>
      <c r="AC1" s="6"/>
      <c r="AD1" s="6"/>
      <c r="AE1" s="6"/>
      <c r="AF1" s="6"/>
      <c r="AG1" s="6"/>
      <c r="AH1" s="6"/>
      <c r="AI1" s="6"/>
      <c r="AJ1" s="6"/>
    </row>
    <row r="2" spans="1:37" x14ac:dyDescent="0.2">
      <c r="B2" s="128" t="s">
        <v>159</v>
      </c>
      <c r="C2" s="6"/>
      <c r="D2" s="6"/>
      <c r="E2" s="6"/>
      <c r="F2" s="6"/>
      <c r="G2" s="6"/>
      <c r="H2" s="6"/>
      <c r="I2" s="6"/>
      <c r="J2" s="6"/>
      <c r="K2" s="6"/>
      <c r="L2" s="6"/>
      <c r="M2" s="6"/>
      <c r="N2" s="6"/>
      <c r="O2" s="6"/>
      <c r="P2" s="6"/>
      <c r="Q2" s="6"/>
      <c r="R2" s="6"/>
      <c r="S2" s="6"/>
      <c r="T2" s="6"/>
      <c r="U2" s="6"/>
      <c r="V2" s="6"/>
      <c r="W2" s="6" t="s">
        <v>90</v>
      </c>
      <c r="X2" s="6"/>
      <c r="Y2" s="6"/>
      <c r="Z2" s="6"/>
      <c r="AA2" s="6"/>
      <c r="AB2" s="6"/>
      <c r="AC2" s="6"/>
      <c r="AD2" s="6"/>
      <c r="AE2" s="6"/>
      <c r="AF2" s="6"/>
      <c r="AG2" s="6"/>
      <c r="AH2" s="6"/>
      <c r="AI2" s="6"/>
      <c r="AJ2" s="6"/>
    </row>
    <row r="3" spans="1:37" x14ac:dyDescent="0.2">
      <c r="B3" s="6"/>
      <c r="C3" s="6" t="s">
        <v>93</v>
      </c>
      <c r="D3" s="6" t="s">
        <v>94</v>
      </c>
      <c r="E3" s="6" t="s">
        <v>95</v>
      </c>
      <c r="F3" s="6" t="s">
        <v>96</v>
      </c>
      <c r="G3" s="6" t="s">
        <v>97</v>
      </c>
      <c r="H3" s="6" t="s">
        <v>92</v>
      </c>
      <c r="I3" s="6" t="s">
        <v>73</v>
      </c>
      <c r="J3" s="6" t="s">
        <v>74</v>
      </c>
      <c r="K3" s="6" t="s">
        <v>75</v>
      </c>
      <c r="L3" s="6" t="s">
        <v>76</v>
      </c>
      <c r="M3" s="6" t="s">
        <v>77</v>
      </c>
      <c r="N3" s="6" t="s">
        <v>78</v>
      </c>
      <c r="O3" s="6" t="s">
        <v>79</v>
      </c>
      <c r="P3" s="6" t="s">
        <v>80</v>
      </c>
      <c r="Q3" s="6" t="s">
        <v>81</v>
      </c>
      <c r="R3" s="6" t="s">
        <v>82</v>
      </c>
      <c r="S3" s="6" t="s">
        <v>83</v>
      </c>
      <c r="T3" s="6" t="s">
        <v>84</v>
      </c>
      <c r="U3" s="6" t="s">
        <v>85</v>
      </c>
      <c r="V3" s="6" t="s">
        <v>86</v>
      </c>
      <c r="W3" s="6" t="s">
        <v>18</v>
      </c>
      <c r="X3" s="6" t="s">
        <v>19</v>
      </c>
      <c r="Y3" s="6" t="s">
        <v>20</v>
      </c>
      <c r="Z3" s="6" t="s">
        <v>21</v>
      </c>
      <c r="AA3" s="6" t="s">
        <v>87</v>
      </c>
      <c r="AB3" s="6" t="s">
        <v>88</v>
      </c>
      <c r="AC3" s="6" t="s">
        <v>89</v>
      </c>
      <c r="AD3" s="6"/>
      <c r="AE3" s="6" t="s">
        <v>112</v>
      </c>
      <c r="AF3" s="6" t="s">
        <v>113</v>
      </c>
      <c r="AG3" s="6" t="s">
        <v>110</v>
      </c>
      <c r="AH3" s="6" t="s">
        <v>111</v>
      </c>
      <c r="AI3" s="6" t="s">
        <v>17</v>
      </c>
      <c r="AJ3" s="6" t="s">
        <v>114</v>
      </c>
    </row>
    <row r="4" spans="1:37" x14ac:dyDescent="0.2">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7" x14ac:dyDescent="0.2">
      <c r="B5" s="39" t="s">
        <v>317</v>
      </c>
      <c r="C5" s="40"/>
      <c r="D5" s="40"/>
      <c r="E5" s="40"/>
      <c r="F5" s="40"/>
      <c r="G5" s="40"/>
      <c r="H5" s="40"/>
      <c r="I5" s="40"/>
      <c r="J5" s="40"/>
      <c r="K5" s="40"/>
      <c r="L5" s="40"/>
      <c r="M5" s="40"/>
      <c r="N5" s="40"/>
      <c r="O5" s="40"/>
      <c r="P5" s="40"/>
      <c r="Q5" s="40"/>
      <c r="R5" s="6"/>
      <c r="S5" s="6"/>
      <c r="T5" s="6"/>
      <c r="U5" s="6"/>
      <c r="V5" s="6"/>
      <c r="W5" s="6"/>
      <c r="X5" s="6"/>
      <c r="Y5" s="6"/>
      <c r="Z5" s="6"/>
      <c r="AA5" s="6"/>
      <c r="AB5" s="6"/>
      <c r="AC5" s="6"/>
      <c r="AD5" s="6"/>
      <c r="AE5" s="6"/>
      <c r="AF5" s="6"/>
      <c r="AG5" s="6"/>
      <c r="AH5" s="6"/>
      <c r="AI5" s="6"/>
      <c r="AJ5" s="6"/>
    </row>
    <row r="6" spans="1:37" x14ac:dyDescent="0.2">
      <c r="B6" s="3" t="s">
        <v>292</v>
      </c>
      <c r="C6" s="2"/>
      <c r="D6" s="2"/>
      <c r="E6" s="2"/>
      <c r="F6" s="2"/>
      <c r="G6" s="2"/>
      <c r="H6" s="2"/>
      <c r="I6" s="2"/>
      <c r="J6" s="2"/>
      <c r="K6" s="2"/>
      <c r="L6" s="2"/>
      <c r="M6" s="2"/>
      <c r="N6" s="2"/>
      <c r="O6" s="2"/>
      <c r="P6" s="2"/>
      <c r="Q6" s="2"/>
      <c r="R6" s="2"/>
      <c r="S6" s="2"/>
      <c r="T6" s="2"/>
      <c r="U6" s="2"/>
      <c r="V6" s="2"/>
      <c r="W6" s="2"/>
      <c r="X6" s="2"/>
      <c r="Y6" s="33"/>
      <c r="Z6" s="33"/>
      <c r="AA6" s="33"/>
      <c r="AB6" s="33"/>
      <c r="AC6" s="33"/>
      <c r="AD6" s="33"/>
      <c r="AE6" s="2"/>
      <c r="AF6" s="2"/>
      <c r="AG6" s="2"/>
      <c r="AH6" s="2"/>
      <c r="AI6" s="33"/>
      <c r="AJ6" s="33"/>
    </row>
    <row r="7" spans="1:37" x14ac:dyDescent="0.2">
      <c r="A7" s="29" t="s">
        <v>397</v>
      </c>
      <c r="B7" s="148" t="s">
        <v>1</v>
      </c>
      <c r="C7" s="59">
        <f t="shared" ref="C7:T7" si="0">C19</f>
        <v>0</v>
      </c>
      <c r="D7" s="59">
        <f t="shared" si="0"/>
        <v>0</v>
      </c>
      <c r="E7" s="59">
        <f t="shared" si="0"/>
        <v>0</v>
      </c>
      <c r="F7" s="59">
        <f t="shared" si="0"/>
        <v>0</v>
      </c>
      <c r="G7" s="59">
        <f t="shared" si="0"/>
        <v>0</v>
      </c>
      <c r="H7" s="59">
        <f t="shared" si="0"/>
        <v>0</v>
      </c>
      <c r="I7" s="59">
        <f t="shared" si="0"/>
        <v>0</v>
      </c>
      <c r="J7" s="59">
        <f t="shared" si="0"/>
        <v>0</v>
      </c>
      <c r="K7" s="59">
        <f t="shared" si="0"/>
        <v>0</v>
      </c>
      <c r="L7" s="59">
        <f t="shared" si="0"/>
        <v>0</v>
      </c>
      <c r="M7" s="59">
        <f t="shared" si="0"/>
        <v>0</v>
      </c>
      <c r="N7" s="59">
        <f t="shared" si="0"/>
        <v>0</v>
      </c>
      <c r="O7" s="59">
        <f t="shared" si="0"/>
        <v>0</v>
      </c>
      <c r="P7" s="59">
        <f t="shared" si="0"/>
        <v>0</v>
      </c>
      <c r="Q7" s="59">
        <f t="shared" si="0"/>
        <v>0</v>
      </c>
      <c r="R7" s="59">
        <f t="shared" si="0"/>
        <v>0</v>
      </c>
      <c r="S7" s="59">
        <f t="shared" si="0"/>
        <v>0</v>
      </c>
      <c r="T7" s="59">
        <f t="shared" si="0"/>
        <v>0</v>
      </c>
      <c r="U7" s="59">
        <f>U19</f>
        <v>6213.1</v>
      </c>
      <c r="V7" s="59">
        <f>V19</f>
        <v>7068</v>
      </c>
      <c r="W7" s="59">
        <f t="shared" ref="W7:AC7" si="1">W19</f>
        <v>7909.9</v>
      </c>
      <c r="X7" s="59">
        <f t="shared" si="1"/>
        <v>8968.9</v>
      </c>
      <c r="Y7" s="41">
        <f t="shared" si="1"/>
        <v>10113.441463265304</v>
      </c>
      <c r="Z7" s="41">
        <f t="shared" si="1"/>
        <v>11091.441292688198</v>
      </c>
      <c r="AA7" s="41">
        <f t="shared" si="1"/>
        <v>11821.770042422126</v>
      </c>
      <c r="AB7" s="41">
        <f t="shared" si="1"/>
        <v>12590.627030508251</v>
      </c>
      <c r="AC7" s="41">
        <f t="shared" si="1"/>
        <v>13399.860967832736</v>
      </c>
      <c r="AD7" s="33"/>
      <c r="AE7" s="59">
        <f t="shared" ref="AE7:AJ7" si="2">AE19</f>
        <v>4011.7</v>
      </c>
      <c r="AF7" s="59">
        <f t="shared" si="2"/>
        <v>3898.2</v>
      </c>
      <c r="AG7" s="59">
        <f t="shared" si="2"/>
        <v>4505.8999999999996</v>
      </c>
      <c r="AH7" s="59">
        <f t="shared" si="2"/>
        <v>4463</v>
      </c>
      <c r="AI7" s="41">
        <f t="shared" si="2"/>
        <v>5178.9055820379954</v>
      </c>
      <c r="AJ7" s="41">
        <f t="shared" si="2"/>
        <v>4934.5358812273089</v>
      </c>
    </row>
    <row r="8" spans="1:37" x14ac:dyDescent="0.2">
      <c r="A8" s="29" t="s">
        <v>402</v>
      </c>
      <c r="B8" s="148" t="s">
        <v>2</v>
      </c>
      <c r="C8" s="2"/>
      <c r="D8" s="2"/>
      <c r="E8" s="2"/>
      <c r="F8" s="2"/>
      <c r="G8" s="2"/>
      <c r="H8" s="2"/>
      <c r="I8" s="2"/>
      <c r="J8" s="2"/>
      <c r="K8" s="2"/>
      <c r="L8" s="2"/>
      <c r="M8" s="2"/>
      <c r="N8" s="2"/>
      <c r="O8" s="2"/>
      <c r="P8" s="2"/>
      <c r="Q8" s="59">
        <f t="shared" ref="Q8:T8" si="3">Q86</f>
        <v>0</v>
      </c>
      <c r="R8" s="59">
        <f t="shared" si="3"/>
        <v>80</v>
      </c>
      <c r="S8" s="59">
        <f t="shared" si="3"/>
        <v>171</v>
      </c>
      <c r="T8" s="59">
        <f t="shared" si="3"/>
        <v>306</v>
      </c>
      <c r="U8" s="59">
        <f>U86</f>
        <v>497</v>
      </c>
      <c r="V8" s="59">
        <f>V86</f>
        <v>652</v>
      </c>
      <c r="W8" s="59">
        <f t="shared" ref="W8:AC8" si="4">W86</f>
        <v>886</v>
      </c>
      <c r="X8" s="59">
        <f t="shared" si="4"/>
        <v>1050</v>
      </c>
      <c r="Y8" s="41">
        <f t="shared" si="4"/>
        <v>1297.6967213114754</v>
      </c>
      <c r="Z8" s="41">
        <f t="shared" si="4"/>
        <v>1533.3311259706643</v>
      </c>
      <c r="AA8" s="41">
        <f t="shared" si="4"/>
        <v>1788.2919992425307</v>
      </c>
      <c r="AB8" s="41">
        <f t="shared" si="4"/>
        <v>2063.9870157924211</v>
      </c>
      <c r="AC8" s="41">
        <f t="shared" si="4"/>
        <v>2361.9021227888743</v>
      </c>
      <c r="AD8" s="33"/>
      <c r="AE8" s="2"/>
      <c r="AF8" s="2"/>
      <c r="AG8" s="2"/>
      <c r="AH8" s="2"/>
      <c r="AI8" s="33"/>
      <c r="AJ8" s="33"/>
    </row>
    <row r="9" spans="1:37" x14ac:dyDescent="0.2">
      <c r="A9" s="29" t="s">
        <v>398</v>
      </c>
      <c r="B9" s="148" t="s">
        <v>3</v>
      </c>
      <c r="C9" s="2"/>
      <c r="D9" s="2"/>
      <c r="E9" s="2"/>
      <c r="F9" s="2"/>
      <c r="G9" s="2"/>
      <c r="H9" s="2"/>
      <c r="I9" s="2"/>
      <c r="J9" s="2"/>
      <c r="K9" s="2"/>
      <c r="L9" s="2"/>
      <c r="M9" s="2"/>
      <c r="N9" s="2"/>
      <c r="O9" s="2"/>
      <c r="P9" s="2"/>
      <c r="Q9" s="59"/>
      <c r="R9" s="59">
        <f t="shared" ref="R9:T9" si="5">R96</f>
        <v>0</v>
      </c>
      <c r="S9" s="59">
        <f t="shared" si="5"/>
        <v>0</v>
      </c>
      <c r="T9" s="59">
        <f t="shared" si="5"/>
        <v>7.6347406811000775</v>
      </c>
      <c r="U9" s="59">
        <f>U96</f>
        <v>29.946093187094647</v>
      </c>
      <c r="V9" s="59">
        <f>V96</f>
        <v>59.297278455992981</v>
      </c>
      <c r="W9" s="59">
        <f t="shared" ref="W9:AC9" si="6">W96</f>
        <v>105.69921151807108</v>
      </c>
      <c r="X9" s="59">
        <f t="shared" si="6"/>
        <v>167.47139477774832</v>
      </c>
      <c r="Y9" s="41">
        <f t="shared" si="6"/>
        <v>266.16179202581452</v>
      </c>
      <c r="Z9" s="41">
        <f t="shared" si="6"/>
        <v>368.14378391781082</v>
      </c>
      <c r="AA9" s="41">
        <f t="shared" si="6"/>
        <v>467.5426055756198</v>
      </c>
      <c r="AB9" s="41">
        <f t="shared" si="6"/>
        <v>554.81722528306886</v>
      </c>
      <c r="AC9" s="41">
        <f t="shared" si="6"/>
        <v>645.17317340059719</v>
      </c>
      <c r="AD9" s="33"/>
      <c r="AE9" s="2"/>
      <c r="AF9" s="2"/>
      <c r="AG9" s="2"/>
      <c r="AH9" s="2"/>
      <c r="AI9" s="33"/>
      <c r="AJ9" s="33"/>
    </row>
    <row r="10" spans="1:37" x14ac:dyDescent="0.2">
      <c r="A10" s="29" t="s">
        <v>399</v>
      </c>
      <c r="B10" s="148" t="s">
        <v>4</v>
      </c>
      <c r="P10" s="207"/>
      <c r="Q10" s="272"/>
      <c r="R10" s="206"/>
      <c r="S10" s="206"/>
      <c r="T10" s="206">
        <v>50</v>
      </c>
      <c r="U10" s="206">
        <f>U13-SUM(U7:U9)</f>
        <v>84.953906812905188</v>
      </c>
      <c r="V10" s="206">
        <f>V13-SUM(V7:V9)</f>
        <v>108.70272154400664</v>
      </c>
      <c r="W10" s="206">
        <f>W13-SUM(W7:W9)</f>
        <v>100.30078848192898</v>
      </c>
      <c r="X10" s="206">
        <f>X13-SUM(X7:X9)-X11-X12</f>
        <v>72.128605222251281</v>
      </c>
      <c r="Y10" s="53">
        <v>80</v>
      </c>
      <c r="Z10" s="53">
        <v>80</v>
      </c>
      <c r="AA10" s="53">
        <v>80</v>
      </c>
      <c r="AB10" s="53">
        <v>80</v>
      </c>
      <c r="AC10" s="53">
        <v>80</v>
      </c>
      <c r="AD10" s="33"/>
      <c r="AE10" s="2"/>
      <c r="AF10" s="2"/>
      <c r="AG10" s="2"/>
      <c r="AH10" s="2"/>
      <c r="AI10" s="33"/>
      <c r="AJ10" s="33"/>
    </row>
    <row r="11" spans="1:37" x14ac:dyDescent="0.2">
      <c r="A11" s="29" t="s">
        <v>400</v>
      </c>
      <c r="B11" s="148" t="s">
        <v>7</v>
      </c>
      <c r="C11" s="2"/>
      <c r="D11" s="2"/>
      <c r="E11" s="2"/>
      <c r="F11" s="2"/>
      <c r="G11" s="2"/>
      <c r="H11" s="2"/>
      <c r="I11" s="2"/>
      <c r="J11" s="2"/>
      <c r="K11" s="2"/>
      <c r="L11" s="2"/>
      <c r="M11" s="2"/>
      <c r="N11" s="2"/>
      <c r="O11" s="2"/>
      <c r="P11" s="2"/>
      <c r="Q11" s="59"/>
      <c r="R11" s="59"/>
      <c r="S11" s="59"/>
      <c r="T11" s="59"/>
      <c r="U11" s="59"/>
      <c r="V11" s="59"/>
      <c r="W11" s="59"/>
      <c r="X11" s="206">
        <v>10</v>
      </c>
      <c r="Y11" s="53">
        <f>Y37*7</f>
        <v>35</v>
      </c>
      <c r="Z11" s="53">
        <f t="shared" ref="Z11:AC11" si="7">Z37*7</f>
        <v>56</v>
      </c>
      <c r="AA11" s="53">
        <f t="shared" si="7"/>
        <v>77</v>
      </c>
      <c r="AB11" s="53">
        <f t="shared" si="7"/>
        <v>105</v>
      </c>
      <c r="AC11" s="53">
        <f t="shared" si="7"/>
        <v>140</v>
      </c>
      <c r="AD11" s="33"/>
      <c r="AE11" s="2"/>
      <c r="AF11" s="2"/>
      <c r="AG11" s="2"/>
      <c r="AH11" s="2"/>
      <c r="AI11" s="33"/>
      <c r="AJ11" s="33"/>
    </row>
    <row r="12" spans="1:37" x14ac:dyDescent="0.2">
      <c r="A12" s="29" t="s">
        <v>401</v>
      </c>
      <c r="B12" s="148" t="s">
        <v>5</v>
      </c>
      <c r="C12" s="2"/>
      <c r="D12" s="2"/>
      <c r="E12" s="2"/>
      <c r="F12" s="2"/>
      <c r="G12" s="2"/>
      <c r="H12" s="2"/>
      <c r="I12" s="2"/>
      <c r="J12" s="2"/>
      <c r="K12" s="2"/>
      <c r="L12" s="2"/>
      <c r="M12" s="2"/>
      <c r="N12" s="2"/>
      <c r="O12" s="2"/>
      <c r="P12" s="2"/>
      <c r="Q12" s="59"/>
      <c r="R12" s="59"/>
      <c r="S12" s="59"/>
      <c r="T12" s="59"/>
      <c r="U12" s="59"/>
      <c r="V12" s="2"/>
      <c r="W12" s="2"/>
      <c r="X12" s="2"/>
      <c r="Y12" s="41"/>
      <c r="Z12" s="41"/>
      <c r="AA12" s="41"/>
      <c r="AB12" s="41"/>
      <c r="AC12" s="41"/>
      <c r="AD12" s="33"/>
      <c r="AE12" s="2"/>
      <c r="AF12" s="2"/>
      <c r="AG12" s="2"/>
      <c r="AH12" s="2"/>
      <c r="AI12" s="33"/>
      <c r="AJ12" s="33"/>
    </row>
    <row r="13" spans="1:37" x14ac:dyDescent="0.2">
      <c r="A13" s="29" t="s">
        <v>125</v>
      </c>
      <c r="B13" s="3" t="s">
        <v>6</v>
      </c>
      <c r="C13" s="60">
        <v>158</v>
      </c>
      <c r="D13" s="60">
        <v>238</v>
      </c>
      <c r="E13" s="60">
        <v>362</v>
      </c>
      <c r="F13" s="60">
        <v>511</v>
      </c>
      <c r="G13" s="60">
        <v>701</v>
      </c>
      <c r="H13" s="60">
        <v>951</v>
      </c>
      <c r="I13" s="60">
        <v>1231</v>
      </c>
      <c r="J13" s="60">
        <v>1518</v>
      </c>
      <c r="K13" s="60">
        <v>1847</v>
      </c>
      <c r="L13" s="60">
        <v>2183</v>
      </c>
      <c r="M13" s="60">
        <v>2542</v>
      </c>
      <c r="N13" s="60">
        <v>3133</v>
      </c>
      <c r="O13" s="60">
        <v>3825</v>
      </c>
      <c r="P13" s="60">
        <v>4388</v>
      </c>
      <c r="Q13" s="60">
        <v>4857</v>
      </c>
      <c r="R13" s="152">
        <v>5355</v>
      </c>
      <c r="S13" s="152">
        <v>5756</v>
      </c>
      <c r="T13" s="152">
        <v>5893</v>
      </c>
      <c r="U13" s="152">
        <v>6825</v>
      </c>
      <c r="V13" s="152">
        <v>7888</v>
      </c>
      <c r="W13" s="152">
        <v>9001.9</v>
      </c>
      <c r="X13" s="152">
        <v>10268.5</v>
      </c>
      <c r="Y13" s="35">
        <f>SUM(Y7:Y12)</f>
        <v>11792.299976602593</v>
      </c>
      <c r="Z13" s="35">
        <f t="shared" ref="Z13:AC13" si="8">SUM(Z7:Z12)</f>
        <v>13128.916202576673</v>
      </c>
      <c r="AA13" s="35">
        <f t="shared" si="8"/>
        <v>14234.604647240276</v>
      </c>
      <c r="AB13" s="35">
        <f t="shared" si="8"/>
        <v>15394.43127158374</v>
      </c>
      <c r="AC13" s="35">
        <f t="shared" si="8"/>
        <v>16626.93626402221</v>
      </c>
      <c r="AD13" s="33"/>
      <c r="AE13" s="152">
        <v>4559.3999999999996</v>
      </c>
      <c r="AF13" s="62">
        <f>W13-AE13</f>
        <v>4442.5</v>
      </c>
      <c r="AG13" s="152">
        <v>5154.2</v>
      </c>
      <c r="AH13" s="62">
        <f>X13-AG13</f>
        <v>5114.3</v>
      </c>
      <c r="AI13" s="42">
        <f>AI19+AI25</f>
        <v>5995.6835450009585</v>
      </c>
      <c r="AJ13" s="42">
        <f>Y13-AI13</f>
        <v>5796.6164316016348</v>
      </c>
      <c r="AK13" s="168"/>
    </row>
    <row r="14" spans="1:37" x14ac:dyDescent="0.2">
      <c r="A14" s="29" t="s">
        <v>416</v>
      </c>
      <c r="B14" s="2" t="s">
        <v>137</v>
      </c>
      <c r="C14" s="2"/>
      <c r="D14" s="61">
        <f t="shared" ref="D14:I14" si="9">D13/C13-1</f>
        <v>0.50632911392405067</v>
      </c>
      <c r="E14" s="61">
        <f t="shared" si="9"/>
        <v>0.52100840336134446</v>
      </c>
      <c r="F14" s="61">
        <f t="shared" si="9"/>
        <v>0.41160220994475138</v>
      </c>
      <c r="G14" s="61">
        <f t="shared" si="9"/>
        <v>0.37181996086105684</v>
      </c>
      <c r="H14" s="61">
        <f t="shared" si="9"/>
        <v>0.35663338088445085</v>
      </c>
      <c r="I14" s="61">
        <f t="shared" si="9"/>
        <v>0.29442691903259721</v>
      </c>
      <c r="J14" s="61">
        <f>J13/I13-1</f>
        <v>0.2331437855402112</v>
      </c>
      <c r="K14" s="61">
        <f t="shared" ref="K14:X14" si="10">K13/J13-1</f>
        <v>0.21673254281949927</v>
      </c>
      <c r="L14" s="61">
        <f t="shared" si="10"/>
        <v>0.18191662154845689</v>
      </c>
      <c r="M14" s="61">
        <f t="shared" si="10"/>
        <v>0.16445258818140185</v>
      </c>
      <c r="N14" s="61">
        <f t="shared" si="10"/>
        <v>0.23249409913453967</v>
      </c>
      <c r="O14" s="61">
        <f t="shared" si="10"/>
        <v>0.22087456112352388</v>
      </c>
      <c r="P14" s="61">
        <f t="shared" si="10"/>
        <v>0.14718954248366023</v>
      </c>
      <c r="Q14" s="61">
        <f t="shared" si="10"/>
        <v>0.10688240656335468</v>
      </c>
      <c r="R14" s="61">
        <f t="shared" si="10"/>
        <v>0.10253242742433599</v>
      </c>
      <c r="S14" s="61">
        <f t="shared" si="10"/>
        <v>7.4883286647992486E-2</v>
      </c>
      <c r="T14" s="61">
        <f t="shared" si="10"/>
        <v>2.3801250868658697E-2</v>
      </c>
      <c r="U14" s="61">
        <f t="shared" si="10"/>
        <v>0.15815374172747321</v>
      </c>
      <c r="V14" s="61">
        <f t="shared" si="10"/>
        <v>0.15575091575091582</v>
      </c>
      <c r="W14" s="61">
        <f t="shared" si="10"/>
        <v>0.1412145030425962</v>
      </c>
      <c r="X14" s="61">
        <f t="shared" si="10"/>
        <v>0.1407036292338284</v>
      </c>
      <c r="Y14" s="32">
        <f t="shared" ref="Y14" si="11">Y13/X13-1</f>
        <v>0.14839557643303247</v>
      </c>
      <c r="Z14" s="32">
        <f t="shared" ref="Z14" si="12">Z13/Y13-1</f>
        <v>0.11334652515845889</v>
      </c>
      <c r="AA14" s="32">
        <f t="shared" ref="AA14" si="13">AA13/Z13-1</f>
        <v>8.4217800434022161E-2</v>
      </c>
      <c r="AB14" s="32">
        <f t="shared" ref="AB14" si="14">AB13/AA13-1</f>
        <v>8.1479370385487027E-2</v>
      </c>
      <c r="AC14" s="32">
        <f t="shared" ref="AC14" si="15">AC13/AB13-1</f>
        <v>8.0061742502532285E-2</v>
      </c>
      <c r="AD14" s="33"/>
      <c r="AE14" s="2"/>
      <c r="AF14" s="2"/>
      <c r="AG14" s="61">
        <f>AG13/AE13-1</f>
        <v>0.13045576172303375</v>
      </c>
      <c r="AH14" s="61">
        <f>AH13/AF13-1</f>
        <v>0.15122115925717505</v>
      </c>
      <c r="AI14" s="34">
        <f t="shared" ref="AI14:AJ14" si="16">AI13/AG13-1</f>
        <v>0.16326171762852804</v>
      </c>
      <c r="AJ14" s="34">
        <f t="shared" si="16"/>
        <v>0.13341345474485933</v>
      </c>
      <c r="AK14" s="284"/>
    </row>
    <row r="15" spans="1:37" x14ac:dyDescent="0.2">
      <c r="B15" s="2" t="s">
        <v>303</v>
      </c>
      <c r="C15" s="2"/>
      <c r="D15" s="2"/>
      <c r="E15" s="2"/>
      <c r="F15" s="2"/>
      <c r="G15" s="2"/>
      <c r="H15" s="2"/>
      <c r="I15" s="2"/>
      <c r="J15" s="2"/>
      <c r="K15" s="2"/>
      <c r="L15" s="2"/>
      <c r="M15" s="2"/>
      <c r="N15" s="2"/>
      <c r="O15" s="2"/>
      <c r="P15" s="2"/>
      <c r="Q15" s="2"/>
      <c r="R15" s="2"/>
      <c r="S15" s="2"/>
      <c r="T15" s="2"/>
      <c r="U15" s="2"/>
      <c r="V15" s="2"/>
      <c r="W15" s="262">
        <v>0.10199999999999999</v>
      </c>
      <c r="X15" s="262">
        <v>0.109</v>
      </c>
      <c r="Y15" s="34">
        <f>Y7/Y13*Y21+Y25/Y13*Y27</f>
        <v>0.10857630952683672</v>
      </c>
      <c r="Z15" s="34">
        <f>Z7/Z13*Z21+Z25/Z13*Z27</f>
        <v>0.08</v>
      </c>
      <c r="AA15" s="34">
        <f>AA7/AA13*AA21+AA25/AA13*AA27</f>
        <v>5.5085145667082377E-2</v>
      </c>
      <c r="AB15" s="34">
        <f>AB7/AB13*AB21+AB25/AB13*AB27</f>
        <v>5.5463932103002031E-2</v>
      </c>
      <c r="AC15" s="34">
        <f>AC7/AC13*AC21+AC25/AC13*AC27</f>
        <v>5.5822615624934395E-2</v>
      </c>
      <c r="AD15" s="33"/>
      <c r="AE15" s="262">
        <v>8.8999999999999996E-2</v>
      </c>
      <c r="AF15" s="61">
        <f>(W15-0.5*AE15)/0.5</f>
        <v>0.11499999999999999</v>
      </c>
      <c r="AG15" s="262">
        <v>0.10299999999999999</v>
      </c>
      <c r="AH15" s="61">
        <f>(X15-0.5*AG15)/0.5</f>
        <v>0.115</v>
      </c>
      <c r="AI15" s="34">
        <f>AI7/AI13*AI21+AI25/AI13*AI27</f>
        <v>0.12591317008228042</v>
      </c>
      <c r="AJ15" s="34">
        <f>(Y15-0.5*AI15)/0.5</f>
        <v>9.1239448971393022E-2</v>
      </c>
    </row>
    <row r="16" spans="1:37" x14ac:dyDescent="0.2">
      <c r="B16" s="2" t="s">
        <v>197</v>
      </c>
      <c r="C16" s="2"/>
      <c r="D16" s="2"/>
      <c r="E16" s="2"/>
      <c r="F16" s="2"/>
      <c r="G16" s="2"/>
      <c r="H16" s="2"/>
      <c r="I16" s="2"/>
      <c r="J16" s="2"/>
      <c r="K16" s="2"/>
      <c r="L16" s="2"/>
      <c r="M16" s="2"/>
      <c r="N16" s="2"/>
      <c r="O16" s="2"/>
      <c r="P16" s="2"/>
      <c r="Q16" s="2"/>
      <c r="R16" s="2"/>
      <c r="S16" s="2"/>
      <c r="T16" s="2"/>
      <c r="U16" s="2"/>
      <c r="V16" s="2"/>
      <c r="W16" s="263">
        <f t="shared" ref="W16:AC16" si="17">W40</f>
        <v>5.9701492537313383E-2</v>
      </c>
      <c r="X16" s="263">
        <f t="shared" si="17"/>
        <v>5.4773082942096929E-2</v>
      </c>
      <c r="Y16" s="264">
        <f t="shared" si="17"/>
        <v>6.0830860534124565E-2</v>
      </c>
      <c r="Z16" s="264">
        <f t="shared" si="17"/>
        <v>3.7762237762237749E-2</v>
      </c>
      <c r="AA16" s="264">
        <f t="shared" si="17"/>
        <v>4.9865229110512166E-2</v>
      </c>
      <c r="AB16" s="264">
        <f t="shared" si="17"/>
        <v>4.7496790757381335E-2</v>
      </c>
      <c r="AC16" s="264">
        <f t="shared" si="17"/>
        <v>4.6568627450980449E-2</v>
      </c>
      <c r="AD16" s="33"/>
      <c r="AE16" s="263"/>
      <c r="AF16" s="263"/>
      <c r="AG16" s="263">
        <f>AG40</f>
        <v>5.7877813504823239E-2</v>
      </c>
      <c r="AH16" s="263">
        <f>AH40</f>
        <v>5.4773082942096929E-2</v>
      </c>
      <c r="AI16" s="264">
        <f>AI40</f>
        <v>5.4711246200607855E-2</v>
      </c>
      <c r="AJ16" s="264">
        <f>AJ40</f>
        <v>6.0830860534124565E-2</v>
      </c>
    </row>
    <row r="17" spans="1:36" x14ac:dyDescent="0.2">
      <c r="B17" s="2" t="s">
        <v>304</v>
      </c>
      <c r="C17" s="2"/>
      <c r="D17" s="2"/>
      <c r="E17" s="2"/>
      <c r="F17" s="2"/>
      <c r="G17" s="2"/>
      <c r="H17" s="2"/>
      <c r="I17" s="2"/>
      <c r="J17" s="2"/>
      <c r="K17" s="2"/>
      <c r="L17" s="2"/>
      <c r="M17" s="2"/>
      <c r="N17" s="2"/>
      <c r="O17" s="2"/>
      <c r="P17" s="2"/>
      <c r="Q17" s="2"/>
      <c r="R17" s="2"/>
      <c r="S17" s="2"/>
      <c r="T17" s="2"/>
      <c r="U17" s="2"/>
      <c r="V17" s="2"/>
      <c r="W17" s="263">
        <f>W14-SUM(W15:W16)</f>
        <v>-2.0486989494717167E-2</v>
      </c>
      <c r="X17" s="263">
        <f>X14-SUM(X15:X16)</f>
        <v>-2.3069453708268517E-2</v>
      </c>
      <c r="Y17" s="264">
        <f t="shared" ref="Y17:AC17" si="18">Y14-SUM(Y15:Y16)</f>
        <v>-2.1011593627928815E-2</v>
      </c>
      <c r="Z17" s="264">
        <f t="shared" si="18"/>
        <v>-4.4157126037788624E-3</v>
      </c>
      <c r="AA17" s="264">
        <f t="shared" si="18"/>
        <v>-2.0732574343572382E-2</v>
      </c>
      <c r="AB17" s="264">
        <f t="shared" si="18"/>
        <v>-2.148135247489634E-2</v>
      </c>
      <c r="AC17" s="264">
        <f t="shared" si="18"/>
        <v>-2.2329500573382566E-2</v>
      </c>
      <c r="AD17" s="33"/>
      <c r="AE17" s="2"/>
      <c r="AF17" s="2"/>
      <c r="AG17" s="263">
        <f t="shared" ref="AG17:AJ17" si="19">AG14-SUM(AG15:AG16)</f>
        <v>-3.0422051781789472E-2</v>
      </c>
      <c r="AH17" s="263">
        <f t="shared" si="19"/>
        <v>-1.8551923684921867E-2</v>
      </c>
      <c r="AI17" s="264">
        <f t="shared" si="19"/>
        <v>-1.7362698654360242E-2</v>
      </c>
      <c r="AJ17" s="264">
        <f t="shared" si="19"/>
        <v>-1.8656854760658259E-2</v>
      </c>
    </row>
    <row r="18" spans="1:36" x14ac:dyDescent="0.2">
      <c r="B18" s="265" t="s">
        <v>115</v>
      </c>
      <c r="C18" s="2"/>
      <c r="D18" s="2"/>
      <c r="E18" s="2"/>
      <c r="F18" s="2">
        <f>'Australia Stores'!F28+'Australia Stores'!F61</f>
        <v>226</v>
      </c>
      <c r="G18" s="2"/>
      <c r="H18" s="2"/>
      <c r="I18" s="2"/>
      <c r="J18" s="2"/>
      <c r="K18" s="2"/>
      <c r="L18" s="2"/>
      <c r="M18" s="2"/>
      <c r="N18" s="2"/>
      <c r="O18" s="2"/>
      <c r="P18" s="2"/>
      <c r="Q18" s="2"/>
      <c r="R18" s="2"/>
      <c r="S18" s="2"/>
      <c r="T18" s="2"/>
      <c r="U18" s="2"/>
      <c r="V18" s="2"/>
      <c r="W18" s="266"/>
      <c r="X18" s="266"/>
      <c r="Y18" s="33"/>
      <c r="Z18" s="33"/>
      <c r="AA18" s="33"/>
      <c r="AB18" s="33"/>
      <c r="AC18" s="33"/>
      <c r="AD18" s="33"/>
      <c r="AE18" s="2"/>
      <c r="AF18" s="2"/>
      <c r="AG18" s="2"/>
      <c r="AH18" s="2"/>
      <c r="AI18" s="33"/>
      <c r="AJ18" s="33"/>
    </row>
    <row r="19" spans="1:36" x14ac:dyDescent="0.2">
      <c r="B19" s="1" t="s">
        <v>319</v>
      </c>
      <c r="C19" s="162"/>
      <c r="D19" s="162"/>
      <c r="E19" s="162"/>
      <c r="F19" s="162"/>
      <c r="G19" s="162"/>
      <c r="H19" s="162"/>
      <c r="I19" s="162"/>
      <c r="J19" s="162"/>
      <c r="K19" s="162"/>
      <c r="L19" s="162"/>
      <c r="M19" s="162"/>
      <c r="N19" s="162"/>
      <c r="O19" s="162"/>
      <c r="P19" s="162"/>
      <c r="Q19" s="162"/>
      <c r="R19" s="162"/>
      <c r="S19" s="162"/>
      <c r="T19" s="162"/>
      <c r="U19" s="164">
        <v>6213.1</v>
      </c>
      <c r="V19" s="164">
        <v>7068</v>
      </c>
      <c r="W19" s="164">
        <v>7909.9</v>
      </c>
      <c r="X19" s="164">
        <v>8968.9</v>
      </c>
      <c r="Y19" s="165">
        <f>X19*(1+Y20)</f>
        <v>10113.441463265304</v>
      </c>
      <c r="Z19" s="165">
        <f t="shared" ref="Z19:AC19" si="20">Y19*(1+Z20)</f>
        <v>11091.441292688198</v>
      </c>
      <c r="AA19" s="165">
        <f t="shared" si="20"/>
        <v>11821.770042422126</v>
      </c>
      <c r="AB19" s="165">
        <f t="shared" si="20"/>
        <v>12590.627030508251</v>
      </c>
      <c r="AC19" s="165">
        <f t="shared" si="20"/>
        <v>13399.860967832736</v>
      </c>
      <c r="AD19" s="162"/>
      <c r="AE19" s="164">
        <v>4011.7</v>
      </c>
      <c r="AF19" s="166">
        <f>W19-AE19</f>
        <v>3898.2</v>
      </c>
      <c r="AG19" s="164">
        <v>4505.8999999999996</v>
      </c>
      <c r="AH19" s="166">
        <f>X19-AG19</f>
        <v>4463</v>
      </c>
      <c r="AI19" s="165">
        <f>AG19*(1+AI20)</f>
        <v>5178.9055820379954</v>
      </c>
      <c r="AJ19" s="166">
        <f>Y19-AI19</f>
        <v>4934.5358812273089</v>
      </c>
    </row>
    <row r="20" spans="1:36" x14ac:dyDescent="0.2">
      <c r="B20" s="2" t="s">
        <v>137</v>
      </c>
      <c r="C20" s="2"/>
      <c r="D20" s="2"/>
      <c r="E20" s="2"/>
      <c r="F20" s="2"/>
      <c r="G20" s="2"/>
      <c r="H20" s="2"/>
      <c r="I20" s="2"/>
      <c r="J20" s="2"/>
      <c r="K20" s="2"/>
      <c r="L20" s="2"/>
      <c r="M20" s="2"/>
      <c r="N20" s="2"/>
      <c r="O20" s="2"/>
      <c r="P20" s="2"/>
      <c r="Q20" s="61"/>
      <c r="R20" s="61"/>
      <c r="S20" s="61"/>
      <c r="T20" s="61"/>
      <c r="U20" s="61"/>
      <c r="V20" s="61">
        <f t="shared" ref="V20:X20" si="21">V19/U19-1</f>
        <v>0.13759636896235361</v>
      </c>
      <c r="W20" s="61">
        <f t="shared" si="21"/>
        <v>0.1191143180531975</v>
      </c>
      <c r="X20" s="61">
        <f t="shared" si="21"/>
        <v>0.13388285566189206</v>
      </c>
      <c r="Y20" s="32">
        <f>Y21+Y23+Y22</f>
        <v>0.12761224489795911</v>
      </c>
      <c r="Z20" s="32">
        <f t="shared" ref="Z20:AC20" si="22">Z21+Z23+Z22</f>
        <v>9.6702970297029733E-2</v>
      </c>
      <c r="AA20" s="32">
        <f t="shared" si="22"/>
        <v>6.5846153846153749E-2</v>
      </c>
      <c r="AB20" s="32">
        <f t="shared" si="22"/>
        <v>6.5037383177569991E-2</v>
      </c>
      <c r="AC20" s="32">
        <f t="shared" si="22"/>
        <v>6.4272727272727342E-2</v>
      </c>
      <c r="AD20" s="33"/>
      <c r="AE20" s="2"/>
      <c r="AF20" s="2"/>
      <c r="AG20" s="61">
        <f>AG19/AE19-1</f>
        <v>0.12318967021462224</v>
      </c>
      <c r="AH20" s="61">
        <f>AH19/AF19-1</f>
        <v>0.14488738392078404</v>
      </c>
      <c r="AI20" s="32">
        <f>AI21+AI23+AI22</f>
        <v>0.14936096718480141</v>
      </c>
      <c r="AJ20" s="34">
        <f>AJ19/AH19-1</f>
        <v>0.10565446588109095</v>
      </c>
    </row>
    <row r="21" spans="1:36" x14ac:dyDescent="0.2">
      <c r="A21" s="29" t="s">
        <v>299</v>
      </c>
      <c r="B21" s="2" t="s">
        <v>303</v>
      </c>
      <c r="C21" s="31">
        <f t="shared" ref="C21:S21" si="23">C14-C22</f>
        <v>0</v>
      </c>
      <c r="D21" s="31">
        <f t="shared" si="23"/>
        <v>0.16150152771715409</v>
      </c>
      <c r="E21" s="31">
        <f t="shared" si="23"/>
        <v>0.34152122387416495</v>
      </c>
      <c r="F21" s="31">
        <f t="shared" si="23"/>
        <v>0.23768916646649041</v>
      </c>
      <c r="G21" s="31">
        <f t="shared" si="23"/>
        <v>1.0708849749945681E-2</v>
      </c>
      <c r="H21" s="31">
        <f t="shared" si="23"/>
        <v>0.20697351693887267</v>
      </c>
      <c r="I21" s="31">
        <f t="shared" si="23"/>
        <v>0.12282928589650255</v>
      </c>
      <c r="J21" s="31">
        <f t="shared" si="23"/>
        <v>6.6477118873544461E-2</v>
      </c>
      <c r="K21" s="31">
        <f t="shared" si="23"/>
        <v>6.5217391304347672E-2</v>
      </c>
      <c r="L21" s="31">
        <f t="shared" si="23"/>
        <v>6.5375268164998168E-2</v>
      </c>
      <c r="M21" s="31">
        <f t="shared" si="23"/>
        <v>9.0378514107327668E-2</v>
      </c>
      <c r="N21" s="31">
        <f t="shared" si="23"/>
        <v>0.16352858189316044</v>
      </c>
      <c r="O21" s="31">
        <f t="shared" si="23"/>
        <v>0.13876312417337733</v>
      </c>
      <c r="P21" s="31">
        <f t="shared" si="23"/>
        <v>3.0658377172007034E-2</v>
      </c>
      <c r="Q21" s="31">
        <f t="shared" si="23"/>
        <v>2.4358134718694524E-2</v>
      </c>
      <c r="R21" s="31">
        <f t="shared" si="23"/>
        <v>4.8720768231510947E-2</v>
      </c>
      <c r="S21" s="31">
        <f t="shared" si="23"/>
        <v>2.1691797286290448E-2</v>
      </c>
      <c r="T21" s="31">
        <f>T14-T22</f>
        <v>-1.8622991555583779E-2</v>
      </c>
      <c r="U21" s="262">
        <v>0.121</v>
      </c>
      <c r="V21" s="262">
        <v>0.11799999999999999</v>
      </c>
      <c r="W21" s="262">
        <v>9.8000000000000004E-2</v>
      </c>
      <c r="X21" s="262">
        <v>0.113</v>
      </c>
      <c r="Y21" s="43">
        <v>0.11</v>
      </c>
      <c r="Z21" s="43">
        <v>0.08</v>
      </c>
      <c r="AA21" s="43">
        <v>0.05</v>
      </c>
      <c r="AB21" s="43">
        <v>0.05</v>
      </c>
      <c r="AC21" s="43">
        <v>0.05</v>
      </c>
      <c r="AD21" s="33"/>
      <c r="AE21" s="262">
        <v>8.6999999999999994E-2</v>
      </c>
      <c r="AF21" s="61">
        <f>(W21-0.5*AE21)/0.5</f>
        <v>0.10900000000000001</v>
      </c>
      <c r="AG21" s="262">
        <v>0.104</v>
      </c>
      <c r="AH21" s="61">
        <f>(X21-0.5*AG21)/0.5</f>
        <v>0.12200000000000001</v>
      </c>
      <c r="AI21" s="43">
        <v>0.13</v>
      </c>
      <c r="AJ21" s="34">
        <f>(Y21-0.5*AI21)/0.5</f>
        <v>0.09</v>
      </c>
    </row>
    <row r="22" spans="1:36" x14ac:dyDescent="0.2">
      <c r="B22" s="2" t="s">
        <v>197</v>
      </c>
      <c r="C22" s="2"/>
      <c r="D22" s="31">
        <f t="shared" ref="D22:Q22" si="24">D61</f>
        <v>0.34482758620689657</v>
      </c>
      <c r="E22" s="31">
        <f t="shared" si="24"/>
        <v>0.17948717948717952</v>
      </c>
      <c r="F22" s="31">
        <f t="shared" si="24"/>
        <v>0.17391304347826098</v>
      </c>
      <c r="G22" s="31">
        <f t="shared" si="24"/>
        <v>0.36111111111111116</v>
      </c>
      <c r="H22" s="31">
        <f t="shared" si="24"/>
        <v>0.14965986394557818</v>
      </c>
      <c r="I22" s="31">
        <f t="shared" si="24"/>
        <v>0.17159763313609466</v>
      </c>
      <c r="J22" s="31">
        <f t="shared" si="24"/>
        <v>0.16666666666666674</v>
      </c>
      <c r="K22" s="31">
        <f t="shared" si="24"/>
        <v>0.1515151515151516</v>
      </c>
      <c r="L22" s="31">
        <f t="shared" si="24"/>
        <v>0.11654135338345872</v>
      </c>
      <c r="M22" s="31">
        <f t="shared" si="24"/>
        <v>7.4074074074074181E-2</v>
      </c>
      <c r="N22" s="31">
        <f t="shared" si="24"/>
        <v>6.8965517241379226E-2</v>
      </c>
      <c r="O22" s="31">
        <f t="shared" si="24"/>
        <v>8.2111436950146555E-2</v>
      </c>
      <c r="P22" s="31">
        <f t="shared" si="24"/>
        <v>0.1165311653116532</v>
      </c>
      <c r="Q22" s="31">
        <f t="shared" si="24"/>
        <v>8.2524271844660158E-2</v>
      </c>
      <c r="R22" s="31">
        <f t="shared" ref="R22:T22" si="25">R61</f>
        <v>5.3811659192825045E-2</v>
      </c>
      <c r="S22" s="31">
        <f t="shared" si="25"/>
        <v>5.3191489361702038E-2</v>
      </c>
      <c r="T22" s="31">
        <f t="shared" si="25"/>
        <v>4.2424242424242475E-2</v>
      </c>
      <c r="U22" s="31">
        <f t="shared" ref="U22:V22" si="26">U61</f>
        <v>2.5193798449612448E-2</v>
      </c>
      <c r="V22" s="31">
        <f t="shared" si="26"/>
        <v>3.5916824196597252E-2</v>
      </c>
      <c r="W22" s="31">
        <f>W43</f>
        <v>3.6429872495446158E-2</v>
      </c>
      <c r="X22" s="31">
        <f t="shared" ref="X22:AC22" si="27">X43</f>
        <v>3.3391915641476366E-2</v>
      </c>
      <c r="Y22" s="32">
        <f t="shared" si="27"/>
        <v>3.0612244897959107E-2</v>
      </c>
      <c r="Z22" s="32">
        <f t="shared" si="27"/>
        <v>2.9702970297029729E-2</v>
      </c>
      <c r="AA22" s="32">
        <f t="shared" si="27"/>
        <v>2.8846153846153744E-2</v>
      </c>
      <c r="AB22" s="32">
        <f t="shared" si="27"/>
        <v>2.8037383177569986E-2</v>
      </c>
      <c r="AC22" s="32">
        <f t="shared" si="27"/>
        <v>2.7272727272727337E-2</v>
      </c>
      <c r="AD22" s="33"/>
      <c r="AE22" s="31"/>
      <c r="AF22" s="31"/>
      <c r="AG22" s="31">
        <f>AG61</f>
        <v>0</v>
      </c>
      <c r="AH22" s="31">
        <f>AH43</f>
        <v>3.6906854130052791E-2</v>
      </c>
      <c r="AI22" s="32">
        <f t="shared" ref="AI22:AJ22" si="28">AI43</f>
        <v>2.9360967184801412E-2</v>
      </c>
      <c r="AJ22" s="32">
        <f t="shared" si="28"/>
        <v>2.7118644067796627E-2</v>
      </c>
    </row>
    <row r="23" spans="1:36" x14ac:dyDescent="0.2">
      <c r="B23" s="2" t="s">
        <v>304</v>
      </c>
      <c r="C23" s="2"/>
      <c r="D23" s="2"/>
      <c r="E23" s="2"/>
      <c r="F23" s="2"/>
      <c r="G23" s="2"/>
      <c r="H23" s="2"/>
      <c r="I23" s="2"/>
      <c r="J23" s="2"/>
      <c r="K23" s="2"/>
      <c r="L23" s="2"/>
      <c r="M23" s="2"/>
      <c r="N23" s="2"/>
      <c r="O23" s="2"/>
      <c r="P23" s="2"/>
      <c r="Q23" s="2"/>
      <c r="R23" s="2"/>
      <c r="S23" s="2"/>
      <c r="T23" s="2"/>
      <c r="U23" s="2"/>
      <c r="V23" s="31">
        <f>V20-V21-V22</f>
        <v>-1.6320455234243636E-2</v>
      </c>
      <c r="W23" s="31">
        <f>W20-W21-W22</f>
        <v>-1.5315554442248663E-2</v>
      </c>
      <c r="X23" s="31">
        <f>X20-X21-X22</f>
        <v>-1.2509059979584305E-2</v>
      </c>
      <c r="Y23" s="43">
        <v>-1.2999999999999999E-2</v>
      </c>
      <c r="Z23" s="43">
        <v>-1.2999999999999999E-2</v>
      </c>
      <c r="AA23" s="43">
        <v>-1.2999999999999999E-2</v>
      </c>
      <c r="AB23" s="43">
        <v>-1.2999999999999999E-2</v>
      </c>
      <c r="AC23" s="43">
        <v>-1.2999999999999999E-2</v>
      </c>
      <c r="AD23" s="33"/>
      <c r="AE23" s="2"/>
      <c r="AF23" s="2"/>
      <c r="AG23" s="31">
        <f t="shared" ref="AG23:AJ23" si="29">AG20-AG21-AG22</f>
        <v>1.9189670214622243E-2</v>
      </c>
      <c r="AH23" s="31">
        <f t="shared" si="29"/>
        <v>-1.4019470209268761E-2</v>
      </c>
      <c r="AI23" s="43">
        <v>-0.01</v>
      </c>
      <c r="AJ23" s="32">
        <f t="shared" si="29"/>
        <v>-1.146417818670567E-2</v>
      </c>
    </row>
    <row r="24" spans="1:36" x14ac:dyDescent="0.2">
      <c r="B24" s="2"/>
      <c r="C24" s="2"/>
      <c r="D24" s="2"/>
      <c r="E24" s="2"/>
      <c r="F24" s="2"/>
      <c r="G24" s="2"/>
      <c r="H24" s="2"/>
      <c r="I24" s="2"/>
      <c r="J24" s="2"/>
      <c r="K24" s="2"/>
      <c r="L24" s="2"/>
      <c r="M24" s="2"/>
      <c r="N24" s="2"/>
      <c r="O24" s="2"/>
      <c r="P24" s="2"/>
      <c r="Q24" s="2"/>
      <c r="R24" s="2"/>
      <c r="S24" s="2"/>
      <c r="T24" s="2"/>
      <c r="U24" s="2"/>
      <c r="V24" s="2"/>
      <c r="W24" s="31"/>
      <c r="X24" s="31"/>
      <c r="Y24" s="43"/>
      <c r="Z24" s="43"/>
      <c r="AA24" s="43"/>
      <c r="AB24" s="43"/>
      <c r="AC24" s="43"/>
      <c r="AD24" s="33"/>
      <c r="AE24" s="2"/>
      <c r="AF24" s="2"/>
      <c r="AG24" s="31"/>
      <c r="AH24" s="31"/>
      <c r="AI24" s="43"/>
      <c r="AJ24" s="32"/>
    </row>
    <row r="25" spans="1:36" x14ac:dyDescent="0.2">
      <c r="A25" s="29" t="s">
        <v>409</v>
      </c>
      <c r="B25" s="1" t="s">
        <v>318</v>
      </c>
      <c r="C25" s="162"/>
      <c r="D25" s="162"/>
      <c r="E25" s="162"/>
      <c r="F25" s="162"/>
      <c r="G25" s="162"/>
      <c r="H25" s="162"/>
      <c r="I25" s="162"/>
      <c r="J25" s="162"/>
      <c r="K25" s="162"/>
      <c r="L25" s="162"/>
      <c r="M25" s="162"/>
      <c r="N25" s="162"/>
      <c r="O25" s="162"/>
      <c r="P25" s="162"/>
      <c r="Q25" s="162"/>
      <c r="R25" s="162"/>
      <c r="S25" s="162"/>
      <c r="T25" s="162"/>
      <c r="U25" s="167">
        <f>U13-U19</f>
        <v>611.89999999999964</v>
      </c>
      <c r="V25" s="167">
        <f>V13-V19</f>
        <v>820</v>
      </c>
      <c r="W25" s="167">
        <f>W13-W19</f>
        <v>1092</v>
      </c>
      <c r="X25" s="167">
        <f>X13-X19</f>
        <v>1299.6000000000004</v>
      </c>
      <c r="Y25" s="166">
        <f>SUM(Y8:Y12)</f>
        <v>1678.8585133372899</v>
      </c>
      <c r="Z25" s="166">
        <f>SUM(Z8:Z12)</f>
        <v>2037.4749098884752</v>
      </c>
      <c r="AA25" s="166">
        <f>SUM(AA8:AA12)</f>
        <v>2412.8346048181506</v>
      </c>
      <c r="AB25" s="166">
        <f>SUM(AB8:AB12)</f>
        <v>2803.8042410754897</v>
      </c>
      <c r="AC25" s="166">
        <f>SUM(AC8:AC12)</f>
        <v>3227.0752961894714</v>
      </c>
      <c r="AD25" s="162"/>
      <c r="AE25" s="167">
        <f>AE13-AE19</f>
        <v>547.69999999999982</v>
      </c>
      <c r="AF25" s="167">
        <f>AF13-AF19</f>
        <v>544.30000000000018</v>
      </c>
      <c r="AG25" s="167">
        <f>AG13-AG19</f>
        <v>648.30000000000018</v>
      </c>
      <c r="AH25" s="167">
        <f>AH13-AH19</f>
        <v>651.30000000000018</v>
      </c>
      <c r="AI25" s="165">
        <f>AG25*(1+AI26)</f>
        <v>816.77796296296322</v>
      </c>
      <c r="AJ25" s="166">
        <f>Y25-AI25</f>
        <v>862.08055037432666</v>
      </c>
    </row>
    <row r="26" spans="1:36" x14ac:dyDescent="0.2">
      <c r="B26" s="2" t="s">
        <v>137</v>
      </c>
      <c r="C26" s="2"/>
      <c r="D26" s="2"/>
      <c r="E26" s="2"/>
      <c r="F26" s="2"/>
      <c r="G26" s="2"/>
      <c r="H26" s="2"/>
      <c r="I26" s="2"/>
      <c r="J26" s="2"/>
      <c r="K26" s="2"/>
      <c r="L26" s="2"/>
      <c r="M26" s="2"/>
      <c r="N26" s="2"/>
      <c r="O26" s="2"/>
      <c r="P26" s="2"/>
      <c r="Q26" s="2"/>
      <c r="R26" s="2"/>
      <c r="S26" s="2"/>
      <c r="T26" s="2"/>
      <c r="U26" s="2"/>
      <c r="V26" s="61">
        <f t="shared" ref="V26:W26" si="30">V25/U25-1</f>
        <v>0.34008824971400631</v>
      </c>
      <c r="W26" s="61">
        <f t="shared" si="30"/>
        <v>0.3317073170731708</v>
      </c>
      <c r="X26" s="61">
        <f t="shared" ref="X26" si="31">X25/W25-1</f>
        <v>0.19010989010989054</v>
      </c>
      <c r="Y26" s="34">
        <f t="shared" ref="Y26" si="32">Y25/X25-1</f>
        <v>0.29182711090896385</v>
      </c>
      <c r="Z26" s="34">
        <f t="shared" ref="Z26" si="33">Z25/Y25-1</f>
        <v>0.21360727762479281</v>
      </c>
      <c r="AA26" s="34">
        <f t="shared" ref="AA26" si="34">AA25/Z25-1</f>
        <v>0.18422788575601223</v>
      </c>
      <c r="AB26" s="34">
        <f t="shared" ref="AB26" si="35">AB25/AA25-1</f>
        <v>0.16203747885438058</v>
      </c>
      <c r="AC26" s="34">
        <f t="shared" ref="AC26" si="36">AC25/AB25-1</f>
        <v>0.15096312678078494</v>
      </c>
      <c r="AD26" s="33"/>
      <c r="AE26" s="2"/>
      <c r="AF26" s="2"/>
      <c r="AG26" s="61">
        <f>AG25/AE25-1</f>
        <v>0.18367719554500717</v>
      </c>
      <c r="AH26" s="61">
        <f>AH25/AF25-1</f>
        <v>0.19658276685651299</v>
      </c>
      <c r="AI26" s="34">
        <f>SUM(AI27:AI29)</f>
        <v>0.25987654320987658</v>
      </c>
      <c r="AJ26" s="34">
        <f>AJ25/AH25-1</f>
        <v>0.32363050878907784</v>
      </c>
    </row>
    <row r="27" spans="1:36" x14ac:dyDescent="0.2">
      <c r="A27" s="29" t="s">
        <v>300</v>
      </c>
      <c r="B27" s="2" t="s">
        <v>303</v>
      </c>
      <c r="C27" s="2"/>
      <c r="D27" s="2"/>
      <c r="E27" s="2"/>
      <c r="F27" s="2"/>
      <c r="G27" s="2"/>
      <c r="H27" s="2"/>
      <c r="I27" s="2"/>
      <c r="J27" s="2"/>
      <c r="K27" s="2"/>
      <c r="L27" s="2"/>
      <c r="M27" s="2"/>
      <c r="N27" s="2"/>
      <c r="O27" s="2"/>
      <c r="P27" s="2"/>
      <c r="Q27" s="2"/>
      <c r="R27" s="2"/>
      <c r="S27" s="2"/>
      <c r="T27" s="2"/>
      <c r="U27" s="262">
        <v>-6.5000000000000002E-2</v>
      </c>
      <c r="V27" s="262">
        <v>0.215</v>
      </c>
      <c r="W27" s="262">
        <v>0.14399999999999999</v>
      </c>
      <c r="X27" s="262">
        <v>8.1000000000000003E-2</v>
      </c>
      <c r="Y27" s="267">
        <f>Y88</f>
        <v>0.1</v>
      </c>
      <c r="Z27" s="267">
        <f t="shared" ref="Z27:AC27" si="37">Z88</f>
        <v>0.08</v>
      </c>
      <c r="AA27" s="267">
        <f t="shared" si="37"/>
        <v>0.08</v>
      </c>
      <c r="AB27" s="267">
        <f t="shared" si="37"/>
        <v>0.08</v>
      </c>
      <c r="AC27" s="267">
        <f t="shared" si="37"/>
        <v>0.08</v>
      </c>
      <c r="AD27" s="33"/>
      <c r="AE27" s="262">
        <v>0.106</v>
      </c>
      <c r="AF27" s="61">
        <f>(W27-0.5*AE27)/0.5</f>
        <v>0.182</v>
      </c>
      <c r="AG27" s="262">
        <v>0.09</v>
      </c>
      <c r="AH27" s="61">
        <f>(X27-0.5*AG27)/0.5</f>
        <v>7.2000000000000008E-2</v>
      </c>
      <c r="AI27" s="43">
        <v>0.1</v>
      </c>
      <c r="AJ27" s="34">
        <f>(Y27-0.5*AI27)/0.5</f>
        <v>0.1</v>
      </c>
    </row>
    <row r="28" spans="1:36" x14ac:dyDescent="0.2">
      <c r="B28" s="2" t="s">
        <v>197</v>
      </c>
      <c r="C28" s="2"/>
      <c r="D28" s="2"/>
      <c r="E28" s="2"/>
      <c r="F28" s="2"/>
      <c r="G28" s="2"/>
      <c r="H28" s="2"/>
      <c r="I28" s="2"/>
      <c r="J28" s="2"/>
      <c r="K28" s="2"/>
      <c r="L28" s="2"/>
      <c r="M28" s="2"/>
      <c r="N28" s="2"/>
      <c r="O28" s="2"/>
      <c r="P28" s="2"/>
      <c r="Q28" s="2"/>
      <c r="R28" s="61">
        <f t="shared" ref="R28:T28" si="38">R46</f>
        <v>0</v>
      </c>
      <c r="S28" s="61">
        <f t="shared" si="38"/>
        <v>1.5</v>
      </c>
      <c r="T28" s="61">
        <f t="shared" si="38"/>
        <v>1</v>
      </c>
      <c r="U28" s="61">
        <f t="shared" ref="U28:AC28" si="39">U46</f>
        <v>0.46666666666666656</v>
      </c>
      <c r="V28" s="61">
        <f t="shared" si="39"/>
        <v>0.22727272727272729</v>
      </c>
      <c r="W28" s="61">
        <f t="shared" si="39"/>
        <v>0.29629629629629628</v>
      </c>
      <c r="X28" s="61">
        <f t="shared" si="39"/>
        <v>0.22857142857142865</v>
      </c>
      <c r="Y28" s="34">
        <f>Y46</f>
        <v>0.26744186046511631</v>
      </c>
      <c r="Z28" s="34">
        <f t="shared" si="39"/>
        <v>8.256880733944949E-2</v>
      </c>
      <c r="AA28" s="34">
        <f t="shared" si="39"/>
        <v>0.16101694915254239</v>
      </c>
      <c r="AB28" s="34">
        <f t="shared" si="39"/>
        <v>0.13868613138686126</v>
      </c>
      <c r="AC28" s="34">
        <f t="shared" si="39"/>
        <v>0.12820512820512819</v>
      </c>
      <c r="AD28" s="33"/>
      <c r="AE28" s="2"/>
      <c r="AF28" s="2"/>
      <c r="AG28" s="61">
        <f>AG46</f>
        <v>0</v>
      </c>
      <c r="AH28" s="268">
        <f>AH46</f>
        <v>0.19444444444444442</v>
      </c>
      <c r="AI28" s="34">
        <f>AI46</f>
        <v>0.20987654320987659</v>
      </c>
      <c r="AJ28" s="34">
        <f>AJ46</f>
        <v>0.26744186046511631</v>
      </c>
    </row>
    <row r="29" spans="1:36" x14ac:dyDescent="0.2">
      <c r="B29" s="2" t="s">
        <v>304</v>
      </c>
      <c r="C29" s="2"/>
      <c r="D29" s="2"/>
      <c r="E29" s="2"/>
      <c r="F29" s="2"/>
      <c r="G29" s="2"/>
      <c r="H29" s="2"/>
      <c r="I29" s="2"/>
      <c r="J29" s="2"/>
      <c r="K29" s="2"/>
      <c r="L29" s="2"/>
      <c r="M29" s="2"/>
      <c r="N29" s="2"/>
      <c r="O29" s="2"/>
      <c r="P29" s="2"/>
      <c r="Q29" s="2"/>
      <c r="R29" s="2"/>
      <c r="S29" s="2"/>
      <c r="T29" s="2"/>
      <c r="U29" s="2"/>
      <c r="V29" s="61">
        <f>V26-V27-V28</f>
        <v>-0.10218447755872098</v>
      </c>
      <c r="W29" s="61">
        <f>W26-W27-W28</f>
        <v>-0.10858897922312546</v>
      </c>
      <c r="X29" s="61">
        <f t="shared" ref="X29:AC29" si="40">X26-X27-X28</f>
        <v>-0.11946153846153811</v>
      </c>
      <c r="Y29" s="34">
        <f t="shared" si="40"/>
        <v>-7.5614749556152466E-2</v>
      </c>
      <c r="Z29" s="34">
        <f t="shared" si="40"/>
        <v>5.1038470285343307E-2</v>
      </c>
      <c r="AA29" s="34">
        <f t="shared" si="40"/>
        <v>-5.6789063396530157E-2</v>
      </c>
      <c r="AB29" s="34">
        <f t="shared" si="40"/>
        <v>-5.6648652532480678E-2</v>
      </c>
      <c r="AC29" s="34">
        <f t="shared" si="40"/>
        <v>-5.7242001424343256E-2</v>
      </c>
      <c r="AD29" s="33"/>
      <c r="AE29" s="2"/>
      <c r="AF29" s="2"/>
      <c r="AG29" s="61">
        <f t="shared" ref="AG29:AJ29" si="41">AG26-AG27-AG28</f>
        <v>9.3677195545007169E-2</v>
      </c>
      <c r="AH29" s="61">
        <f t="shared" si="41"/>
        <v>-6.9861677587931437E-2</v>
      </c>
      <c r="AI29" s="44">
        <v>-0.05</v>
      </c>
      <c r="AJ29" s="34">
        <f t="shared" si="41"/>
        <v>-4.3811351676038474E-2</v>
      </c>
    </row>
    <row r="30" spans="1:36" x14ac:dyDescent="0.2">
      <c r="B30" s="2"/>
      <c r="C30" s="2"/>
      <c r="D30" s="2"/>
      <c r="E30" s="2"/>
      <c r="F30" s="2"/>
      <c r="G30" s="2"/>
      <c r="H30" s="2"/>
      <c r="I30" s="2"/>
      <c r="J30" s="2"/>
      <c r="K30" s="2"/>
      <c r="L30" s="2"/>
      <c r="M30" s="2"/>
      <c r="N30" s="2"/>
      <c r="O30" s="2"/>
      <c r="P30" s="2"/>
      <c r="Q30" s="2"/>
      <c r="R30" s="2"/>
      <c r="S30" s="2"/>
      <c r="T30" s="2"/>
      <c r="U30" s="2"/>
      <c r="V30" s="2"/>
      <c r="W30" s="61"/>
      <c r="X30" s="61"/>
      <c r="Y30" s="33"/>
      <c r="Z30" s="33"/>
      <c r="AA30" s="33"/>
      <c r="AB30" s="33"/>
      <c r="AC30" s="33"/>
      <c r="AD30" s="33"/>
      <c r="AE30" s="2"/>
      <c r="AF30" s="2"/>
      <c r="AG30" s="2"/>
      <c r="AH30" s="2"/>
      <c r="AI30" s="33"/>
      <c r="AJ30" s="33"/>
    </row>
    <row r="31" spans="1:36" ht="13.5" customHeight="1" x14ac:dyDescent="0.2">
      <c r="B31" s="39" t="s">
        <v>310</v>
      </c>
      <c r="C31" s="40"/>
      <c r="D31" s="40"/>
      <c r="E31" s="40"/>
      <c r="F31" s="40"/>
      <c r="G31" s="40"/>
      <c r="H31" s="40"/>
      <c r="I31" s="40"/>
      <c r="J31" s="40"/>
      <c r="K31" s="40"/>
      <c r="L31" s="40"/>
      <c r="M31" s="40"/>
      <c r="N31" s="40"/>
      <c r="O31" s="40"/>
      <c r="P31" s="40"/>
      <c r="Q31" s="40"/>
      <c r="R31" s="6"/>
      <c r="S31" s="6"/>
      <c r="T31" s="6"/>
      <c r="U31" s="6"/>
      <c r="V31" s="6"/>
      <c r="W31" s="6"/>
      <c r="X31" s="6"/>
      <c r="Y31" s="6"/>
      <c r="Z31" s="6"/>
      <c r="AA31" s="6"/>
      <c r="AB31" s="6"/>
      <c r="AC31" s="6"/>
      <c r="AD31" s="6"/>
      <c r="AE31" s="6"/>
      <c r="AF31" s="6"/>
      <c r="AG31" s="6"/>
      <c r="AH31" s="6"/>
      <c r="AI31" s="6"/>
      <c r="AJ31" s="6"/>
    </row>
    <row r="32" spans="1:36" x14ac:dyDescent="0.2">
      <c r="B32" s="3" t="s">
        <v>312</v>
      </c>
      <c r="C32" s="2"/>
      <c r="D32" s="2"/>
      <c r="E32" s="2"/>
      <c r="F32" s="2"/>
      <c r="G32" s="2"/>
      <c r="H32" s="2"/>
      <c r="I32" s="2"/>
      <c r="J32" s="2"/>
      <c r="K32" s="2"/>
      <c r="L32" s="2"/>
      <c r="M32" s="2"/>
      <c r="N32" s="2"/>
      <c r="O32" s="2"/>
      <c r="P32" s="2"/>
      <c r="Q32" s="2"/>
      <c r="R32" s="2"/>
      <c r="S32" s="2"/>
      <c r="T32" s="2"/>
      <c r="U32" s="2"/>
      <c r="V32" s="2"/>
      <c r="W32" s="2"/>
      <c r="X32" s="256"/>
      <c r="Y32" s="33"/>
      <c r="Z32" s="33"/>
      <c r="AA32" s="33"/>
      <c r="AB32" s="33"/>
      <c r="AC32" s="33"/>
      <c r="AD32" s="33"/>
      <c r="AE32" s="2"/>
      <c r="AF32" s="2"/>
      <c r="AG32" s="2"/>
      <c r="AH32" s="2"/>
      <c r="AI32" s="33"/>
      <c r="AJ32" s="33"/>
    </row>
    <row r="33" spans="1:36" x14ac:dyDescent="0.2">
      <c r="A33" s="29" t="s">
        <v>403</v>
      </c>
      <c r="B33" s="2" t="s">
        <v>1</v>
      </c>
      <c r="C33" s="2">
        <f t="shared" ref="C33:AC33" si="42">C60</f>
        <v>58</v>
      </c>
      <c r="D33" s="2">
        <f t="shared" si="42"/>
        <v>78</v>
      </c>
      <c r="E33" s="2">
        <f t="shared" si="42"/>
        <v>92</v>
      </c>
      <c r="F33" s="2">
        <f t="shared" si="42"/>
        <v>108</v>
      </c>
      <c r="G33" s="2">
        <f t="shared" si="42"/>
        <v>147</v>
      </c>
      <c r="H33" s="2">
        <f t="shared" si="42"/>
        <v>169</v>
      </c>
      <c r="I33" s="2">
        <f t="shared" si="42"/>
        <v>198</v>
      </c>
      <c r="J33" s="2">
        <f t="shared" si="42"/>
        <v>231</v>
      </c>
      <c r="K33" s="2">
        <f t="shared" si="42"/>
        <v>266</v>
      </c>
      <c r="L33" s="2">
        <f t="shared" si="42"/>
        <v>297</v>
      </c>
      <c r="M33" s="2">
        <f t="shared" si="42"/>
        <v>319</v>
      </c>
      <c r="N33" s="2">
        <f t="shared" si="42"/>
        <v>341</v>
      </c>
      <c r="O33" s="2">
        <f t="shared" si="42"/>
        <v>369</v>
      </c>
      <c r="P33" s="2">
        <f t="shared" si="42"/>
        <v>412</v>
      </c>
      <c r="Q33" s="2">
        <f t="shared" si="42"/>
        <v>446</v>
      </c>
      <c r="R33" s="2">
        <f t="shared" si="42"/>
        <v>470</v>
      </c>
      <c r="S33" s="2">
        <f t="shared" si="42"/>
        <v>495</v>
      </c>
      <c r="T33" s="2">
        <f t="shared" si="42"/>
        <v>516</v>
      </c>
      <c r="U33" s="2">
        <f t="shared" si="42"/>
        <v>529</v>
      </c>
      <c r="V33" s="2">
        <f t="shared" si="42"/>
        <v>548</v>
      </c>
      <c r="W33" s="2">
        <f t="shared" si="42"/>
        <v>567</v>
      </c>
      <c r="X33" s="2">
        <f t="shared" si="42"/>
        <v>569</v>
      </c>
      <c r="Y33" s="33">
        <f t="shared" si="42"/>
        <v>587</v>
      </c>
      <c r="Z33" s="33">
        <f t="shared" si="42"/>
        <v>605</v>
      </c>
      <c r="AA33" s="33">
        <f t="shared" si="42"/>
        <v>623</v>
      </c>
      <c r="AB33" s="33">
        <f t="shared" si="42"/>
        <v>641</v>
      </c>
      <c r="AC33" s="33">
        <f t="shared" si="42"/>
        <v>659</v>
      </c>
      <c r="AD33" s="33"/>
      <c r="AE33" s="2"/>
      <c r="AF33" s="2">
        <f>W33</f>
        <v>567</v>
      </c>
      <c r="AG33" s="2">
        <f t="shared" ref="AG33" si="43">AG60</f>
        <v>575</v>
      </c>
      <c r="AH33" s="2">
        <f>X33</f>
        <v>569</v>
      </c>
      <c r="AI33" s="33">
        <f t="shared" ref="AI33" si="44">AI60</f>
        <v>577</v>
      </c>
      <c r="AJ33" s="33">
        <f>Y33</f>
        <v>587</v>
      </c>
    </row>
    <row r="34" spans="1:36" x14ac:dyDescent="0.2">
      <c r="A34" s="29" t="s">
        <v>408</v>
      </c>
      <c r="B34" s="2" t="s">
        <v>2</v>
      </c>
      <c r="C34" s="2"/>
      <c r="D34" s="2"/>
      <c r="E34" s="2"/>
      <c r="F34" s="2"/>
      <c r="G34" s="2"/>
      <c r="H34" s="2"/>
      <c r="I34" s="2"/>
      <c r="J34" s="2">
        <f t="shared" ref="J34:AG34" si="45">J92</f>
        <v>0</v>
      </c>
      <c r="K34" s="2">
        <f t="shared" si="45"/>
        <v>0</v>
      </c>
      <c r="L34" s="2">
        <f t="shared" si="45"/>
        <v>0</v>
      </c>
      <c r="M34" s="2">
        <f t="shared" si="45"/>
        <v>0</v>
      </c>
      <c r="N34" s="2">
        <f t="shared" si="45"/>
        <v>0</v>
      </c>
      <c r="O34" s="2">
        <f t="shared" si="45"/>
        <v>0</v>
      </c>
      <c r="P34" s="2">
        <f t="shared" si="45"/>
        <v>0</v>
      </c>
      <c r="Q34" s="2">
        <f t="shared" si="45"/>
        <v>0</v>
      </c>
      <c r="R34" s="2">
        <f t="shared" si="45"/>
        <v>6</v>
      </c>
      <c r="S34" s="2">
        <f t="shared" si="45"/>
        <v>14</v>
      </c>
      <c r="T34" s="2">
        <f t="shared" si="45"/>
        <v>24</v>
      </c>
      <c r="U34" s="2">
        <f t="shared" si="45"/>
        <v>35</v>
      </c>
      <c r="V34" s="2">
        <f t="shared" si="45"/>
        <v>42</v>
      </c>
      <c r="W34" s="2">
        <f t="shared" si="45"/>
        <v>50</v>
      </c>
      <c r="X34" s="2">
        <f t="shared" si="45"/>
        <v>61</v>
      </c>
      <c r="Y34" s="33">
        <f t="shared" si="45"/>
        <v>76</v>
      </c>
      <c r="Z34" s="33">
        <f t="shared" si="45"/>
        <v>86</v>
      </c>
      <c r="AA34" s="33">
        <f t="shared" si="45"/>
        <v>96</v>
      </c>
      <c r="AB34" s="33">
        <f t="shared" si="45"/>
        <v>106</v>
      </c>
      <c r="AC34" s="33">
        <f t="shared" si="45"/>
        <v>116</v>
      </c>
      <c r="AD34" s="33"/>
      <c r="AE34" s="2"/>
      <c r="AF34" s="2">
        <f t="shared" ref="AF34:AF36" si="46">W34</f>
        <v>50</v>
      </c>
      <c r="AG34" s="2">
        <f t="shared" si="45"/>
        <v>56</v>
      </c>
      <c r="AH34" s="2">
        <f t="shared" ref="AH34:AH37" si="47">X34</f>
        <v>61</v>
      </c>
      <c r="AI34" s="33">
        <f t="shared" ref="AI34" si="48">AI92</f>
        <v>70</v>
      </c>
      <c r="AJ34" s="33">
        <f t="shared" ref="AJ34:AJ38" si="49">Y34</f>
        <v>76</v>
      </c>
    </row>
    <row r="35" spans="1:36" x14ac:dyDescent="0.2">
      <c r="A35" s="29" t="s">
        <v>404</v>
      </c>
      <c r="B35" s="2" t="s">
        <v>3</v>
      </c>
      <c r="C35" s="2"/>
      <c r="D35" s="2"/>
      <c r="E35" s="2"/>
      <c r="F35" s="2"/>
      <c r="G35" s="2"/>
      <c r="H35" s="2"/>
      <c r="I35" s="2"/>
      <c r="J35" s="2"/>
      <c r="K35" s="2"/>
      <c r="L35" s="2"/>
      <c r="M35" s="2"/>
      <c r="N35" s="2"/>
      <c r="O35" s="2"/>
      <c r="P35" s="2"/>
      <c r="Q35" s="2"/>
      <c r="R35" s="2"/>
      <c r="S35" s="2">
        <f t="shared" ref="S35:AC35" si="50">S102</f>
        <v>0</v>
      </c>
      <c r="T35" s="2">
        <f t="shared" si="50"/>
        <v>2</v>
      </c>
      <c r="U35" s="2">
        <f t="shared" si="50"/>
        <v>4</v>
      </c>
      <c r="V35" s="2">
        <f t="shared" si="50"/>
        <v>6</v>
      </c>
      <c r="W35" s="2">
        <f t="shared" si="50"/>
        <v>10</v>
      </c>
      <c r="X35" s="2">
        <f t="shared" si="50"/>
        <v>14</v>
      </c>
      <c r="Y35" s="33">
        <f t="shared" si="50"/>
        <v>19</v>
      </c>
      <c r="Z35" s="33">
        <f t="shared" si="50"/>
        <v>24</v>
      </c>
      <c r="AA35" s="33">
        <f t="shared" si="50"/>
        <v>30</v>
      </c>
      <c r="AB35" s="33">
        <f t="shared" si="50"/>
        <v>35</v>
      </c>
      <c r="AC35" s="33">
        <f t="shared" si="50"/>
        <v>40</v>
      </c>
      <c r="AD35" s="33"/>
      <c r="AE35" s="2"/>
      <c r="AF35" s="2">
        <f t="shared" si="46"/>
        <v>10</v>
      </c>
      <c r="AG35" s="2">
        <f t="shared" ref="AG35" si="51">AG102</f>
        <v>12</v>
      </c>
      <c r="AH35" s="2">
        <f t="shared" si="47"/>
        <v>14</v>
      </c>
      <c r="AI35" s="33">
        <f>AI102</f>
        <v>16</v>
      </c>
      <c r="AJ35" s="33">
        <f t="shared" si="49"/>
        <v>19</v>
      </c>
    </row>
    <row r="36" spans="1:36" x14ac:dyDescent="0.2">
      <c r="A36" s="29" t="s">
        <v>405</v>
      </c>
      <c r="B36" s="2" t="s">
        <v>4</v>
      </c>
      <c r="C36" s="2"/>
      <c r="D36" s="2"/>
      <c r="E36" s="2"/>
      <c r="F36" s="2"/>
      <c r="G36" s="2"/>
      <c r="H36" s="2"/>
      <c r="I36" s="2"/>
      <c r="J36" s="2"/>
      <c r="K36" s="2"/>
      <c r="L36" s="2"/>
      <c r="M36" s="2"/>
      <c r="N36" s="2"/>
      <c r="O36" s="2"/>
      <c r="P36" s="2"/>
      <c r="Q36" s="2"/>
      <c r="R36" s="2"/>
      <c r="S36" s="65">
        <v>1</v>
      </c>
      <c r="T36" s="153">
        <v>4</v>
      </c>
      <c r="U36" s="153">
        <v>5</v>
      </c>
      <c r="V36" s="153">
        <v>6</v>
      </c>
      <c r="W36" s="153">
        <v>10</v>
      </c>
      <c r="X36" s="153">
        <v>9</v>
      </c>
      <c r="Y36" s="47">
        <f>X36</f>
        <v>9</v>
      </c>
      <c r="Z36" s="47">
        <v>0</v>
      </c>
      <c r="AA36" s="47">
        <f t="shared" ref="AA36:AC36" si="52">Z36</f>
        <v>0</v>
      </c>
      <c r="AB36" s="47">
        <f t="shared" si="52"/>
        <v>0</v>
      </c>
      <c r="AC36" s="47">
        <f t="shared" si="52"/>
        <v>0</v>
      </c>
      <c r="AD36" s="33"/>
      <c r="AE36" s="2"/>
      <c r="AF36" s="2">
        <f t="shared" si="46"/>
        <v>10</v>
      </c>
      <c r="AG36" s="153">
        <v>11</v>
      </c>
      <c r="AH36" s="2">
        <f t="shared" si="47"/>
        <v>9</v>
      </c>
      <c r="AI36" s="47">
        <v>9</v>
      </c>
      <c r="AJ36" s="33">
        <f t="shared" si="49"/>
        <v>9</v>
      </c>
    </row>
    <row r="37" spans="1:36" x14ac:dyDescent="0.2">
      <c r="A37" s="29" t="s">
        <v>406</v>
      </c>
      <c r="B37" s="2" t="s">
        <v>7</v>
      </c>
      <c r="C37" s="2"/>
      <c r="D37" s="2"/>
      <c r="E37" s="2"/>
      <c r="F37" s="2"/>
      <c r="G37" s="2"/>
      <c r="H37" s="2"/>
      <c r="I37" s="2"/>
      <c r="J37" s="2"/>
      <c r="K37" s="2"/>
      <c r="L37" s="2"/>
      <c r="M37" s="2"/>
      <c r="N37" s="2"/>
      <c r="O37" s="2"/>
      <c r="P37" s="2"/>
      <c r="Q37" s="2"/>
      <c r="R37" s="2"/>
      <c r="S37" s="2"/>
      <c r="T37" s="2"/>
      <c r="U37" s="2"/>
      <c r="V37" s="2"/>
      <c r="W37" s="2"/>
      <c r="X37" s="153">
        <v>2</v>
      </c>
      <c r="Y37" s="47">
        <v>5</v>
      </c>
      <c r="Z37" s="47">
        <v>8</v>
      </c>
      <c r="AA37" s="47">
        <v>11</v>
      </c>
      <c r="AB37" s="47">
        <v>15</v>
      </c>
      <c r="AC37" s="47">
        <v>20</v>
      </c>
      <c r="AD37" s="33"/>
      <c r="AE37" s="2"/>
      <c r="AF37" s="2"/>
      <c r="AG37" s="153">
        <v>2</v>
      </c>
      <c r="AH37" s="2">
        <f t="shared" si="47"/>
        <v>2</v>
      </c>
      <c r="AI37" s="47">
        <v>3</v>
      </c>
      <c r="AJ37" s="33">
        <f t="shared" si="49"/>
        <v>5</v>
      </c>
    </row>
    <row r="38" spans="1:36" x14ac:dyDescent="0.2">
      <c r="A38" s="29" t="s">
        <v>407</v>
      </c>
      <c r="B38" s="2" t="s">
        <v>5</v>
      </c>
      <c r="C38" s="2"/>
      <c r="D38" s="2"/>
      <c r="E38" s="2"/>
      <c r="F38" s="2"/>
      <c r="G38" s="2"/>
      <c r="H38" s="2"/>
      <c r="I38" s="2"/>
      <c r="J38" s="2"/>
      <c r="K38" s="2"/>
      <c r="L38" s="2"/>
      <c r="M38" s="2"/>
      <c r="N38" s="2"/>
      <c r="O38" s="2"/>
      <c r="P38" s="2"/>
      <c r="Q38" s="2"/>
      <c r="R38" s="2">
        <f t="shared" ref="R38:W38" si="53">R39-SUM(R33:R36)</f>
        <v>0</v>
      </c>
      <c r="S38" s="2">
        <f t="shared" si="53"/>
        <v>0</v>
      </c>
      <c r="T38" s="2">
        <f t="shared" si="53"/>
        <v>-3</v>
      </c>
      <c r="U38" s="2">
        <f t="shared" si="53"/>
        <v>0</v>
      </c>
      <c r="V38" s="2">
        <f t="shared" si="53"/>
        <v>1</v>
      </c>
      <c r="W38" s="2">
        <f t="shared" si="53"/>
        <v>2</v>
      </c>
      <c r="X38" s="205">
        <f>X39-SUM(X33:X37)</f>
        <v>19</v>
      </c>
      <c r="Y38" s="47">
        <f>X38</f>
        <v>19</v>
      </c>
      <c r="Z38" s="47">
        <f t="shared" ref="Z38:AC38" si="54">Y38</f>
        <v>19</v>
      </c>
      <c r="AA38" s="47">
        <f t="shared" si="54"/>
        <v>19</v>
      </c>
      <c r="AB38" s="47">
        <f t="shared" si="54"/>
        <v>19</v>
      </c>
      <c r="AC38" s="47">
        <f t="shared" si="54"/>
        <v>19</v>
      </c>
      <c r="AD38" s="33"/>
      <c r="AE38" s="2"/>
      <c r="AF38" s="2">
        <f>AF39-SUM(AF33:AF36)</f>
        <v>2</v>
      </c>
      <c r="AG38" s="2">
        <f>AG39-SUM(AG33:AG36)</f>
        <v>4</v>
      </c>
      <c r="AH38" s="2">
        <f>AH39-SUM(AH33:AH36)</f>
        <v>21</v>
      </c>
      <c r="AI38" s="47">
        <v>19</v>
      </c>
      <c r="AJ38" s="33">
        <f t="shared" si="49"/>
        <v>19</v>
      </c>
    </row>
    <row r="39" spans="1:36" x14ac:dyDescent="0.2">
      <c r="A39" s="29" t="s">
        <v>297</v>
      </c>
      <c r="B39" s="3" t="s">
        <v>297</v>
      </c>
      <c r="C39" s="63">
        <v>58</v>
      </c>
      <c r="D39" s="63">
        <v>78</v>
      </c>
      <c r="E39" s="63">
        <v>92</v>
      </c>
      <c r="F39" s="63">
        <v>108</v>
      </c>
      <c r="G39" s="63">
        <v>147</v>
      </c>
      <c r="H39" s="63">
        <v>169</v>
      </c>
      <c r="I39" s="63">
        <v>198</v>
      </c>
      <c r="J39" s="63">
        <v>231</v>
      </c>
      <c r="K39" s="63">
        <v>266</v>
      </c>
      <c r="L39" s="63">
        <v>297</v>
      </c>
      <c r="M39" s="63">
        <v>319</v>
      </c>
      <c r="N39" s="63">
        <v>341</v>
      </c>
      <c r="O39" s="63">
        <v>369</v>
      </c>
      <c r="P39" s="63">
        <v>412</v>
      </c>
      <c r="Q39" s="63">
        <v>446</v>
      </c>
      <c r="R39" s="155">
        <v>476</v>
      </c>
      <c r="S39" s="155">
        <v>510</v>
      </c>
      <c r="T39" s="155">
        <v>543</v>
      </c>
      <c r="U39" s="155">
        <v>573</v>
      </c>
      <c r="V39" s="155">
        <v>603</v>
      </c>
      <c r="W39" s="155">
        <v>639</v>
      </c>
      <c r="X39" s="155">
        <v>674</v>
      </c>
      <c r="Y39" s="46">
        <f>SUM(Y33:Y38)</f>
        <v>715</v>
      </c>
      <c r="Z39" s="46">
        <f t="shared" ref="Z39:AC39" si="55">SUM(Z33:Z38)</f>
        <v>742</v>
      </c>
      <c r="AA39" s="46">
        <f t="shared" si="55"/>
        <v>779</v>
      </c>
      <c r="AB39" s="46">
        <f t="shared" si="55"/>
        <v>816</v>
      </c>
      <c r="AC39" s="46">
        <f t="shared" si="55"/>
        <v>854</v>
      </c>
      <c r="AD39" s="33"/>
      <c r="AE39" s="152">
        <v>622</v>
      </c>
      <c r="AF39" s="62">
        <f>W39</f>
        <v>639</v>
      </c>
      <c r="AG39" s="152">
        <v>658</v>
      </c>
      <c r="AH39" s="62">
        <f>X39</f>
        <v>674</v>
      </c>
      <c r="AI39" s="46">
        <f>SUM(AI33:AI38)</f>
        <v>694</v>
      </c>
      <c r="AJ39" s="46">
        <f>SUM(AJ33:AJ38)</f>
        <v>715</v>
      </c>
    </row>
    <row r="40" spans="1:36" x14ac:dyDescent="0.2">
      <c r="B40" s="2" t="s">
        <v>137</v>
      </c>
      <c r="C40" s="2"/>
      <c r="D40" s="61">
        <f>D39/C39-1</f>
        <v>0.34482758620689657</v>
      </c>
      <c r="E40" s="61">
        <f t="shared" ref="E40" si="56">E39/D39-1</f>
        <v>0.17948717948717952</v>
      </c>
      <c r="F40" s="61">
        <f t="shared" ref="F40" si="57">F39/E39-1</f>
        <v>0.17391304347826098</v>
      </c>
      <c r="G40" s="61">
        <f t="shared" ref="G40" si="58">G39/F39-1</f>
        <v>0.36111111111111116</v>
      </c>
      <c r="H40" s="61">
        <f t="shared" ref="H40" si="59">H39/G39-1</f>
        <v>0.14965986394557818</v>
      </c>
      <c r="I40" s="61">
        <f t="shared" ref="I40" si="60">I39/H39-1</f>
        <v>0.17159763313609466</v>
      </c>
      <c r="J40" s="61">
        <f t="shared" ref="J40" si="61">J39/I39-1</f>
        <v>0.16666666666666674</v>
      </c>
      <c r="K40" s="61">
        <f t="shared" ref="K40" si="62">K39/J39-1</f>
        <v>0.1515151515151516</v>
      </c>
      <c r="L40" s="61">
        <f t="shared" ref="L40" si="63">L39/K39-1</f>
        <v>0.11654135338345872</v>
      </c>
      <c r="M40" s="61">
        <f t="shared" ref="M40" si="64">M39/L39-1</f>
        <v>7.4074074074074181E-2</v>
      </c>
      <c r="N40" s="61">
        <f t="shared" ref="N40" si="65">N39/M39-1</f>
        <v>6.8965517241379226E-2</v>
      </c>
      <c r="O40" s="61">
        <f t="shared" ref="O40" si="66">O39/N39-1</f>
        <v>8.2111436950146555E-2</v>
      </c>
      <c r="P40" s="61">
        <f t="shared" ref="P40" si="67">P39/O39-1</f>
        <v>0.1165311653116532</v>
      </c>
      <c r="Q40" s="61">
        <f t="shared" ref="Q40" si="68">Q39/P39-1</f>
        <v>8.2524271844660158E-2</v>
      </c>
      <c r="R40" s="61">
        <f t="shared" ref="R40" si="69">R39/Q39-1</f>
        <v>6.7264573991031362E-2</v>
      </c>
      <c r="S40" s="61">
        <f t="shared" ref="S40" si="70">S39/R39-1</f>
        <v>7.1428571428571397E-2</v>
      </c>
      <c r="T40" s="61">
        <f t="shared" ref="T40" si="71">T39/S39-1</f>
        <v>6.4705882352941169E-2</v>
      </c>
      <c r="U40" s="61">
        <f t="shared" ref="U40" si="72">U39/T39-1</f>
        <v>5.5248618784530468E-2</v>
      </c>
      <c r="V40" s="61">
        <f t="shared" ref="V40" si="73">V39/U39-1</f>
        <v>5.2356020942408321E-2</v>
      </c>
      <c r="W40" s="61">
        <f t="shared" ref="W40" si="74">W39/V39-1</f>
        <v>5.9701492537313383E-2</v>
      </c>
      <c r="X40" s="61">
        <f t="shared" ref="X40" si="75">X39/W39-1</f>
        <v>5.4773082942096929E-2</v>
      </c>
      <c r="Y40" s="34">
        <f t="shared" ref="Y40" si="76">Y39/X39-1</f>
        <v>6.0830860534124565E-2</v>
      </c>
      <c r="Z40" s="34">
        <f t="shared" ref="Z40" si="77">Z39/Y39-1</f>
        <v>3.7762237762237749E-2</v>
      </c>
      <c r="AA40" s="34">
        <f t="shared" ref="AA40" si="78">AA39/Z39-1</f>
        <v>4.9865229110512166E-2</v>
      </c>
      <c r="AB40" s="34">
        <f t="shared" ref="AB40" si="79">AB39/AA39-1</f>
        <v>4.7496790757381335E-2</v>
      </c>
      <c r="AC40" s="34">
        <f t="shared" ref="AC40" si="80">AC39/AB39-1</f>
        <v>4.6568627450980449E-2</v>
      </c>
      <c r="AD40" s="33"/>
      <c r="AE40" s="2"/>
      <c r="AF40" s="2"/>
      <c r="AG40" s="61">
        <f>AG39/AE39-1</f>
        <v>5.7877813504823239E-2</v>
      </c>
      <c r="AH40" s="61">
        <f>AH39/AF39-1</f>
        <v>5.4773082942096929E-2</v>
      </c>
      <c r="AI40" s="34">
        <f t="shared" ref="AI40:AJ40" si="81">AI39/AG39-1</f>
        <v>5.4711246200607855E-2</v>
      </c>
      <c r="AJ40" s="34">
        <f t="shared" si="81"/>
        <v>6.0830860534124565E-2</v>
      </c>
    </row>
    <row r="41" spans="1:36" x14ac:dyDescent="0.2">
      <c r="B41" s="2"/>
      <c r="C41" s="2"/>
      <c r="D41" s="61"/>
      <c r="E41" s="61"/>
      <c r="F41" s="61"/>
      <c r="G41" s="61"/>
      <c r="H41" s="61"/>
      <c r="I41" s="61"/>
      <c r="J41" s="61"/>
      <c r="K41" s="61"/>
      <c r="L41" s="61"/>
      <c r="M41" s="61"/>
      <c r="N41" s="61"/>
      <c r="O41" s="61"/>
      <c r="P41" s="61"/>
      <c r="Q41" s="61"/>
      <c r="R41" s="61"/>
      <c r="S41" s="61"/>
      <c r="T41" s="61"/>
      <c r="U41" s="61"/>
      <c r="V41" s="61"/>
      <c r="W41" s="61"/>
      <c r="X41" s="73">
        <f>70/X7</f>
        <v>7.8047475164178442E-3</v>
      </c>
      <c r="Y41" s="34"/>
      <c r="Z41" s="55">
        <f>X41*Z8</f>
        <v>11.967262297265719</v>
      </c>
      <c r="AA41" s="50">
        <f>Z41/Z13</f>
        <v>9.1151943638097352E-4</v>
      </c>
      <c r="AB41" s="34"/>
      <c r="AC41" s="34"/>
      <c r="AD41" s="33"/>
      <c r="AE41" s="2"/>
      <c r="AF41" s="2"/>
      <c r="AG41" s="61"/>
      <c r="AH41" s="61"/>
      <c r="AI41" s="34"/>
      <c r="AJ41" s="34"/>
    </row>
    <row r="42" spans="1:36" x14ac:dyDescent="0.2">
      <c r="A42" s="188" t="s">
        <v>460</v>
      </c>
      <c r="B42" s="3" t="s">
        <v>459</v>
      </c>
      <c r="C42" s="2"/>
      <c r="D42" s="61"/>
      <c r="E42" s="61"/>
      <c r="F42" s="61"/>
      <c r="G42" s="61"/>
      <c r="H42" s="61"/>
      <c r="I42" s="61"/>
      <c r="J42" s="61"/>
      <c r="K42" s="61"/>
      <c r="L42" s="61"/>
      <c r="M42" s="61"/>
      <c r="N42" s="61"/>
      <c r="O42" s="61"/>
      <c r="P42" s="61"/>
      <c r="Q42" s="61"/>
      <c r="R42" s="61"/>
      <c r="S42" s="61"/>
      <c r="T42" s="61"/>
      <c r="U42" s="61"/>
      <c r="V42" s="3">
        <f t="shared" ref="V42:W42" si="82">V33+V38</f>
        <v>549</v>
      </c>
      <c r="W42" s="3">
        <f t="shared" si="82"/>
        <v>569</v>
      </c>
      <c r="X42" s="3">
        <f>X33+X38</f>
        <v>588</v>
      </c>
      <c r="Y42" s="46">
        <f t="shared" ref="Y42:AC42" si="83">Y33+Y38</f>
        <v>606</v>
      </c>
      <c r="Z42" s="46">
        <f t="shared" si="83"/>
        <v>624</v>
      </c>
      <c r="AA42" s="46">
        <f t="shared" si="83"/>
        <v>642</v>
      </c>
      <c r="AB42" s="46">
        <f t="shared" si="83"/>
        <v>660</v>
      </c>
      <c r="AC42" s="46">
        <f t="shared" si="83"/>
        <v>678</v>
      </c>
      <c r="AD42" s="33"/>
      <c r="AE42" s="3"/>
      <c r="AF42" s="3">
        <f t="shared" ref="AF42:AI42" si="84">AF33+AF38</f>
        <v>569</v>
      </c>
      <c r="AG42" s="3">
        <f t="shared" si="84"/>
        <v>579</v>
      </c>
      <c r="AH42" s="3">
        <f t="shared" si="84"/>
        <v>590</v>
      </c>
      <c r="AI42" s="46">
        <f t="shared" si="84"/>
        <v>596</v>
      </c>
      <c r="AJ42" s="46">
        <f>AJ33+AJ38</f>
        <v>606</v>
      </c>
    </row>
    <row r="43" spans="1:36" x14ac:dyDescent="0.2">
      <c r="B43" s="2" t="s">
        <v>137</v>
      </c>
      <c r="C43" s="2"/>
      <c r="D43" s="61"/>
      <c r="E43" s="61"/>
      <c r="F43" s="61"/>
      <c r="G43" s="61"/>
      <c r="H43" s="61"/>
      <c r="I43" s="61"/>
      <c r="J43" s="61"/>
      <c r="K43" s="61"/>
      <c r="L43" s="61"/>
      <c r="M43" s="61"/>
      <c r="N43" s="61"/>
      <c r="O43" s="61"/>
      <c r="P43" s="61"/>
      <c r="Q43" s="61"/>
      <c r="R43" s="61"/>
      <c r="S43" s="61"/>
      <c r="T43" s="61"/>
      <c r="U43" s="61"/>
      <c r="V43" s="2"/>
      <c r="W43" s="61">
        <f t="shared" ref="W43:X43" si="85">W42/V42-1</f>
        <v>3.6429872495446158E-2</v>
      </c>
      <c r="X43" s="61">
        <f t="shared" si="85"/>
        <v>3.3391915641476366E-2</v>
      </c>
      <c r="Y43" s="34">
        <f t="shared" ref="Y43" si="86">Y42/X42-1</f>
        <v>3.0612244897959107E-2</v>
      </c>
      <c r="Z43" s="34">
        <f t="shared" ref="Z43" si="87">Z42/Y42-1</f>
        <v>2.9702970297029729E-2</v>
      </c>
      <c r="AA43" s="34">
        <f t="shared" ref="AA43" si="88">AA42/Z42-1</f>
        <v>2.8846153846153744E-2</v>
      </c>
      <c r="AB43" s="34">
        <f t="shared" ref="AB43" si="89">AB42/AA42-1</f>
        <v>2.8037383177569986E-2</v>
      </c>
      <c r="AC43" s="34">
        <f t="shared" ref="AC43" si="90">AC42/AB42-1</f>
        <v>2.7272727272727337E-2</v>
      </c>
      <c r="AD43" s="33"/>
      <c r="AE43" s="2"/>
      <c r="AF43" s="2"/>
      <c r="AG43" s="61"/>
      <c r="AH43" s="61">
        <f>AH42/AF42-1</f>
        <v>3.6906854130052791E-2</v>
      </c>
      <c r="AI43" s="34">
        <f t="shared" ref="AI43" si="91">AI42/AG42-1</f>
        <v>2.9360967184801412E-2</v>
      </c>
      <c r="AJ43" s="34">
        <f t="shared" ref="AJ43" si="92">AJ42/AH42-1</f>
        <v>2.7118644067796627E-2</v>
      </c>
    </row>
    <row r="44" spans="1:36" x14ac:dyDescent="0.2">
      <c r="B44" s="2"/>
      <c r="C44" s="2"/>
      <c r="D44" s="61"/>
      <c r="E44" s="61"/>
      <c r="F44" s="61"/>
      <c r="G44" s="61"/>
      <c r="H44" s="61"/>
      <c r="I44" s="61"/>
      <c r="J44" s="61"/>
      <c r="K44" s="61"/>
      <c r="L44" s="61"/>
      <c r="M44" s="61"/>
      <c r="N44" s="61"/>
      <c r="O44" s="61"/>
      <c r="P44" s="61"/>
      <c r="Q44" s="61"/>
      <c r="R44" s="2"/>
      <c r="S44" s="2"/>
      <c r="T44" s="2"/>
      <c r="U44" s="2"/>
      <c r="V44" s="2"/>
      <c r="W44" s="2"/>
      <c r="X44" s="2"/>
      <c r="Y44" s="33"/>
      <c r="Z44" s="33"/>
      <c r="AA44" s="33"/>
      <c r="AB44" s="33"/>
      <c r="AC44" s="33"/>
      <c r="AD44" s="33"/>
      <c r="AE44" s="2"/>
      <c r="AF44" s="2"/>
      <c r="AG44" s="2"/>
      <c r="AH44" s="2"/>
      <c r="AI44" s="33"/>
      <c r="AJ44" s="33"/>
    </row>
    <row r="45" spans="1:36" x14ac:dyDescent="0.2">
      <c r="B45" s="3" t="s">
        <v>314</v>
      </c>
      <c r="C45" s="3"/>
      <c r="D45" s="66"/>
      <c r="E45" s="66"/>
      <c r="F45" s="66"/>
      <c r="G45" s="66"/>
      <c r="H45" s="66"/>
      <c r="I45" s="66"/>
      <c r="J45" s="3"/>
      <c r="K45" s="3"/>
      <c r="L45" s="3"/>
      <c r="M45" s="3"/>
      <c r="N45" s="3"/>
      <c r="O45" s="3"/>
      <c r="P45" s="3"/>
      <c r="Q45" s="3"/>
      <c r="R45" s="64">
        <f t="shared" ref="R45" si="93">R39-R33</f>
        <v>6</v>
      </c>
      <c r="S45" s="155">
        <f>14+1</f>
        <v>15</v>
      </c>
      <c r="T45" s="155">
        <f>24+2+4</f>
        <v>30</v>
      </c>
      <c r="U45" s="155">
        <f>35+4+5</f>
        <v>44</v>
      </c>
      <c r="V45" s="155">
        <f>42+6+6</f>
        <v>54</v>
      </c>
      <c r="W45" s="155">
        <f>50+10+10</f>
        <v>70</v>
      </c>
      <c r="X45" s="155">
        <f>61+14+9+2</f>
        <v>86</v>
      </c>
      <c r="Y45" s="46">
        <f>SUM(Y34:Y37)</f>
        <v>109</v>
      </c>
      <c r="Z45" s="46">
        <f t="shared" ref="Z45:AC45" si="94">SUM(Z34:Z37)</f>
        <v>118</v>
      </c>
      <c r="AA45" s="46">
        <f t="shared" si="94"/>
        <v>137</v>
      </c>
      <c r="AB45" s="46">
        <f t="shared" si="94"/>
        <v>156</v>
      </c>
      <c r="AC45" s="46">
        <f t="shared" si="94"/>
        <v>176</v>
      </c>
      <c r="AD45" s="46"/>
      <c r="AE45" s="3"/>
      <c r="AF45" s="3">
        <f t="shared" ref="AF45" si="95">AF39-AF33</f>
        <v>72</v>
      </c>
      <c r="AG45" s="155">
        <f>56+12+11+2</f>
        <v>81</v>
      </c>
      <c r="AH45" s="3">
        <f>SUM(AH34:AH37)</f>
        <v>86</v>
      </c>
      <c r="AI45" s="46">
        <f>SUM(AI34:AI37)</f>
        <v>98</v>
      </c>
      <c r="AJ45" s="46">
        <f>SUM(AJ34:AJ37)</f>
        <v>109</v>
      </c>
    </row>
    <row r="46" spans="1:36" x14ac:dyDescent="0.2">
      <c r="B46" s="2" t="s">
        <v>137</v>
      </c>
      <c r="C46" s="2"/>
      <c r="D46" s="61"/>
      <c r="E46" s="61"/>
      <c r="F46" s="61"/>
      <c r="G46" s="61"/>
      <c r="H46" s="61"/>
      <c r="I46" s="61"/>
      <c r="J46" s="61"/>
      <c r="K46" s="61"/>
      <c r="L46" s="61"/>
      <c r="M46" s="61"/>
      <c r="N46" s="61"/>
      <c r="O46" s="61"/>
      <c r="P46" s="61"/>
      <c r="Q46" s="61"/>
      <c r="R46" s="2"/>
      <c r="S46" s="61">
        <f t="shared" ref="S46" si="96">S45/R45-1</f>
        <v>1.5</v>
      </c>
      <c r="T46" s="61">
        <f t="shared" ref="T46" si="97">T45/S45-1</f>
        <v>1</v>
      </c>
      <c r="U46" s="61">
        <f t="shared" ref="U46" si="98">U45/T45-1</f>
        <v>0.46666666666666656</v>
      </c>
      <c r="V46" s="61">
        <f t="shared" ref="V46" si="99">V45/U45-1</f>
        <v>0.22727272727272729</v>
      </c>
      <c r="W46" s="61">
        <f t="shared" ref="W46" si="100">W45/V45-1</f>
        <v>0.29629629629629628</v>
      </c>
      <c r="X46" s="61">
        <f t="shared" ref="X46" si="101">X45/W45-1</f>
        <v>0.22857142857142865</v>
      </c>
      <c r="Y46" s="34">
        <f t="shared" ref="Y46" si="102">Y45/X45-1</f>
        <v>0.26744186046511631</v>
      </c>
      <c r="Z46" s="34">
        <f t="shared" ref="Z46" si="103">Z45/Y45-1</f>
        <v>8.256880733944949E-2</v>
      </c>
      <c r="AA46" s="34">
        <f t="shared" ref="AA46" si="104">AA45/Z45-1</f>
        <v>0.16101694915254239</v>
      </c>
      <c r="AB46" s="34">
        <f t="shared" ref="AB46" si="105">AB45/AA45-1</f>
        <v>0.13868613138686126</v>
      </c>
      <c r="AC46" s="34">
        <f t="shared" ref="AC46" si="106">AC45/AB45-1</f>
        <v>0.12820512820512819</v>
      </c>
      <c r="AD46" s="33"/>
      <c r="AE46" s="2"/>
      <c r="AF46" s="2"/>
      <c r="AG46" s="61"/>
      <c r="AH46" s="61">
        <f>AH45/AF45-1</f>
        <v>0.19444444444444442</v>
      </c>
      <c r="AI46" s="34">
        <f t="shared" ref="AI46:AJ46" si="107">AI45/AG45-1</f>
        <v>0.20987654320987659</v>
      </c>
      <c r="AJ46" s="34">
        <f t="shared" si="107"/>
        <v>0.26744186046511631</v>
      </c>
    </row>
    <row r="47" spans="1:36" x14ac:dyDescent="0.2">
      <c r="B47" s="2" t="s">
        <v>313</v>
      </c>
      <c r="C47" s="2"/>
      <c r="D47" s="61"/>
      <c r="E47" s="61"/>
      <c r="F47" s="61"/>
      <c r="G47" s="61"/>
      <c r="H47" s="61"/>
      <c r="I47" s="61"/>
      <c r="J47" s="61"/>
      <c r="K47" s="61"/>
      <c r="L47" s="61"/>
      <c r="M47" s="61"/>
      <c r="N47" s="61"/>
      <c r="O47" s="61"/>
      <c r="P47" s="61"/>
      <c r="Q47" s="61"/>
      <c r="R47" s="67">
        <f t="shared" ref="R47:W47" si="108">R45-Q45</f>
        <v>6</v>
      </c>
      <c r="S47" s="67">
        <f t="shared" si="108"/>
        <v>9</v>
      </c>
      <c r="T47" s="67">
        <f t="shared" si="108"/>
        <v>15</v>
      </c>
      <c r="U47" s="67">
        <f t="shared" si="108"/>
        <v>14</v>
      </c>
      <c r="V47" s="67">
        <f t="shared" si="108"/>
        <v>10</v>
      </c>
      <c r="W47" s="67">
        <f t="shared" si="108"/>
        <v>16</v>
      </c>
      <c r="X47" s="67">
        <f>X45-W45</f>
        <v>16</v>
      </c>
      <c r="Y47" s="54">
        <f t="shared" ref="Y47:AC47" si="109">Y45-X45</f>
        <v>23</v>
      </c>
      <c r="Z47" s="54">
        <f t="shared" si="109"/>
        <v>9</v>
      </c>
      <c r="AA47" s="54">
        <f t="shared" si="109"/>
        <v>19</v>
      </c>
      <c r="AB47" s="54">
        <f t="shared" si="109"/>
        <v>19</v>
      </c>
      <c r="AC47" s="54">
        <f t="shared" si="109"/>
        <v>20</v>
      </c>
      <c r="AD47" s="33"/>
      <c r="AE47" s="2"/>
      <c r="AF47" s="2"/>
      <c r="AG47" s="2"/>
      <c r="AH47" s="2"/>
      <c r="AI47" s="33"/>
      <c r="AJ47" s="33"/>
    </row>
    <row r="48" spans="1:36" x14ac:dyDescent="0.2">
      <c r="B48" s="2"/>
      <c r="C48" s="2"/>
      <c r="D48" s="61"/>
      <c r="E48" s="61"/>
      <c r="F48" s="61"/>
      <c r="G48" s="61"/>
      <c r="H48" s="61"/>
      <c r="I48" s="61"/>
      <c r="J48" s="61"/>
      <c r="K48" s="61"/>
      <c r="L48" s="61"/>
      <c r="M48" s="61"/>
      <c r="N48" s="61"/>
      <c r="O48" s="61"/>
      <c r="P48" s="61"/>
      <c r="Q48" s="61"/>
      <c r="R48" s="2"/>
      <c r="S48" s="2"/>
      <c r="T48" s="2"/>
      <c r="U48" s="2"/>
      <c r="V48" s="2"/>
      <c r="W48" s="2"/>
      <c r="X48" s="2"/>
      <c r="Y48" s="33"/>
      <c r="Z48" s="33"/>
      <c r="AA48" s="33"/>
      <c r="AB48" s="33"/>
      <c r="AC48" s="33"/>
      <c r="AD48" s="33"/>
      <c r="AE48" s="2"/>
      <c r="AF48" s="2"/>
      <c r="AG48" s="2"/>
      <c r="AH48" s="2"/>
      <c r="AI48" s="33"/>
      <c r="AJ48" s="33"/>
    </row>
    <row r="49" spans="2:36" x14ac:dyDescent="0.2">
      <c r="B49" s="3" t="s">
        <v>315</v>
      </c>
      <c r="C49" s="2"/>
      <c r="D49" s="2"/>
      <c r="E49" s="2"/>
      <c r="F49" s="2"/>
      <c r="G49" s="2"/>
      <c r="H49" s="2"/>
      <c r="I49" s="2"/>
      <c r="J49" s="2"/>
      <c r="K49" s="2"/>
      <c r="L49" s="2"/>
      <c r="M49" s="2"/>
      <c r="N49" s="2"/>
      <c r="O49" s="2"/>
      <c r="P49" s="2"/>
      <c r="Q49" s="2"/>
      <c r="R49" s="2"/>
      <c r="S49" s="2"/>
      <c r="T49" s="2"/>
      <c r="U49" s="2"/>
      <c r="V49" s="2"/>
      <c r="W49" s="2"/>
      <c r="X49" s="61">
        <f>(X50/C50)^(1/21)-1</f>
        <v>8.7188020104793207E-2</v>
      </c>
      <c r="Y49" s="33"/>
      <c r="Z49" s="33"/>
      <c r="AA49" s="33"/>
      <c r="AB49" s="33"/>
      <c r="AC49" s="33"/>
      <c r="AD49" s="33"/>
      <c r="AE49" s="2"/>
      <c r="AF49" s="2"/>
      <c r="AG49" s="2"/>
      <c r="AH49" s="2"/>
      <c r="AI49" s="33"/>
      <c r="AJ49" s="33"/>
    </row>
    <row r="50" spans="2:36" x14ac:dyDescent="0.2">
      <c r="B50" s="2" t="s">
        <v>1</v>
      </c>
      <c r="C50" s="273">
        <f>C13/C33</f>
        <v>2.7241379310344827</v>
      </c>
      <c r="D50" s="273">
        <f t="shared" ref="D50:Q50" si="110">D13/D33</f>
        <v>3.0512820512820511</v>
      </c>
      <c r="E50" s="273">
        <f t="shared" si="110"/>
        <v>3.9347826086956523</v>
      </c>
      <c r="F50" s="273">
        <f t="shared" si="110"/>
        <v>4.7314814814814818</v>
      </c>
      <c r="G50" s="273">
        <f t="shared" si="110"/>
        <v>4.7687074829931975</v>
      </c>
      <c r="H50" s="273">
        <f t="shared" si="110"/>
        <v>5.6272189349112427</v>
      </c>
      <c r="I50" s="273">
        <f t="shared" si="110"/>
        <v>6.2171717171717171</v>
      </c>
      <c r="J50" s="273">
        <f t="shared" si="110"/>
        <v>6.5714285714285712</v>
      </c>
      <c r="K50" s="273">
        <f t="shared" si="110"/>
        <v>6.9436090225563909</v>
      </c>
      <c r="L50" s="273">
        <f t="shared" si="110"/>
        <v>7.3501683501683504</v>
      </c>
      <c r="M50" s="273">
        <f t="shared" si="110"/>
        <v>7.9686520376175549</v>
      </c>
      <c r="N50" s="273">
        <f t="shared" si="110"/>
        <v>9.1876832844574778</v>
      </c>
      <c r="O50" s="273">
        <f t="shared" si="110"/>
        <v>10.365853658536585</v>
      </c>
      <c r="P50" s="273">
        <f t="shared" si="110"/>
        <v>10.650485436893204</v>
      </c>
      <c r="Q50" s="273">
        <f t="shared" si="110"/>
        <v>10.890134529147982</v>
      </c>
      <c r="R50" s="68">
        <f t="shared" ref="R50:AC50" si="111">R7/R33</f>
        <v>0</v>
      </c>
      <c r="S50" s="68">
        <f t="shared" si="111"/>
        <v>0</v>
      </c>
      <c r="T50" s="68">
        <f t="shared" si="111"/>
        <v>0</v>
      </c>
      <c r="U50" s="68">
        <f t="shared" si="111"/>
        <v>11.744990548204159</v>
      </c>
      <c r="V50" s="68">
        <f t="shared" si="111"/>
        <v>12.897810218978103</v>
      </c>
      <c r="W50" s="68">
        <f t="shared" si="111"/>
        <v>13.950440917107583</v>
      </c>
      <c r="X50" s="68">
        <f t="shared" si="111"/>
        <v>15.762565905096659</v>
      </c>
      <c r="Y50" s="55">
        <f t="shared" si="111"/>
        <v>17.229031453603586</v>
      </c>
      <c r="Z50" s="55">
        <f t="shared" si="111"/>
        <v>18.332960814360657</v>
      </c>
      <c r="AA50" s="55">
        <f t="shared" si="111"/>
        <v>18.975553840163926</v>
      </c>
      <c r="AB50" s="55">
        <f t="shared" si="111"/>
        <v>19.642163854147036</v>
      </c>
      <c r="AC50" s="55">
        <f t="shared" si="111"/>
        <v>20.333628175770464</v>
      </c>
      <c r="AD50" s="33"/>
      <c r="AE50" s="2"/>
      <c r="AF50" s="2"/>
      <c r="AG50" s="2"/>
      <c r="AH50" s="2"/>
      <c r="AI50" s="33"/>
      <c r="AJ50" s="33"/>
    </row>
    <row r="51" spans="2:36" x14ac:dyDescent="0.2">
      <c r="B51" s="2" t="s">
        <v>2</v>
      </c>
      <c r="C51" s="2"/>
      <c r="D51" s="2"/>
      <c r="E51" s="2"/>
      <c r="F51" s="2"/>
      <c r="G51" s="2"/>
      <c r="H51" s="2"/>
      <c r="I51" s="2"/>
      <c r="J51" s="2"/>
      <c r="K51" s="2"/>
      <c r="L51" s="2"/>
      <c r="M51" s="2"/>
      <c r="N51" s="2"/>
      <c r="O51" s="2"/>
      <c r="P51" s="2"/>
      <c r="Q51" s="2"/>
      <c r="R51" s="68">
        <f t="shared" ref="R51:AC51" si="112">R8/R34</f>
        <v>13.333333333333334</v>
      </c>
      <c r="S51" s="68">
        <f t="shared" si="112"/>
        <v>12.214285714285714</v>
      </c>
      <c r="T51" s="68">
        <f t="shared" si="112"/>
        <v>12.75</v>
      </c>
      <c r="U51" s="68">
        <f t="shared" si="112"/>
        <v>14.2</v>
      </c>
      <c r="V51" s="68">
        <f t="shared" si="112"/>
        <v>15.523809523809524</v>
      </c>
      <c r="W51" s="68">
        <f t="shared" si="112"/>
        <v>17.72</v>
      </c>
      <c r="X51" s="68">
        <f t="shared" si="112"/>
        <v>17.21311475409836</v>
      </c>
      <c r="Y51" s="55">
        <f t="shared" si="112"/>
        <v>17.074956859361517</v>
      </c>
      <c r="Z51" s="55">
        <f t="shared" si="112"/>
        <v>17.829431697333305</v>
      </c>
      <c r="AA51" s="55">
        <f t="shared" si="112"/>
        <v>18.628041658776361</v>
      </c>
      <c r="AB51" s="55">
        <f t="shared" si="112"/>
        <v>19.471575620683218</v>
      </c>
      <c r="AC51" s="55">
        <f t="shared" si="112"/>
        <v>20.361225196455813</v>
      </c>
      <c r="AD51" s="33"/>
      <c r="AE51" s="2"/>
      <c r="AF51" s="2"/>
      <c r="AG51" s="2"/>
      <c r="AH51" s="2"/>
      <c r="AI51" s="33"/>
      <c r="AJ51" s="33"/>
    </row>
    <row r="52" spans="2:36" x14ac:dyDescent="0.2">
      <c r="B52" s="2" t="s">
        <v>3</v>
      </c>
      <c r="C52" s="2"/>
      <c r="D52" s="2"/>
      <c r="E52" s="2"/>
      <c r="F52" s="2"/>
      <c r="G52" s="2"/>
      <c r="H52" s="2"/>
      <c r="I52" s="2"/>
      <c r="J52" s="2"/>
      <c r="K52" s="2"/>
      <c r="L52" s="2"/>
      <c r="M52" s="2"/>
      <c r="N52" s="2"/>
      <c r="O52" s="2"/>
      <c r="P52" s="2"/>
      <c r="Q52" s="2"/>
      <c r="R52" s="68"/>
      <c r="S52" s="68"/>
      <c r="T52" s="68">
        <f t="shared" ref="T52:AC52" si="113">T9/T35</f>
        <v>3.8173703405500388</v>
      </c>
      <c r="U52" s="68">
        <f t="shared" si="113"/>
        <v>7.4865232967736617</v>
      </c>
      <c r="V52" s="68">
        <f t="shared" si="113"/>
        <v>9.8828797426654962</v>
      </c>
      <c r="W52" s="68">
        <f t="shared" si="113"/>
        <v>10.569921151807108</v>
      </c>
      <c r="X52" s="68">
        <f t="shared" si="113"/>
        <v>11.96224248412488</v>
      </c>
      <c r="Y52" s="55">
        <f t="shared" si="113"/>
        <v>14.008515369779712</v>
      </c>
      <c r="Z52" s="55">
        <f t="shared" si="113"/>
        <v>15.339324329908784</v>
      </c>
      <c r="AA52" s="55">
        <f t="shared" si="113"/>
        <v>15.584753519187327</v>
      </c>
      <c r="AB52" s="55">
        <f t="shared" si="113"/>
        <v>15.851920722373396</v>
      </c>
      <c r="AC52" s="55">
        <f t="shared" si="113"/>
        <v>16.12932933501493</v>
      </c>
      <c r="AD52" s="33"/>
      <c r="AE52" s="2"/>
      <c r="AF52" s="2"/>
      <c r="AG52" s="2"/>
      <c r="AH52" s="2"/>
      <c r="AI52" s="33"/>
      <c r="AJ52" s="33"/>
    </row>
    <row r="53" spans="2:36" x14ac:dyDescent="0.2">
      <c r="B53" s="2" t="s">
        <v>4</v>
      </c>
      <c r="C53" s="2"/>
      <c r="D53" s="2"/>
      <c r="E53" s="2"/>
      <c r="F53" s="2"/>
      <c r="G53" s="2"/>
      <c r="H53" s="2"/>
      <c r="I53" s="2"/>
      <c r="J53" s="2"/>
      <c r="K53" s="2"/>
      <c r="L53" s="2"/>
      <c r="M53" s="2"/>
      <c r="N53" s="2"/>
      <c r="O53" s="2"/>
      <c r="P53" s="2"/>
      <c r="Q53" s="2"/>
      <c r="R53" s="68"/>
      <c r="S53" s="68"/>
      <c r="T53" s="68">
        <f t="shared" ref="T53:Y53" si="114">T10/T36</f>
        <v>12.5</v>
      </c>
      <c r="U53" s="68">
        <f t="shared" si="114"/>
        <v>16.990781362581039</v>
      </c>
      <c r="V53" s="68">
        <f t="shared" si="114"/>
        <v>18.117120257334438</v>
      </c>
      <c r="W53" s="68">
        <f t="shared" si="114"/>
        <v>10.030078848192897</v>
      </c>
      <c r="X53" s="68">
        <f t="shared" si="114"/>
        <v>8.0142894691390314</v>
      </c>
      <c r="Y53" s="55">
        <f t="shared" si="114"/>
        <v>8.8888888888888893</v>
      </c>
      <c r="Z53" s="55"/>
      <c r="AA53" s="55"/>
      <c r="AB53" s="55"/>
      <c r="AC53" s="55"/>
      <c r="AD53" s="33"/>
      <c r="AE53" s="2"/>
      <c r="AF53" s="2"/>
      <c r="AG53" s="2"/>
      <c r="AH53" s="2"/>
      <c r="AI53" s="33"/>
      <c r="AJ53" s="33"/>
    </row>
    <row r="54" spans="2:36" x14ac:dyDescent="0.2">
      <c r="B54" s="2" t="s">
        <v>7</v>
      </c>
      <c r="C54" s="2"/>
      <c r="D54" s="2"/>
      <c r="E54" s="2"/>
      <c r="F54" s="2"/>
      <c r="G54" s="2"/>
      <c r="H54" s="2"/>
      <c r="I54" s="2"/>
      <c r="J54" s="2"/>
      <c r="K54" s="2"/>
      <c r="L54" s="2"/>
      <c r="M54" s="2"/>
      <c r="N54" s="2"/>
      <c r="O54" s="2"/>
      <c r="P54" s="2"/>
      <c r="Q54" s="2"/>
      <c r="R54" s="68"/>
      <c r="S54" s="68"/>
      <c r="T54" s="68"/>
      <c r="U54" s="68"/>
      <c r="V54" s="68"/>
      <c r="W54" s="68"/>
      <c r="X54" s="68">
        <f t="shared" ref="X54:AC54" si="115">X11/X37</f>
        <v>5</v>
      </c>
      <c r="Y54" s="55">
        <f t="shared" si="115"/>
        <v>7</v>
      </c>
      <c r="Z54" s="55">
        <f t="shared" si="115"/>
        <v>7</v>
      </c>
      <c r="AA54" s="55">
        <f t="shared" si="115"/>
        <v>7</v>
      </c>
      <c r="AB54" s="55">
        <f t="shared" si="115"/>
        <v>7</v>
      </c>
      <c r="AC54" s="55">
        <f t="shared" si="115"/>
        <v>7</v>
      </c>
      <c r="AD54" s="33"/>
      <c r="AE54" s="2"/>
      <c r="AF54" s="2"/>
      <c r="AG54" s="2"/>
      <c r="AH54" s="2"/>
      <c r="AI54" s="33"/>
      <c r="AJ54" s="33"/>
    </row>
    <row r="55" spans="2:36" x14ac:dyDescent="0.2">
      <c r="B55" s="2" t="s">
        <v>5</v>
      </c>
      <c r="C55" s="2"/>
      <c r="D55" s="2"/>
      <c r="E55" s="2"/>
      <c r="F55" s="2"/>
      <c r="G55" s="2"/>
      <c r="H55" s="2"/>
      <c r="I55" s="2"/>
      <c r="J55" s="2"/>
      <c r="K55" s="2"/>
      <c r="L55" s="2"/>
      <c r="M55" s="2"/>
      <c r="N55" s="2"/>
      <c r="O55" s="2"/>
      <c r="P55" s="2"/>
      <c r="Q55" s="2"/>
      <c r="R55" s="68"/>
      <c r="S55" s="68"/>
      <c r="T55" s="68">
        <f>T12/T38</f>
        <v>0</v>
      </c>
      <c r="U55" s="68"/>
      <c r="V55" s="68"/>
      <c r="W55" s="68"/>
      <c r="X55" s="68"/>
      <c r="Y55" s="55"/>
      <c r="Z55" s="55"/>
      <c r="AA55" s="55"/>
      <c r="AB55" s="55"/>
      <c r="AC55" s="55"/>
      <c r="AD55" s="33"/>
      <c r="AE55" s="2"/>
      <c r="AF55" s="2"/>
      <c r="AG55" s="2"/>
      <c r="AH55" s="2"/>
      <c r="AI55" s="33"/>
      <c r="AJ55" s="33"/>
    </row>
    <row r="56" spans="2:36" x14ac:dyDescent="0.2">
      <c r="B56" s="3" t="s">
        <v>316</v>
      </c>
      <c r="C56" s="2"/>
      <c r="D56" s="2"/>
      <c r="E56" s="2"/>
      <c r="F56" s="2"/>
      <c r="G56" s="2"/>
      <c r="H56" s="2"/>
      <c r="I56" s="2"/>
      <c r="J56" s="2"/>
      <c r="K56" s="2"/>
      <c r="L56" s="2"/>
      <c r="M56" s="2"/>
      <c r="N56" s="2"/>
      <c r="O56" s="2"/>
      <c r="P56" s="2"/>
      <c r="Q56" s="2"/>
      <c r="R56" s="69">
        <f>R13/R39</f>
        <v>11.25</v>
      </c>
      <c r="S56" s="69">
        <f>S13/S39</f>
        <v>11.286274509803922</v>
      </c>
      <c r="T56" s="69">
        <f>T13/T39</f>
        <v>10.852670349907919</v>
      </c>
      <c r="U56" s="69">
        <f t="shared" ref="U56:AC56" si="116">U13/U39</f>
        <v>11.910994764397905</v>
      </c>
      <c r="V56" s="69">
        <f t="shared" si="116"/>
        <v>13.081260364842455</v>
      </c>
      <c r="W56" s="69">
        <f t="shared" si="116"/>
        <v>14.087480438184663</v>
      </c>
      <c r="X56" s="69">
        <f t="shared" si="116"/>
        <v>15.235163204747774</v>
      </c>
      <c r="Y56" s="49">
        <f t="shared" si="116"/>
        <v>16.492727240003628</v>
      </c>
      <c r="Z56" s="49">
        <f t="shared" si="116"/>
        <v>17.693957146329748</v>
      </c>
      <c r="AA56" s="49">
        <f t="shared" si="116"/>
        <v>18.272919957946439</v>
      </c>
      <c r="AB56" s="49">
        <f t="shared" si="116"/>
        <v>18.865724597529095</v>
      </c>
      <c r="AC56" s="49">
        <f t="shared" si="116"/>
        <v>19.469480402836311</v>
      </c>
      <c r="AD56" s="33"/>
      <c r="AE56" s="69">
        <f t="shared" ref="AE56:AJ56" si="117">AE13/AE39</f>
        <v>7.3302250803858513</v>
      </c>
      <c r="AF56" s="69">
        <f t="shared" si="117"/>
        <v>6.9522691705790294</v>
      </c>
      <c r="AG56" s="69">
        <f t="shared" si="117"/>
        <v>7.8331306990881453</v>
      </c>
      <c r="AH56" s="69">
        <f t="shared" si="117"/>
        <v>7.5879821958456972</v>
      </c>
      <c r="AI56" s="49">
        <f t="shared" si="117"/>
        <v>8.6393134654192494</v>
      </c>
      <c r="AJ56" s="49">
        <f t="shared" si="117"/>
        <v>8.1071558483938944</v>
      </c>
    </row>
    <row r="57" spans="2:36" x14ac:dyDescent="0.2">
      <c r="B57" s="2" t="s">
        <v>137</v>
      </c>
      <c r="C57" s="2"/>
      <c r="D57" s="2"/>
      <c r="E57" s="2"/>
      <c r="F57" s="2"/>
      <c r="G57" s="2"/>
      <c r="H57" s="2"/>
      <c r="I57" s="2"/>
      <c r="J57" s="2"/>
      <c r="K57" s="2"/>
      <c r="L57" s="2"/>
      <c r="M57" s="2"/>
      <c r="N57" s="2"/>
      <c r="O57" s="2"/>
      <c r="P57" s="2"/>
      <c r="Q57" s="2"/>
      <c r="R57" s="2"/>
      <c r="S57" s="61">
        <f t="shared" ref="S57" si="118">S56/R56-1</f>
        <v>3.2244008714596983E-3</v>
      </c>
      <c r="T57" s="61">
        <f t="shared" ref="T57" si="119">T56/S56-1</f>
        <v>-3.8418714653745911E-2</v>
      </c>
      <c r="U57" s="61">
        <f t="shared" ref="U57" si="120">U56/T56-1</f>
        <v>9.7517420171060909E-2</v>
      </c>
      <c r="V57" s="61">
        <f t="shared" ref="V57" si="121">V56/U56-1</f>
        <v>9.8250870191168849E-2</v>
      </c>
      <c r="W57" s="61">
        <f t="shared" ref="W57" si="122">W56/V56-1</f>
        <v>7.6920728223295098E-2</v>
      </c>
      <c r="X57" s="61">
        <f t="shared" ref="X57" si="123">X56/W56-1</f>
        <v>8.1468277567383396E-2</v>
      </c>
      <c r="Y57" s="34">
        <f t="shared" ref="Y57" si="124">Y56/X56-1</f>
        <v>8.2543522399809666E-2</v>
      </c>
      <c r="Z57" s="34">
        <f t="shared" ref="Z57" si="125">Z56/Y56-1</f>
        <v>7.2833915752423151E-2</v>
      </c>
      <c r="AA57" s="34">
        <f t="shared" ref="AA57" si="126">AA56/Z56-1</f>
        <v>3.2720934431379245E-2</v>
      </c>
      <c r="AB57" s="34">
        <f t="shared" ref="AB57" si="127">AB56/AA56-1</f>
        <v>3.2441702855752874E-2</v>
      </c>
      <c r="AC57" s="34">
        <f t="shared" ref="AC57" si="128">AC56/AB56-1</f>
        <v>3.2002789089070616E-2</v>
      </c>
      <c r="AD57" s="33"/>
      <c r="AE57" s="2"/>
      <c r="AF57" s="2"/>
      <c r="AG57" s="61">
        <f>AG56/AE56-1</f>
        <v>6.8607118224509156E-2</v>
      </c>
      <c r="AH57" s="61">
        <f>AH56/AF56-1</f>
        <v>9.1439645052425522E-2</v>
      </c>
      <c r="AI57" s="34">
        <f t="shared" ref="AI57:AJ57" si="129">AI56/AG56-1</f>
        <v>0.10291961123857574</v>
      </c>
      <c r="AJ57" s="34">
        <f t="shared" si="129"/>
        <v>6.8420515381867553E-2</v>
      </c>
    </row>
    <row r="58" spans="2:36" x14ac:dyDescent="0.2">
      <c r="B58" s="2"/>
      <c r="C58" s="2"/>
      <c r="D58" s="2"/>
      <c r="E58" s="2"/>
      <c r="F58" s="2"/>
      <c r="G58" s="2"/>
      <c r="H58" s="2"/>
      <c r="I58" s="2"/>
      <c r="J58" s="2"/>
      <c r="K58" s="2"/>
      <c r="L58" s="2"/>
      <c r="M58" s="2"/>
      <c r="N58" s="2"/>
      <c r="O58" s="2"/>
      <c r="P58" s="2"/>
      <c r="Q58" s="2"/>
      <c r="R58" s="2"/>
      <c r="S58" s="2"/>
      <c r="T58" s="2"/>
      <c r="U58" s="2"/>
      <c r="V58" s="2"/>
      <c r="W58" s="61"/>
      <c r="X58" s="61"/>
      <c r="Y58" s="33"/>
      <c r="Z58" s="33"/>
      <c r="AA58" s="33"/>
      <c r="AB58" s="33"/>
      <c r="AC58" s="33"/>
      <c r="AD58" s="33"/>
      <c r="AE58" s="2"/>
      <c r="AF58" s="2"/>
      <c r="AG58" s="2"/>
      <c r="AH58" s="2"/>
      <c r="AI58" s="33"/>
      <c r="AJ58" s="33"/>
    </row>
    <row r="59" spans="2:36" x14ac:dyDescent="0.2">
      <c r="B59" s="1" t="s">
        <v>1</v>
      </c>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row>
    <row r="60" spans="2:36" s="30" customFormat="1" ht="12.75" customHeight="1" x14ac:dyDescent="0.2">
      <c r="B60" s="157" t="s">
        <v>306</v>
      </c>
      <c r="C60" s="158">
        <f t="shared" ref="C60:H60" si="130">C39</f>
        <v>58</v>
      </c>
      <c r="D60" s="158">
        <f t="shared" si="130"/>
        <v>78</v>
      </c>
      <c r="E60" s="158">
        <f t="shared" si="130"/>
        <v>92</v>
      </c>
      <c r="F60" s="158">
        <f t="shared" si="130"/>
        <v>108</v>
      </c>
      <c r="G60" s="158">
        <f t="shared" si="130"/>
        <v>147</v>
      </c>
      <c r="H60" s="158">
        <f t="shared" si="130"/>
        <v>169</v>
      </c>
      <c r="I60" s="158">
        <v>198</v>
      </c>
      <c r="J60" s="158">
        <v>231</v>
      </c>
      <c r="K60" s="158">
        <v>266</v>
      </c>
      <c r="L60" s="158">
        <v>297</v>
      </c>
      <c r="M60" s="158">
        <v>319</v>
      </c>
      <c r="N60" s="158">
        <v>341</v>
      </c>
      <c r="O60" s="158">
        <v>369</v>
      </c>
      <c r="P60" s="158">
        <v>412</v>
      </c>
      <c r="Q60" s="158">
        <v>446</v>
      </c>
      <c r="R60" s="159">
        <v>470</v>
      </c>
      <c r="S60" s="159">
        <v>495</v>
      </c>
      <c r="T60" s="159">
        <v>516</v>
      </c>
      <c r="U60" s="159">
        <v>529</v>
      </c>
      <c r="V60" s="159">
        <v>548</v>
      </c>
      <c r="W60" s="159">
        <v>567</v>
      </c>
      <c r="X60" s="17">
        <f>X72</f>
        <v>569</v>
      </c>
      <c r="Y60" s="139">
        <f t="shared" ref="Y60:AC60" si="131">Y72</f>
        <v>587</v>
      </c>
      <c r="Z60" s="139">
        <f t="shared" si="131"/>
        <v>605</v>
      </c>
      <c r="AA60" s="139">
        <f t="shared" si="131"/>
        <v>623</v>
      </c>
      <c r="AB60" s="139">
        <f t="shared" si="131"/>
        <v>641</v>
      </c>
      <c r="AC60" s="139">
        <f t="shared" si="131"/>
        <v>659</v>
      </c>
      <c r="AD60" s="130"/>
      <c r="AE60" s="160"/>
      <c r="AF60" s="160"/>
      <c r="AG60" s="17">
        <f t="shared" ref="AG60:AJ60" si="132">AG72</f>
        <v>575</v>
      </c>
      <c r="AH60" s="17">
        <f t="shared" si="132"/>
        <v>569</v>
      </c>
      <c r="AI60" s="139">
        <f t="shared" si="132"/>
        <v>577</v>
      </c>
      <c r="AJ60" s="139">
        <f t="shared" si="132"/>
        <v>587</v>
      </c>
    </row>
    <row r="61" spans="2:36" x14ac:dyDescent="0.2">
      <c r="B61" s="2" t="s">
        <v>137</v>
      </c>
      <c r="C61" s="2"/>
      <c r="D61" s="61">
        <f t="shared" ref="D61:I61" si="133">D60/C60-1</f>
        <v>0.34482758620689657</v>
      </c>
      <c r="E61" s="61">
        <f t="shared" si="133"/>
        <v>0.17948717948717952</v>
      </c>
      <c r="F61" s="61">
        <f t="shared" si="133"/>
        <v>0.17391304347826098</v>
      </c>
      <c r="G61" s="61">
        <f t="shared" si="133"/>
        <v>0.36111111111111116</v>
      </c>
      <c r="H61" s="61">
        <f t="shared" si="133"/>
        <v>0.14965986394557818</v>
      </c>
      <c r="I61" s="61">
        <f t="shared" si="133"/>
        <v>0.17159763313609466</v>
      </c>
      <c r="J61" s="61">
        <f>J60/I60-1</f>
        <v>0.16666666666666674</v>
      </c>
      <c r="K61" s="61">
        <f t="shared" ref="K61" si="134">K60/J60-1</f>
        <v>0.1515151515151516</v>
      </c>
      <c r="L61" s="61">
        <f t="shared" ref="L61" si="135">L60/K60-1</f>
        <v>0.11654135338345872</v>
      </c>
      <c r="M61" s="61">
        <f t="shared" ref="M61" si="136">M60/L60-1</f>
        <v>7.4074074074074181E-2</v>
      </c>
      <c r="N61" s="61">
        <f t="shared" ref="N61" si="137">N60/M60-1</f>
        <v>6.8965517241379226E-2</v>
      </c>
      <c r="O61" s="61">
        <f t="shared" ref="O61" si="138">O60/N60-1</f>
        <v>8.2111436950146555E-2</v>
      </c>
      <c r="P61" s="61">
        <f t="shared" ref="P61" si="139">P60/O60-1</f>
        <v>0.1165311653116532</v>
      </c>
      <c r="Q61" s="61">
        <f t="shared" ref="Q61" si="140">Q60/P60-1</f>
        <v>8.2524271844660158E-2</v>
      </c>
      <c r="R61" s="61">
        <f t="shared" ref="R61" si="141">R60/Q60-1</f>
        <v>5.3811659192825045E-2</v>
      </c>
      <c r="S61" s="61">
        <f t="shared" ref="S61" si="142">S60/R60-1</f>
        <v>5.3191489361702038E-2</v>
      </c>
      <c r="T61" s="61">
        <f t="shared" ref="T61" si="143">T60/S60-1</f>
        <v>4.2424242424242475E-2</v>
      </c>
      <c r="U61" s="61">
        <f t="shared" ref="U61" si="144">U60/T60-1</f>
        <v>2.5193798449612448E-2</v>
      </c>
      <c r="V61" s="61">
        <f t="shared" ref="V61" si="145">V60/U60-1</f>
        <v>3.5916824196597252E-2</v>
      </c>
      <c r="W61" s="61">
        <f t="shared" ref="W61" si="146">W60/V60-1</f>
        <v>3.4671532846715314E-2</v>
      </c>
      <c r="X61" s="61">
        <f t="shared" ref="X61" si="147">X60/W60-1</f>
        <v>3.5273368606703048E-3</v>
      </c>
      <c r="Y61" s="34">
        <f t="shared" ref="Y61" si="148">Y60/X60-1</f>
        <v>3.1634446397188043E-2</v>
      </c>
      <c r="Z61" s="34">
        <f t="shared" ref="Z61" si="149">Z60/Y60-1</f>
        <v>3.0664395229982988E-2</v>
      </c>
      <c r="AA61" s="34">
        <f t="shared" ref="AA61" si="150">AA60/Z60-1</f>
        <v>2.9752066115702469E-2</v>
      </c>
      <c r="AB61" s="34">
        <f t="shared" ref="AB61" si="151">AB60/AA60-1</f>
        <v>2.8892455858748001E-2</v>
      </c>
      <c r="AC61" s="34">
        <f t="shared" ref="AC61" si="152">AC60/AB60-1</f>
        <v>2.808112324492984E-2</v>
      </c>
      <c r="AD61" s="33"/>
      <c r="AE61" s="2"/>
      <c r="AF61" s="2"/>
      <c r="AG61" s="2"/>
      <c r="AH61" s="2"/>
      <c r="AI61" s="34">
        <f t="shared" ref="AI61:AJ61" si="153">AI60/AG60-1</f>
        <v>3.4782608695651529E-3</v>
      </c>
      <c r="AJ61" s="34">
        <f t="shared" si="153"/>
        <v>3.1634446397188043E-2</v>
      </c>
    </row>
    <row r="62" spans="2:36" x14ac:dyDescent="0.2">
      <c r="B62" s="2"/>
      <c r="C62" s="2"/>
      <c r="D62" s="2"/>
      <c r="E62" s="2"/>
      <c r="F62" s="2"/>
      <c r="G62" s="2"/>
      <c r="H62" s="2"/>
      <c r="I62" s="2"/>
      <c r="J62" s="2"/>
      <c r="K62" s="2"/>
      <c r="L62" s="2"/>
      <c r="M62" s="2"/>
      <c r="N62" s="2"/>
      <c r="O62" s="2"/>
      <c r="P62" s="2"/>
      <c r="Q62" s="2"/>
      <c r="R62" s="2"/>
      <c r="S62" s="2"/>
      <c r="T62" s="2"/>
      <c r="U62" s="2"/>
      <c r="V62" s="2"/>
      <c r="W62" s="2"/>
      <c r="X62" s="2"/>
      <c r="Y62" s="33"/>
      <c r="Z62" s="33"/>
      <c r="AA62" s="33"/>
      <c r="AB62" s="33"/>
      <c r="AC62" s="33"/>
      <c r="AD62" s="33"/>
      <c r="AE62" s="2"/>
      <c r="AF62" s="2"/>
      <c r="AG62" s="2"/>
      <c r="AH62" s="2"/>
      <c r="AI62" s="33"/>
      <c r="AJ62" s="33"/>
    </row>
    <row r="63" spans="2:36" x14ac:dyDescent="0.2">
      <c r="B63" s="3" t="s">
        <v>308</v>
      </c>
      <c r="C63" s="2"/>
      <c r="D63" s="2"/>
      <c r="E63" s="2"/>
      <c r="F63" s="2"/>
      <c r="G63" s="2"/>
      <c r="H63" s="2"/>
      <c r="I63" s="2"/>
      <c r="J63" s="2"/>
      <c r="K63" s="2"/>
      <c r="L63" s="2"/>
      <c r="M63" s="2"/>
      <c r="N63" s="2"/>
      <c r="O63" s="2"/>
      <c r="P63" s="2"/>
      <c r="Q63" s="2"/>
      <c r="R63" s="2"/>
      <c r="S63" s="2"/>
      <c r="T63" s="2"/>
      <c r="U63" s="2"/>
      <c r="V63" s="2"/>
      <c r="W63" s="2"/>
      <c r="X63" s="2"/>
      <c r="Y63" s="33"/>
      <c r="Z63" s="33"/>
      <c r="AA63" s="33"/>
      <c r="AB63" s="33"/>
      <c r="AC63" s="33"/>
      <c r="AD63" s="33"/>
      <c r="AE63" s="2"/>
      <c r="AF63" s="2"/>
      <c r="AG63" s="2"/>
      <c r="AH63" s="2"/>
      <c r="AI63" s="33"/>
      <c r="AJ63" s="33"/>
    </row>
    <row r="64" spans="2:36" x14ac:dyDescent="0.2">
      <c r="B64" s="2" t="s">
        <v>346</v>
      </c>
      <c r="C64" s="2"/>
      <c r="D64" s="2"/>
      <c r="E64" s="2"/>
      <c r="F64" s="2"/>
      <c r="G64" s="2"/>
      <c r="H64" s="2"/>
      <c r="I64" s="2"/>
      <c r="J64" s="2"/>
      <c r="K64" s="2"/>
      <c r="L64" s="2"/>
      <c r="M64" s="2"/>
      <c r="N64" s="2"/>
      <c r="O64" s="2"/>
      <c r="P64" s="2"/>
      <c r="Q64" s="2"/>
      <c r="R64" s="2"/>
      <c r="S64" s="153">
        <v>209</v>
      </c>
      <c r="T64" s="153">
        <v>213</v>
      </c>
      <c r="U64" s="153">
        <v>219</v>
      </c>
      <c r="V64" s="153">
        <v>231</v>
      </c>
      <c r="W64" s="153">
        <f>206+20+13</f>
        <v>239</v>
      </c>
      <c r="X64" s="153">
        <f>213+13+11</f>
        <v>237</v>
      </c>
      <c r="Y64" s="33">
        <f>X64+Y75</f>
        <v>242</v>
      </c>
      <c r="Z64" s="33">
        <f t="shared" ref="Z64:AC64" si="154">Y64+Z75</f>
        <v>247</v>
      </c>
      <c r="AA64" s="33">
        <f t="shared" si="154"/>
        <v>252</v>
      </c>
      <c r="AB64" s="33">
        <f t="shared" si="154"/>
        <v>257</v>
      </c>
      <c r="AC64" s="33">
        <f t="shared" si="154"/>
        <v>262</v>
      </c>
      <c r="AD64" s="33"/>
      <c r="AE64" s="2"/>
      <c r="AF64" s="2"/>
      <c r="AG64" s="153">
        <f>209+24+12</f>
        <v>245</v>
      </c>
      <c r="AH64" s="2">
        <f t="shared" ref="AH64:AH71" si="155">X64</f>
        <v>237</v>
      </c>
      <c r="AI64" s="33">
        <f>AH64+AI75</f>
        <v>239</v>
      </c>
      <c r="AJ64" s="33">
        <f>AI64+AJ75</f>
        <v>242</v>
      </c>
    </row>
    <row r="65" spans="2:36" x14ac:dyDescent="0.2">
      <c r="B65" s="2" t="s">
        <v>347</v>
      </c>
      <c r="C65" s="2"/>
      <c r="D65" s="2"/>
      <c r="E65" s="2"/>
      <c r="F65" s="2"/>
      <c r="G65" s="2"/>
      <c r="H65" s="2"/>
      <c r="I65" s="2"/>
      <c r="J65" s="2"/>
      <c r="K65" s="2"/>
      <c r="L65" s="2"/>
      <c r="M65" s="2"/>
      <c r="N65" s="2"/>
      <c r="O65" s="2"/>
      <c r="P65" s="2"/>
      <c r="Q65" s="2"/>
      <c r="R65" s="2"/>
      <c r="S65" s="153">
        <v>119</v>
      </c>
      <c r="T65" s="153">
        <v>122</v>
      </c>
      <c r="U65" s="153">
        <v>123</v>
      </c>
      <c r="V65" s="153">
        <v>125</v>
      </c>
      <c r="W65" s="153">
        <f>120+1+8</f>
        <v>129</v>
      </c>
      <c r="X65" s="153">
        <f>123+6</f>
        <v>129</v>
      </c>
      <c r="Y65" s="33">
        <f t="shared" ref="Y65:AC65" si="156">X65+Y76</f>
        <v>132</v>
      </c>
      <c r="Z65" s="33">
        <f t="shared" si="156"/>
        <v>135</v>
      </c>
      <c r="AA65" s="33">
        <f t="shared" si="156"/>
        <v>138</v>
      </c>
      <c r="AB65" s="33">
        <f t="shared" si="156"/>
        <v>141</v>
      </c>
      <c r="AC65" s="33">
        <f t="shared" si="156"/>
        <v>144</v>
      </c>
      <c r="AD65" s="33"/>
      <c r="AE65" s="2"/>
      <c r="AF65" s="2"/>
      <c r="AG65" s="153">
        <f>122+1+6</f>
        <v>129</v>
      </c>
      <c r="AH65" s="2">
        <f t="shared" si="155"/>
        <v>129</v>
      </c>
      <c r="AI65" s="33">
        <f t="shared" ref="AI65:AJ71" si="157">AH65+AI76</f>
        <v>130</v>
      </c>
      <c r="AJ65" s="33">
        <f t="shared" si="157"/>
        <v>132</v>
      </c>
    </row>
    <row r="66" spans="2:36" x14ac:dyDescent="0.2">
      <c r="B66" s="2" t="s">
        <v>348</v>
      </c>
      <c r="C66" s="2"/>
      <c r="D66" s="2"/>
      <c r="E66" s="2"/>
      <c r="F66" s="2"/>
      <c r="G66" s="2"/>
      <c r="H66" s="2"/>
      <c r="I66" s="2"/>
      <c r="J66" s="2"/>
      <c r="K66" s="2"/>
      <c r="L66" s="2"/>
      <c r="M66" s="2"/>
      <c r="N66" s="2"/>
      <c r="O66" s="2"/>
      <c r="P66" s="2"/>
      <c r="Q66" s="2"/>
      <c r="R66" s="2"/>
      <c r="S66" s="153">
        <v>79</v>
      </c>
      <c r="T66" s="153">
        <v>86</v>
      </c>
      <c r="U66" s="153">
        <v>91</v>
      </c>
      <c r="V66" s="153">
        <v>94</v>
      </c>
      <c r="W66" s="153">
        <f>90+6</f>
        <v>96</v>
      </c>
      <c r="X66" s="153">
        <f>96+1</f>
        <v>97</v>
      </c>
      <c r="Y66" s="33">
        <f t="shared" ref="Y66:AC66" si="158">X66+Y77</f>
        <v>101</v>
      </c>
      <c r="Z66" s="33">
        <f t="shared" si="158"/>
        <v>105</v>
      </c>
      <c r="AA66" s="33">
        <f t="shared" si="158"/>
        <v>109</v>
      </c>
      <c r="AB66" s="33">
        <f t="shared" si="158"/>
        <v>113</v>
      </c>
      <c r="AC66" s="33">
        <f t="shared" si="158"/>
        <v>117</v>
      </c>
      <c r="AD66" s="33"/>
      <c r="AE66" s="2"/>
      <c r="AF66" s="2"/>
      <c r="AG66" s="153">
        <f>94+3</f>
        <v>97</v>
      </c>
      <c r="AH66" s="2">
        <f t="shared" si="155"/>
        <v>97</v>
      </c>
      <c r="AI66" s="33">
        <f t="shared" si="157"/>
        <v>99</v>
      </c>
      <c r="AJ66" s="33">
        <f t="shared" si="157"/>
        <v>101</v>
      </c>
    </row>
    <row r="67" spans="2:36" x14ac:dyDescent="0.2">
      <c r="B67" s="2" t="s">
        <v>349</v>
      </c>
      <c r="C67" s="2"/>
      <c r="D67" s="2"/>
      <c r="E67" s="2"/>
      <c r="F67" s="2"/>
      <c r="G67" s="2"/>
      <c r="H67" s="2"/>
      <c r="I67" s="2"/>
      <c r="J67" s="2"/>
      <c r="K67" s="2"/>
      <c r="L67" s="2"/>
      <c r="M67" s="2"/>
      <c r="N67" s="2"/>
      <c r="O67" s="2"/>
      <c r="P67" s="2"/>
      <c r="Q67" s="2"/>
      <c r="R67" s="2"/>
      <c r="S67" s="153">
        <v>29</v>
      </c>
      <c r="T67" s="153">
        <v>34</v>
      </c>
      <c r="U67" s="153">
        <v>35</v>
      </c>
      <c r="V67" s="153">
        <v>37</v>
      </c>
      <c r="W67" s="153">
        <v>40</v>
      </c>
      <c r="X67" s="153">
        <v>43</v>
      </c>
      <c r="Y67" s="33">
        <f t="shared" ref="Y67:AC67" si="159">X67+Y78</f>
        <v>45</v>
      </c>
      <c r="Z67" s="33">
        <f t="shared" si="159"/>
        <v>47</v>
      </c>
      <c r="AA67" s="33">
        <f t="shared" si="159"/>
        <v>49</v>
      </c>
      <c r="AB67" s="33">
        <f t="shared" si="159"/>
        <v>51</v>
      </c>
      <c r="AC67" s="33">
        <f t="shared" si="159"/>
        <v>53</v>
      </c>
      <c r="AD67" s="33"/>
      <c r="AE67" s="2"/>
      <c r="AF67" s="2"/>
      <c r="AG67" s="153">
        <v>41</v>
      </c>
      <c r="AH67" s="2">
        <f t="shared" si="155"/>
        <v>43</v>
      </c>
      <c r="AI67" s="33">
        <f t="shared" si="157"/>
        <v>44</v>
      </c>
      <c r="AJ67" s="33">
        <f t="shared" si="157"/>
        <v>45</v>
      </c>
    </row>
    <row r="68" spans="2:36" x14ac:dyDescent="0.2">
      <c r="B68" s="2" t="s">
        <v>350</v>
      </c>
      <c r="C68" s="2"/>
      <c r="D68" s="2"/>
      <c r="E68" s="2"/>
      <c r="F68" s="2"/>
      <c r="G68" s="2"/>
      <c r="H68" s="2"/>
      <c r="I68" s="2"/>
      <c r="J68" s="2"/>
      <c r="K68" s="2"/>
      <c r="L68" s="2"/>
      <c r="M68" s="2"/>
      <c r="N68" s="2"/>
      <c r="O68" s="2"/>
      <c r="P68" s="2"/>
      <c r="Q68" s="2"/>
      <c r="R68" s="2"/>
      <c r="S68" s="153">
        <v>28</v>
      </c>
      <c r="T68" s="153">
        <v>29</v>
      </c>
      <c r="U68" s="153">
        <v>29</v>
      </c>
      <c r="V68" s="153">
        <v>30</v>
      </c>
      <c r="W68" s="153">
        <f>29+1</f>
        <v>30</v>
      </c>
      <c r="X68" s="153">
        <f>30+1</f>
        <v>31</v>
      </c>
      <c r="Y68" s="33">
        <f t="shared" ref="Y68:AC68" si="160">X68+Y79</f>
        <v>32</v>
      </c>
      <c r="Z68" s="33">
        <f t="shared" si="160"/>
        <v>33</v>
      </c>
      <c r="AA68" s="33">
        <f t="shared" si="160"/>
        <v>34</v>
      </c>
      <c r="AB68" s="33">
        <f t="shared" si="160"/>
        <v>35</v>
      </c>
      <c r="AC68" s="33">
        <f t="shared" si="160"/>
        <v>36</v>
      </c>
      <c r="AD68" s="33"/>
      <c r="AE68" s="2"/>
      <c r="AF68" s="2"/>
      <c r="AG68" s="153">
        <f>29+1</f>
        <v>30</v>
      </c>
      <c r="AH68" s="2">
        <f t="shared" si="155"/>
        <v>31</v>
      </c>
      <c r="AI68" s="33">
        <f t="shared" si="157"/>
        <v>31</v>
      </c>
      <c r="AJ68" s="33">
        <f t="shared" si="157"/>
        <v>32</v>
      </c>
    </row>
    <row r="69" spans="2:36" x14ac:dyDescent="0.2">
      <c r="B69" s="2" t="s">
        <v>351</v>
      </c>
      <c r="C69" s="2"/>
      <c r="D69" s="2"/>
      <c r="E69" s="2"/>
      <c r="F69" s="2"/>
      <c r="G69" s="2"/>
      <c r="H69" s="2"/>
      <c r="I69" s="2"/>
      <c r="J69" s="2"/>
      <c r="K69" s="2"/>
      <c r="L69" s="2"/>
      <c r="M69" s="2"/>
      <c r="N69" s="2"/>
      <c r="O69" s="2"/>
      <c r="P69" s="2"/>
      <c r="Q69" s="2"/>
      <c r="R69" s="2"/>
      <c r="S69" s="153">
        <v>18</v>
      </c>
      <c r="T69" s="153">
        <v>18</v>
      </c>
      <c r="U69" s="153">
        <v>18</v>
      </c>
      <c r="V69" s="153">
        <v>18</v>
      </c>
      <c r="W69" s="153">
        <v>18</v>
      </c>
      <c r="X69" s="153">
        <v>18</v>
      </c>
      <c r="Y69" s="33">
        <f t="shared" ref="Y69:AC69" si="161">X69+Y80</f>
        <v>19</v>
      </c>
      <c r="Z69" s="33">
        <f t="shared" si="161"/>
        <v>20</v>
      </c>
      <c r="AA69" s="33">
        <f t="shared" si="161"/>
        <v>21</v>
      </c>
      <c r="AB69" s="33">
        <f t="shared" si="161"/>
        <v>22</v>
      </c>
      <c r="AC69" s="33">
        <f t="shared" si="161"/>
        <v>23</v>
      </c>
      <c r="AD69" s="33"/>
      <c r="AE69" s="2"/>
      <c r="AF69" s="2"/>
      <c r="AG69" s="153">
        <v>18</v>
      </c>
      <c r="AH69" s="2">
        <f t="shared" si="155"/>
        <v>18</v>
      </c>
      <c r="AI69" s="33">
        <f t="shared" si="157"/>
        <v>19</v>
      </c>
      <c r="AJ69" s="33">
        <f t="shared" si="157"/>
        <v>19</v>
      </c>
    </row>
    <row r="70" spans="2:36" x14ac:dyDescent="0.2">
      <c r="B70" s="2" t="s">
        <v>352</v>
      </c>
      <c r="C70" s="2"/>
      <c r="D70" s="2"/>
      <c r="E70" s="2"/>
      <c r="F70" s="2"/>
      <c r="G70" s="2"/>
      <c r="H70" s="2"/>
      <c r="I70" s="2"/>
      <c r="J70" s="2"/>
      <c r="K70" s="2"/>
      <c r="L70" s="2"/>
      <c r="M70" s="2"/>
      <c r="N70" s="2"/>
      <c r="O70" s="2"/>
      <c r="P70" s="2"/>
      <c r="Q70" s="2"/>
      <c r="R70" s="2"/>
      <c r="S70" s="153">
        <v>4</v>
      </c>
      <c r="T70" s="153">
        <v>6</v>
      </c>
      <c r="U70" s="153">
        <v>6</v>
      </c>
      <c r="V70" s="153">
        <v>6</v>
      </c>
      <c r="W70" s="153">
        <f>5+1</f>
        <v>6</v>
      </c>
      <c r="X70" s="153">
        <v>5</v>
      </c>
      <c r="Y70" s="33">
        <f t="shared" ref="Y70:AC70" si="162">X70+Y81</f>
        <v>6</v>
      </c>
      <c r="Z70" s="33">
        <f t="shared" si="162"/>
        <v>7</v>
      </c>
      <c r="AA70" s="33">
        <f t="shared" si="162"/>
        <v>8</v>
      </c>
      <c r="AB70" s="33">
        <f t="shared" si="162"/>
        <v>9</v>
      </c>
      <c r="AC70" s="33">
        <f t="shared" si="162"/>
        <v>10</v>
      </c>
      <c r="AD70" s="33"/>
      <c r="AE70" s="2"/>
      <c r="AF70" s="2"/>
      <c r="AG70" s="153">
        <f>5+1</f>
        <v>6</v>
      </c>
      <c r="AH70" s="2">
        <f t="shared" si="155"/>
        <v>5</v>
      </c>
      <c r="AI70" s="33">
        <f t="shared" si="157"/>
        <v>5</v>
      </c>
      <c r="AJ70" s="33">
        <f t="shared" si="157"/>
        <v>6</v>
      </c>
    </row>
    <row r="71" spans="2:36" x14ac:dyDescent="0.2">
      <c r="B71" s="2" t="s">
        <v>353</v>
      </c>
      <c r="C71" s="2"/>
      <c r="D71" s="2"/>
      <c r="E71" s="2"/>
      <c r="F71" s="2"/>
      <c r="G71" s="2"/>
      <c r="H71" s="2"/>
      <c r="I71" s="2"/>
      <c r="J71" s="2"/>
      <c r="K71" s="2"/>
      <c r="L71" s="2"/>
      <c r="M71" s="2"/>
      <c r="N71" s="2"/>
      <c r="O71" s="2"/>
      <c r="P71" s="2"/>
      <c r="Q71" s="2"/>
      <c r="R71" s="2"/>
      <c r="S71" s="153">
        <v>9</v>
      </c>
      <c r="T71" s="153">
        <v>8</v>
      </c>
      <c r="U71" s="153">
        <v>8</v>
      </c>
      <c r="V71" s="153">
        <v>8</v>
      </c>
      <c r="W71" s="153">
        <v>9</v>
      </c>
      <c r="X71" s="153">
        <v>9</v>
      </c>
      <c r="Y71" s="33">
        <f t="shared" ref="Y71:AC71" si="163">X71+Y82</f>
        <v>10</v>
      </c>
      <c r="Z71" s="33">
        <f t="shared" si="163"/>
        <v>11</v>
      </c>
      <c r="AA71" s="33">
        <f t="shared" si="163"/>
        <v>12</v>
      </c>
      <c r="AB71" s="33">
        <f t="shared" si="163"/>
        <v>13</v>
      </c>
      <c r="AC71" s="33">
        <f t="shared" si="163"/>
        <v>14</v>
      </c>
      <c r="AD71" s="33"/>
      <c r="AE71" s="2"/>
      <c r="AF71" s="2"/>
      <c r="AG71" s="153">
        <v>9</v>
      </c>
      <c r="AH71" s="2">
        <f t="shared" si="155"/>
        <v>9</v>
      </c>
      <c r="AI71" s="33">
        <f t="shared" si="157"/>
        <v>10</v>
      </c>
      <c r="AJ71" s="33">
        <f t="shared" si="157"/>
        <v>10</v>
      </c>
    </row>
    <row r="72" spans="2:36" x14ac:dyDescent="0.2">
      <c r="B72" s="3" t="s">
        <v>297</v>
      </c>
      <c r="C72" s="2"/>
      <c r="D72" s="2"/>
      <c r="E72" s="2"/>
      <c r="F72" s="2"/>
      <c r="G72" s="2"/>
      <c r="H72" s="2"/>
      <c r="I72" s="2"/>
      <c r="J72" s="2"/>
      <c r="K72" s="2"/>
      <c r="L72" s="2"/>
      <c r="M72" s="2"/>
      <c r="N72" s="2"/>
      <c r="O72" s="2"/>
      <c r="P72" s="2"/>
      <c r="Q72" s="2"/>
      <c r="R72" s="2"/>
      <c r="S72" s="3">
        <f t="shared" ref="S72:V72" si="164">SUM(S64:S71)</f>
        <v>495</v>
      </c>
      <c r="T72" s="3">
        <f t="shared" si="164"/>
        <v>516</v>
      </c>
      <c r="U72" s="3">
        <f t="shared" si="164"/>
        <v>529</v>
      </c>
      <c r="V72" s="3">
        <f t="shared" si="164"/>
        <v>549</v>
      </c>
      <c r="W72" s="64">
        <f>W60</f>
        <v>567</v>
      </c>
      <c r="X72" s="3">
        <f>SUM(X64:X71)</f>
        <v>569</v>
      </c>
      <c r="Y72" s="46">
        <f t="shared" ref="Y72:AC72" si="165">SUM(Y64:Y71)</f>
        <v>587</v>
      </c>
      <c r="Z72" s="46">
        <f t="shared" si="165"/>
        <v>605</v>
      </c>
      <c r="AA72" s="46">
        <f t="shared" si="165"/>
        <v>623</v>
      </c>
      <c r="AB72" s="46">
        <f t="shared" si="165"/>
        <v>641</v>
      </c>
      <c r="AC72" s="46">
        <f t="shared" si="165"/>
        <v>659</v>
      </c>
      <c r="AD72" s="33"/>
      <c r="AE72" s="2"/>
      <c r="AF72" s="2"/>
      <c r="AG72" s="3">
        <f>SUM(AG64:AG71)</f>
        <v>575</v>
      </c>
      <c r="AH72" s="3">
        <f>X72</f>
        <v>569</v>
      </c>
      <c r="AI72" s="46">
        <f>SUM(AI64:AI71)</f>
        <v>577</v>
      </c>
      <c r="AJ72" s="46">
        <f>SUM(AJ64:AJ71)</f>
        <v>587</v>
      </c>
    </row>
    <row r="73" spans="2:36" x14ac:dyDescent="0.2">
      <c r="B73" s="3"/>
      <c r="C73" s="2"/>
      <c r="D73" s="2"/>
      <c r="E73" s="2"/>
      <c r="F73" s="2"/>
      <c r="G73" s="2"/>
      <c r="H73" s="2"/>
      <c r="I73" s="2"/>
      <c r="J73" s="2"/>
      <c r="K73" s="2"/>
      <c r="L73" s="2"/>
      <c r="M73" s="2"/>
      <c r="N73" s="2"/>
      <c r="O73" s="2"/>
      <c r="P73" s="2"/>
      <c r="Q73" s="2"/>
      <c r="R73" s="2"/>
      <c r="S73" s="2"/>
      <c r="T73" s="2"/>
      <c r="U73" s="2"/>
      <c r="V73" s="2"/>
      <c r="W73" s="2"/>
      <c r="X73" s="2"/>
      <c r="Y73" s="33"/>
      <c r="Z73" s="33"/>
      <c r="AA73" s="33"/>
      <c r="AB73" s="33"/>
      <c r="AC73" s="33"/>
      <c r="AD73" s="33"/>
      <c r="AE73" s="2"/>
      <c r="AF73" s="2"/>
      <c r="AG73" s="2"/>
      <c r="AH73" s="2"/>
      <c r="AI73" s="33"/>
      <c r="AJ73" s="33"/>
    </row>
    <row r="74" spans="2:36" x14ac:dyDescent="0.2">
      <c r="B74" s="3" t="s">
        <v>307</v>
      </c>
      <c r="C74" s="2"/>
      <c r="D74" s="2"/>
      <c r="E74" s="2"/>
      <c r="F74" s="2"/>
      <c r="G74" s="2"/>
      <c r="H74" s="2"/>
      <c r="I74" s="2"/>
      <c r="J74" s="2"/>
      <c r="K74" s="2"/>
      <c r="L74" s="2"/>
      <c r="M74" s="2"/>
      <c r="N74" s="2"/>
      <c r="O74" s="2"/>
      <c r="P74" s="2"/>
      <c r="Q74" s="2"/>
      <c r="R74" s="2"/>
      <c r="S74" s="2"/>
      <c r="T74" s="2"/>
      <c r="U74" s="2"/>
      <c r="V74" s="2"/>
      <c r="W74" s="2"/>
      <c r="X74" s="2"/>
      <c r="Y74" s="33"/>
      <c r="Z74" s="33"/>
      <c r="AA74" s="33"/>
      <c r="AB74" s="33"/>
      <c r="AC74" s="33"/>
      <c r="AD74" s="33"/>
      <c r="AE74" s="2"/>
      <c r="AF74" s="2"/>
      <c r="AG74" s="2"/>
      <c r="AH74" s="2"/>
      <c r="AI74" s="33"/>
      <c r="AJ74" s="33"/>
    </row>
    <row r="75" spans="2:36" x14ac:dyDescent="0.2">
      <c r="B75" s="2" t="s">
        <v>346</v>
      </c>
      <c r="C75" s="2"/>
      <c r="D75" s="2"/>
      <c r="E75" s="2"/>
      <c r="F75" s="2"/>
      <c r="G75" s="2"/>
      <c r="H75" s="2"/>
      <c r="I75" s="2"/>
      <c r="J75" s="2"/>
      <c r="K75" s="2"/>
      <c r="L75" s="2"/>
      <c r="M75" s="2"/>
      <c r="N75" s="2"/>
      <c r="O75" s="2"/>
      <c r="P75" s="2"/>
      <c r="Q75" s="2"/>
      <c r="R75" s="2"/>
      <c r="S75" s="2"/>
      <c r="T75" s="2">
        <f t="shared" ref="T75:X83" si="166">T64-S64</f>
        <v>4</v>
      </c>
      <c r="U75" s="2">
        <f t="shared" si="166"/>
        <v>6</v>
      </c>
      <c r="V75" s="2">
        <f t="shared" si="166"/>
        <v>12</v>
      </c>
      <c r="W75" s="2">
        <f t="shared" si="166"/>
        <v>8</v>
      </c>
      <c r="X75" s="2">
        <f t="shared" si="166"/>
        <v>-2</v>
      </c>
      <c r="Y75" s="47">
        <v>5</v>
      </c>
      <c r="Z75" s="47">
        <v>5</v>
      </c>
      <c r="AA75" s="47">
        <v>5</v>
      </c>
      <c r="AB75" s="47">
        <v>5</v>
      </c>
      <c r="AC75" s="47">
        <v>5</v>
      </c>
      <c r="AD75" s="33"/>
      <c r="AE75" s="2"/>
      <c r="AF75" s="2"/>
      <c r="AG75" s="2"/>
      <c r="AH75" s="2"/>
      <c r="AI75" s="47">
        <v>2</v>
      </c>
      <c r="AJ75" s="33">
        <f>Y75-AI75</f>
        <v>3</v>
      </c>
    </row>
    <row r="76" spans="2:36" x14ac:dyDescent="0.2">
      <c r="B76" s="2" t="s">
        <v>347</v>
      </c>
      <c r="C76" s="2"/>
      <c r="D76" s="2"/>
      <c r="E76" s="2"/>
      <c r="F76" s="2"/>
      <c r="G76" s="2"/>
      <c r="H76" s="2"/>
      <c r="I76" s="2"/>
      <c r="J76" s="2"/>
      <c r="K76" s="2"/>
      <c r="L76" s="2"/>
      <c r="M76" s="2"/>
      <c r="N76" s="2"/>
      <c r="O76" s="2"/>
      <c r="P76" s="2"/>
      <c r="Q76" s="2"/>
      <c r="R76" s="2"/>
      <c r="S76" s="2"/>
      <c r="T76" s="2">
        <f t="shared" si="166"/>
        <v>3</v>
      </c>
      <c r="U76" s="2">
        <f t="shared" si="166"/>
        <v>1</v>
      </c>
      <c r="V76" s="2">
        <f t="shared" si="166"/>
        <v>2</v>
      </c>
      <c r="W76" s="2">
        <f t="shared" si="166"/>
        <v>4</v>
      </c>
      <c r="X76" s="2">
        <f t="shared" si="166"/>
        <v>0</v>
      </c>
      <c r="Y76" s="47">
        <v>3</v>
      </c>
      <c r="Z76" s="47">
        <v>3</v>
      </c>
      <c r="AA76" s="47">
        <v>3</v>
      </c>
      <c r="AB76" s="47">
        <v>3</v>
      </c>
      <c r="AC76" s="47">
        <v>3</v>
      </c>
      <c r="AD76" s="33"/>
      <c r="AE76" s="2"/>
      <c r="AF76" s="2"/>
      <c r="AG76" s="2"/>
      <c r="AH76" s="2"/>
      <c r="AI76" s="47">
        <v>1</v>
      </c>
      <c r="AJ76" s="33">
        <f t="shared" ref="AJ76:AJ83" si="167">Y76-AI76</f>
        <v>2</v>
      </c>
    </row>
    <row r="77" spans="2:36" x14ac:dyDescent="0.2">
      <c r="B77" s="2" t="s">
        <v>348</v>
      </c>
      <c r="C77" s="2"/>
      <c r="D77" s="2"/>
      <c r="E77" s="2"/>
      <c r="F77" s="2"/>
      <c r="G77" s="2"/>
      <c r="H77" s="2"/>
      <c r="I77" s="2"/>
      <c r="J77" s="2"/>
      <c r="K77" s="2"/>
      <c r="L77" s="2"/>
      <c r="M77" s="2"/>
      <c r="N77" s="2"/>
      <c r="O77" s="2"/>
      <c r="P77" s="2"/>
      <c r="Q77" s="2"/>
      <c r="R77" s="2"/>
      <c r="S77" s="2"/>
      <c r="T77" s="2">
        <f t="shared" si="166"/>
        <v>7</v>
      </c>
      <c r="U77" s="2">
        <f t="shared" si="166"/>
        <v>5</v>
      </c>
      <c r="V77" s="2">
        <f t="shared" si="166"/>
        <v>3</v>
      </c>
      <c r="W77" s="2">
        <f t="shared" si="166"/>
        <v>2</v>
      </c>
      <c r="X77" s="2">
        <f t="shared" si="166"/>
        <v>1</v>
      </c>
      <c r="Y77" s="47">
        <v>4</v>
      </c>
      <c r="Z77" s="47">
        <v>4</v>
      </c>
      <c r="AA77" s="47">
        <v>4</v>
      </c>
      <c r="AB77" s="47">
        <v>4</v>
      </c>
      <c r="AC77" s="47">
        <v>4</v>
      </c>
      <c r="AD77" s="33"/>
      <c r="AE77" s="2"/>
      <c r="AF77" s="2"/>
      <c r="AG77" s="2"/>
      <c r="AH77" s="2"/>
      <c r="AI77" s="47">
        <v>2</v>
      </c>
      <c r="AJ77" s="33">
        <f t="shared" si="167"/>
        <v>2</v>
      </c>
    </row>
    <row r="78" spans="2:36" x14ac:dyDescent="0.2">
      <c r="B78" s="2" t="s">
        <v>349</v>
      </c>
      <c r="C78" s="2"/>
      <c r="D78" s="2"/>
      <c r="E78" s="2"/>
      <c r="F78" s="2"/>
      <c r="G78" s="2"/>
      <c r="H78" s="2"/>
      <c r="I78" s="2"/>
      <c r="J78" s="2"/>
      <c r="K78" s="2"/>
      <c r="L78" s="2"/>
      <c r="M78" s="2"/>
      <c r="N78" s="2"/>
      <c r="O78" s="2"/>
      <c r="P78" s="2"/>
      <c r="Q78" s="2"/>
      <c r="R78" s="2"/>
      <c r="S78" s="2"/>
      <c r="T78" s="2">
        <f t="shared" si="166"/>
        <v>5</v>
      </c>
      <c r="U78" s="2">
        <f t="shared" si="166"/>
        <v>1</v>
      </c>
      <c r="V78" s="2">
        <f t="shared" si="166"/>
        <v>2</v>
      </c>
      <c r="W78" s="2">
        <f t="shared" si="166"/>
        <v>3</v>
      </c>
      <c r="X78" s="2">
        <f t="shared" si="166"/>
        <v>3</v>
      </c>
      <c r="Y78" s="47">
        <v>2</v>
      </c>
      <c r="Z78" s="47">
        <v>2</v>
      </c>
      <c r="AA78" s="47">
        <v>2</v>
      </c>
      <c r="AB78" s="47">
        <v>2</v>
      </c>
      <c r="AC78" s="47">
        <v>2</v>
      </c>
      <c r="AD78" s="33"/>
      <c r="AE78" s="2"/>
      <c r="AF78" s="2"/>
      <c r="AG78" s="2"/>
      <c r="AH78" s="2"/>
      <c r="AI78" s="47">
        <v>1</v>
      </c>
      <c r="AJ78" s="33">
        <f t="shared" si="167"/>
        <v>1</v>
      </c>
    </row>
    <row r="79" spans="2:36" x14ac:dyDescent="0.2">
      <c r="B79" s="2" t="s">
        <v>350</v>
      </c>
      <c r="C79" s="2"/>
      <c r="D79" s="2"/>
      <c r="E79" s="2"/>
      <c r="F79" s="2"/>
      <c r="G79" s="2"/>
      <c r="H79" s="2"/>
      <c r="I79" s="2"/>
      <c r="J79" s="2"/>
      <c r="K79" s="2"/>
      <c r="L79" s="2"/>
      <c r="M79" s="2"/>
      <c r="N79" s="2"/>
      <c r="O79" s="2"/>
      <c r="P79" s="2"/>
      <c r="Q79" s="2"/>
      <c r="R79" s="2"/>
      <c r="S79" s="2"/>
      <c r="T79" s="2">
        <f t="shared" si="166"/>
        <v>1</v>
      </c>
      <c r="U79" s="2">
        <f t="shared" si="166"/>
        <v>0</v>
      </c>
      <c r="V79" s="2">
        <f t="shared" si="166"/>
        <v>1</v>
      </c>
      <c r="W79" s="2">
        <f t="shared" si="166"/>
        <v>0</v>
      </c>
      <c r="X79" s="2">
        <f t="shared" si="166"/>
        <v>1</v>
      </c>
      <c r="Y79" s="47">
        <v>1</v>
      </c>
      <c r="Z79" s="47">
        <v>1</v>
      </c>
      <c r="AA79" s="47">
        <v>1</v>
      </c>
      <c r="AB79" s="47">
        <v>1</v>
      </c>
      <c r="AC79" s="47">
        <v>1</v>
      </c>
      <c r="AD79" s="33"/>
      <c r="AE79" s="2"/>
      <c r="AF79" s="2"/>
      <c r="AG79" s="2"/>
      <c r="AH79" s="2"/>
      <c r="AI79" s="47">
        <v>0</v>
      </c>
      <c r="AJ79" s="33">
        <f t="shared" si="167"/>
        <v>1</v>
      </c>
    </row>
    <row r="80" spans="2:36" x14ac:dyDescent="0.2">
      <c r="B80" s="2" t="s">
        <v>351</v>
      </c>
      <c r="C80" s="2"/>
      <c r="D80" s="2"/>
      <c r="E80" s="2"/>
      <c r="F80" s="2"/>
      <c r="G80" s="2"/>
      <c r="H80" s="2"/>
      <c r="I80" s="2"/>
      <c r="J80" s="2"/>
      <c r="K80" s="2"/>
      <c r="L80" s="2"/>
      <c r="M80" s="2"/>
      <c r="N80" s="2"/>
      <c r="O80" s="2"/>
      <c r="P80" s="2"/>
      <c r="Q80" s="2"/>
      <c r="R80" s="2"/>
      <c r="S80" s="2"/>
      <c r="T80" s="2">
        <f t="shared" si="166"/>
        <v>0</v>
      </c>
      <c r="U80" s="2">
        <f t="shared" si="166"/>
        <v>0</v>
      </c>
      <c r="V80" s="2">
        <f t="shared" si="166"/>
        <v>0</v>
      </c>
      <c r="W80" s="2">
        <f t="shared" si="166"/>
        <v>0</v>
      </c>
      <c r="X80" s="2">
        <f t="shared" si="166"/>
        <v>0</v>
      </c>
      <c r="Y80" s="47">
        <v>1</v>
      </c>
      <c r="Z80" s="47">
        <v>1</v>
      </c>
      <c r="AA80" s="47">
        <v>1</v>
      </c>
      <c r="AB80" s="47">
        <v>1</v>
      </c>
      <c r="AC80" s="47">
        <v>1</v>
      </c>
      <c r="AD80" s="33"/>
      <c r="AE80" s="2"/>
      <c r="AF80" s="2"/>
      <c r="AG80" s="2"/>
      <c r="AH80" s="2"/>
      <c r="AI80" s="47">
        <v>1</v>
      </c>
      <c r="AJ80" s="33">
        <f t="shared" si="167"/>
        <v>0</v>
      </c>
    </row>
    <row r="81" spans="2:36" x14ac:dyDescent="0.2">
      <c r="B81" s="2" t="s">
        <v>352</v>
      </c>
      <c r="C81" s="2"/>
      <c r="D81" s="2"/>
      <c r="E81" s="2"/>
      <c r="F81" s="2"/>
      <c r="G81" s="2"/>
      <c r="H81" s="2"/>
      <c r="I81" s="2"/>
      <c r="J81" s="2"/>
      <c r="K81" s="2"/>
      <c r="L81" s="2"/>
      <c r="M81" s="2"/>
      <c r="N81" s="2"/>
      <c r="O81" s="2"/>
      <c r="P81" s="2"/>
      <c r="Q81" s="2"/>
      <c r="R81" s="2"/>
      <c r="S81" s="2"/>
      <c r="T81" s="2">
        <f t="shared" si="166"/>
        <v>2</v>
      </c>
      <c r="U81" s="2">
        <f t="shared" si="166"/>
        <v>0</v>
      </c>
      <c r="V81" s="2">
        <f t="shared" si="166"/>
        <v>0</v>
      </c>
      <c r="W81" s="2">
        <f t="shared" si="166"/>
        <v>0</v>
      </c>
      <c r="X81" s="2">
        <f t="shared" si="166"/>
        <v>-1</v>
      </c>
      <c r="Y81" s="47">
        <v>1</v>
      </c>
      <c r="Z81" s="47">
        <v>1</v>
      </c>
      <c r="AA81" s="47">
        <v>1</v>
      </c>
      <c r="AB81" s="47">
        <v>1</v>
      </c>
      <c r="AC81" s="47">
        <v>1</v>
      </c>
      <c r="AD81" s="33"/>
      <c r="AE81" s="2"/>
      <c r="AF81" s="2"/>
      <c r="AG81" s="2"/>
      <c r="AH81" s="2"/>
      <c r="AI81" s="47">
        <v>0</v>
      </c>
      <c r="AJ81" s="33">
        <f t="shared" si="167"/>
        <v>1</v>
      </c>
    </row>
    <row r="82" spans="2:36" x14ac:dyDescent="0.2">
      <c r="B82" s="2" t="s">
        <v>353</v>
      </c>
      <c r="C82" s="2"/>
      <c r="D82" s="2"/>
      <c r="E82" s="2"/>
      <c r="F82" s="2"/>
      <c r="G82" s="2"/>
      <c r="H82" s="2"/>
      <c r="I82" s="2"/>
      <c r="J82" s="2"/>
      <c r="K82" s="2"/>
      <c r="L82" s="2"/>
      <c r="M82" s="2"/>
      <c r="N82" s="2"/>
      <c r="O82" s="2"/>
      <c r="P82" s="2"/>
      <c r="Q82" s="2"/>
      <c r="R82" s="2"/>
      <c r="S82" s="2"/>
      <c r="T82" s="2">
        <f t="shared" si="166"/>
        <v>-1</v>
      </c>
      <c r="U82" s="2">
        <f t="shared" si="166"/>
        <v>0</v>
      </c>
      <c r="V82" s="2">
        <f t="shared" si="166"/>
        <v>0</v>
      </c>
      <c r="W82" s="2">
        <f t="shared" si="166"/>
        <v>1</v>
      </c>
      <c r="X82" s="2">
        <f t="shared" si="166"/>
        <v>0</v>
      </c>
      <c r="Y82" s="47">
        <v>1</v>
      </c>
      <c r="Z82" s="47">
        <v>1</v>
      </c>
      <c r="AA82" s="47">
        <v>1</v>
      </c>
      <c r="AB82" s="47">
        <v>1</v>
      </c>
      <c r="AC82" s="47">
        <v>1</v>
      </c>
      <c r="AD82" s="33"/>
      <c r="AE82" s="2"/>
      <c r="AF82" s="2"/>
      <c r="AG82" s="2"/>
      <c r="AH82" s="2"/>
      <c r="AI82" s="47">
        <v>1</v>
      </c>
      <c r="AJ82" s="33">
        <f t="shared" si="167"/>
        <v>0</v>
      </c>
    </row>
    <row r="83" spans="2:36" x14ac:dyDescent="0.2">
      <c r="B83" s="3" t="s">
        <v>309</v>
      </c>
      <c r="C83" s="2"/>
      <c r="D83" s="2"/>
      <c r="E83" s="2"/>
      <c r="F83" s="2"/>
      <c r="G83" s="2"/>
      <c r="H83" s="2"/>
      <c r="I83" s="2"/>
      <c r="J83" s="2"/>
      <c r="K83" s="2"/>
      <c r="L83" s="2"/>
      <c r="M83" s="2"/>
      <c r="N83" s="2"/>
      <c r="O83" s="2"/>
      <c r="P83" s="2"/>
      <c r="Q83" s="2"/>
      <c r="R83" s="2"/>
      <c r="S83" s="2"/>
      <c r="T83" s="3">
        <f t="shared" si="166"/>
        <v>21</v>
      </c>
      <c r="U83" s="3">
        <f t="shared" si="166"/>
        <v>13</v>
      </c>
      <c r="V83" s="3">
        <f t="shared" si="166"/>
        <v>20</v>
      </c>
      <c r="W83" s="3">
        <f>W72-V72</f>
        <v>18</v>
      </c>
      <c r="X83" s="3">
        <f>X72-W72</f>
        <v>2</v>
      </c>
      <c r="Y83" s="46">
        <f t="shared" ref="Y83:AC83" si="168">Y72-X72</f>
        <v>18</v>
      </c>
      <c r="Z83" s="46">
        <f t="shared" si="168"/>
        <v>18</v>
      </c>
      <c r="AA83" s="46">
        <f t="shared" si="168"/>
        <v>18</v>
      </c>
      <c r="AB83" s="46">
        <f t="shared" si="168"/>
        <v>18</v>
      </c>
      <c r="AC83" s="46">
        <f t="shared" si="168"/>
        <v>18</v>
      </c>
      <c r="AD83" s="33"/>
      <c r="AE83" s="2"/>
      <c r="AF83" s="2"/>
      <c r="AG83" s="2"/>
      <c r="AH83" s="2"/>
      <c r="AI83" s="46">
        <f>SUM(AI75:AI82)</f>
        <v>8</v>
      </c>
      <c r="AJ83" s="46">
        <f t="shared" si="167"/>
        <v>10</v>
      </c>
    </row>
    <row r="84" spans="2:36" x14ac:dyDescent="0.2">
      <c r="B84" s="3"/>
      <c r="C84" s="2"/>
      <c r="D84" s="2"/>
      <c r="E84" s="2"/>
      <c r="F84" s="2"/>
      <c r="G84" s="2"/>
      <c r="H84" s="2"/>
      <c r="I84" s="2"/>
      <c r="J84" s="2"/>
      <c r="K84" s="2"/>
      <c r="L84" s="2"/>
      <c r="M84" s="2"/>
      <c r="N84" s="2"/>
      <c r="O84" s="2"/>
      <c r="P84" s="2"/>
      <c r="Q84" s="2"/>
      <c r="R84" s="2"/>
      <c r="S84" s="2"/>
      <c r="T84" s="2"/>
      <c r="U84" s="2"/>
      <c r="V84" s="2"/>
      <c r="W84" s="2"/>
      <c r="X84" s="2"/>
      <c r="Y84" s="33"/>
      <c r="Z84" s="33"/>
      <c r="AA84" s="33"/>
      <c r="AB84" s="33"/>
      <c r="AC84" s="33"/>
      <c r="AD84" s="33"/>
      <c r="AE84" s="2"/>
      <c r="AF84" s="2"/>
      <c r="AG84" s="2"/>
      <c r="AH84" s="2"/>
      <c r="AI84" s="33"/>
      <c r="AJ84" s="33"/>
    </row>
    <row r="85" spans="2:36" x14ac:dyDescent="0.2">
      <c r="B85" s="1" t="s">
        <v>2</v>
      </c>
      <c r="C85" s="162"/>
      <c r="D85" s="162"/>
      <c r="E85" s="162"/>
      <c r="F85" s="162"/>
      <c r="G85" s="162"/>
      <c r="H85" s="162"/>
      <c r="I85" s="162"/>
      <c r="J85" s="162"/>
      <c r="K85" s="162"/>
      <c r="L85" s="162"/>
      <c r="M85" s="162"/>
      <c r="N85" s="162"/>
      <c r="O85" s="162"/>
      <c r="P85" s="162"/>
      <c r="Q85" s="162"/>
      <c r="R85" s="163"/>
      <c r="S85" s="163"/>
      <c r="T85" s="163"/>
      <c r="U85" s="163"/>
      <c r="V85" s="163"/>
      <c r="W85" s="163"/>
      <c r="X85" s="162"/>
      <c r="Y85" s="162"/>
      <c r="Z85" s="162"/>
      <c r="AA85" s="162"/>
      <c r="AB85" s="162"/>
      <c r="AC85" s="162"/>
      <c r="AD85" s="162"/>
      <c r="AE85" s="162"/>
      <c r="AF85" s="162"/>
      <c r="AG85" s="162"/>
      <c r="AH85" s="162"/>
      <c r="AI85" s="162"/>
      <c r="AJ85" s="162"/>
    </row>
    <row r="86" spans="2:36" s="30" customFormat="1" x14ac:dyDescent="0.2">
      <c r="B86" s="3" t="s">
        <v>292</v>
      </c>
      <c r="C86" s="3"/>
      <c r="D86" s="3"/>
      <c r="E86" s="3"/>
      <c r="F86" s="3"/>
      <c r="G86" s="3"/>
      <c r="H86" s="3"/>
      <c r="I86" s="3"/>
      <c r="J86" s="3"/>
      <c r="K86" s="3"/>
      <c r="L86" s="3"/>
      <c r="M86" s="3"/>
      <c r="N86" s="3"/>
      <c r="O86" s="3"/>
      <c r="P86" s="3"/>
      <c r="Q86" s="3"/>
      <c r="R86" s="155">
        <v>80</v>
      </c>
      <c r="S86" s="155">
        <v>171</v>
      </c>
      <c r="T86" s="155">
        <v>306</v>
      </c>
      <c r="U86" s="155">
        <v>497</v>
      </c>
      <c r="V86" s="155">
        <v>652</v>
      </c>
      <c r="W86" s="155">
        <v>886</v>
      </c>
      <c r="X86" s="156">
        <v>1050</v>
      </c>
      <c r="Y86" s="42">
        <f>X86*(1+Y87)</f>
        <v>1297.6967213114754</v>
      </c>
      <c r="Z86" s="42">
        <f t="shared" ref="Z86:AC86" si="169">Y86*(1+Z87)</f>
        <v>1533.3311259706643</v>
      </c>
      <c r="AA86" s="42">
        <f t="shared" si="169"/>
        <v>1788.2919992425307</v>
      </c>
      <c r="AB86" s="42">
        <f t="shared" si="169"/>
        <v>2063.9870157924211</v>
      </c>
      <c r="AC86" s="42">
        <f t="shared" si="169"/>
        <v>2361.9021227888743</v>
      </c>
      <c r="AD86" s="46"/>
      <c r="AE86" s="3"/>
      <c r="AF86" s="3"/>
      <c r="AG86" s="3"/>
      <c r="AH86" s="3"/>
      <c r="AI86" s="46"/>
      <c r="AJ86" s="46"/>
    </row>
    <row r="87" spans="2:36" x14ac:dyDescent="0.2">
      <c r="B87" s="2" t="s">
        <v>137</v>
      </c>
      <c r="C87" s="2"/>
      <c r="D87" s="2"/>
      <c r="E87" s="2"/>
      <c r="F87" s="2"/>
      <c r="G87" s="2"/>
      <c r="H87" s="2"/>
      <c r="I87" s="2"/>
      <c r="J87" s="2"/>
      <c r="K87" s="2"/>
      <c r="L87" s="2"/>
      <c r="M87" s="2"/>
      <c r="N87" s="2"/>
      <c r="O87" s="2"/>
      <c r="P87" s="2"/>
      <c r="Q87" s="2"/>
      <c r="R87" s="2"/>
      <c r="S87" s="61">
        <f t="shared" ref="S87" si="170">S86/R86-1</f>
        <v>1.1375000000000002</v>
      </c>
      <c r="T87" s="61">
        <f t="shared" ref="T87" si="171">T86/S86-1</f>
        <v>0.78947368421052633</v>
      </c>
      <c r="U87" s="61">
        <f t="shared" ref="U87" si="172">U86/T86-1</f>
        <v>0.62418300653594772</v>
      </c>
      <c r="V87" s="61">
        <f t="shared" ref="V87" si="173">V86/U86-1</f>
        <v>0.31187122736418504</v>
      </c>
      <c r="W87" s="61">
        <f t="shared" ref="W87" si="174">W86/V86-1</f>
        <v>0.35889570552147232</v>
      </c>
      <c r="X87" s="61">
        <f t="shared" ref="X87" si="175">X86/W86-1</f>
        <v>0.18510158013544009</v>
      </c>
      <c r="Y87" s="32">
        <f>SUM(Y88:Y90)</f>
        <v>0.23590163934426234</v>
      </c>
      <c r="Z87" s="32">
        <f t="shared" ref="Z87:AC87" si="176">SUM(Z88:Z90)</f>
        <v>0.18157894736842103</v>
      </c>
      <c r="AA87" s="32">
        <f t="shared" si="176"/>
        <v>0.16627906976744186</v>
      </c>
      <c r="AB87" s="32">
        <f t="shared" si="176"/>
        <v>0.15416666666666676</v>
      </c>
      <c r="AC87" s="32">
        <f t="shared" si="176"/>
        <v>0.14433962264150943</v>
      </c>
      <c r="AD87" s="33"/>
      <c r="AE87" s="2"/>
      <c r="AF87" s="2"/>
      <c r="AG87" s="2"/>
      <c r="AH87" s="2"/>
      <c r="AI87" s="33"/>
      <c r="AJ87" s="33"/>
    </row>
    <row r="88" spans="2:36" x14ac:dyDescent="0.2">
      <c r="B88" s="2" t="s">
        <v>303</v>
      </c>
      <c r="C88" s="2"/>
      <c r="D88" s="2"/>
      <c r="E88" s="2"/>
      <c r="F88" s="2"/>
      <c r="G88" s="2"/>
      <c r="H88" s="2"/>
      <c r="I88" s="2"/>
      <c r="J88" s="2"/>
      <c r="K88" s="2"/>
      <c r="L88" s="2"/>
      <c r="M88" s="2"/>
      <c r="N88" s="2"/>
      <c r="O88" s="2"/>
      <c r="P88" s="2"/>
      <c r="Q88" s="2"/>
      <c r="R88" s="2"/>
      <c r="S88" s="2"/>
      <c r="T88" s="2"/>
      <c r="U88" s="2"/>
      <c r="V88" s="2"/>
      <c r="W88" s="269">
        <f>W27</f>
        <v>0.14399999999999999</v>
      </c>
      <c r="X88" s="269">
        <f>X27</f>
        <v>8.1000000000000003E-2</v>
      </c>
      <c r="Y88" s="43">
        <v>0.1</v>
      </c>
      <c r="Z88" s="43">
        <v>0.08</v>
      </c>
      <c r="AA88" s="43">
        <v>0.08</v>
      </c>
      <c r="AB88" s="43">
        <v>0.08</v>
      </c>
      <c r="AC88" s="43">
        <v>0.08</v>
      </c>
      <c r="AD88" s="33"/>
      <c r="AE88" s="2"/>
      <c r="AF88" s="2"/>
      <c r="AG88" s="2"/>
      <c r="AH88" s="2"/>
      <c r="AI88" s="33"/>
      <c r="AJ88" s="33"/>
    </row>
    <row r="89" spans="2:36" x14ac:dyDescent="0.2">
      <c r="B89" s="2" t="s">
        <v>197</v>
      </c>
      <c r="C89" s="2"/>
      <c r="D89" s="2"/>
      <c r="E89" s="2"/>
      <c r="F89" s="2"/>
      <c r="G89" s="2"/>
      <c r="H89" s="2"/>
      <c r="I89" s="2"/>
      <c r="J89" s="2"/>
      <c r="K89" s="2"/>
      <c r="L89" s="2"/>
      <c r="M89" s="2"/>
      <c r="N89" s="2"/>
      <c r="O89" s="2"/>
      <c r="P89" s="2"/>
      <c r="Q89" s="2"/>
      <c r="R89" s="31"/>
      <c r="S89" s="31">
        <f t="shared" ref="S89:V89" si="177">S93</f>
        <v>1.3333333333333335</v>
      </c>
      <c r="T89" s="31">
        <f t="shared" si="177"/>
        <v>0.71428571428571419</v>
      </c>
      <c r="U89" s="31">
        <f t="shared" si="177"/>
        <v>0.45833333333333326</v>
      </c>
      <c r="V89" s="31">
        <f t="shared" si="177"/>
        <v>0.19999999999999996</v>
      </c>
      <c r="W89" s="31">
        <f>W93</f>
        <v>0.19047619047619047</v>
      </c>
      <c r="X89" s="31">
        <f>X93</f>
        <v>0.21999999999999997</v>
      </c>
      <c r="Y89" s="32">
        <f t="shared" ref="Y89:AC89" si="178">Y93</f>
        <v>0.24590163934426235</v>
      </c>
      <c r="Z89" s="32">
        <f t="shared" si="178"/>
        <v>0.13157894736842102</v>
      </c>
      <c r="AA89" s="32">
        <f t="shared" si="178"/>
        <v>0.11627906976744184</v>
      </c>
      <c r="AB89" s="32">
        <f t="shared" si="178"/>
        <v>0.10416666666666674</v>
      </c>
      <c r="AC89" s="32">
        <f t="shared" si="178"/>
        <v>9.4339622641509413E-2</v>
      </c>
      <c r="AD89" s="33"/>
      <c r="AE89" s="2"/>
      <c r="AF89" s="2"/>
      <c r="AG89" s="2"/>
      <c r="AH89" s="2"/>
      <c r="AI89" s="33"/>
      <c r="AJ89" s="33"/>
    </row>
    <row r="90" spans="2:36" x14ac:dyDescent="0.2">
      <c r="B90" s="2" t="s">
        <v>304</v>
      </c>
      <c r="C90" s="2"/>
      <c r="D90" s="2"/>
      <c r="E90" s="2"/>
      <c r="F90" s="2"/>
      <c r="G90" s="2"/>
      <c r="H90" s="2"/>
      <c r="I90" s="2"/>
      <c r="J90" s="2"/>
      <c r="K90" s="2"/>
      <c r="L90" s="2"/>
      <c r="M90" s="2"/>
      <c r="N90" s="2"/>
      <c r="O90" s="2"/>
      <c r="P90" s="2"/>
      <c r="Q90" s="2"/>
      <c r="R90" s="2"/>
      <c r="S90" s="2"/>
      <c r="T90" s="2"/>
      <c r="U90" s="2"/>
      <c r="V90" s="2"/>
      <c r="W90" s="31">
        <f>W87-W88-W89</f>
        <v>2.4419515045281864E-2</v>
      </c>
      <c r="X90" s="31">
        <f>X87-X88-X89</f>
        <v>-0.11589841986455988</v>
      </c>
      <c r="Y90" s="43">
        <v>-0.11</v>
      </c>
      <c r="Z90" s="43">
        <v>-0.03</v>
      </c>
      <c r="AA90" s="43">
        <v>-0.03</v>
      </c>
      <c r="AB90" s="43">
        <v>-0.03</v>
      </c>
      <c r="AC90" s="43">
        <v>-0.03</v>
      </c>
      <c r="AD90" s="33"/>
      <c r="AE90" s="2"/>
      <c r="AF90" s="2"/>
      <c r="AG90" s="2"/>
      <c r="AH90" s="2"/>
      <c r="AI90" s="33"/>
      <c r="AJ90" s="33"/>
    </row>
    <row r="91" spans="2:36" x14ac:dyDescent="0.2">
      <c r="B91" s="2"/>
      <c r="C91" s="2"/>
      <c r="D91" s="2"/>
      <c r="E91" s="2"/>
      <c r="F91" s="2"/>
      <c r="G91" s="2"/>
      <c r="H91" s="2"/>
      <c r="I91" s="2"/>
      <c r="J91" s="2"/>
      <c r="K91" s="2"/>
      <c r="L91" s="2"/>
      <c r="M91" s="2"/>
      <c r="N91" s="2"/>
      <c r="O91" s="2"/>
      <c r="P91" s="2"/>
      <c r="Q91" s="2"/>
      <c r="R91" s="2"/>
      <c r="S91" s="2"/>
      <c r="T91" s="2"/>
      <c r="U91" s="2"/>
      <c r="V91" s="2"/>
      <c r="W91" s="2"/>
      <c r="X91" s="2"/>
      <c r="Y91" s="33"/>
      <c r="Z91" s="33"/>
      <c r="AA91" s="33"/>
      <c r="AB91" s="33"/>
      <c r="AC91" s="33"/>
      <c r="AD91" s="33"/>
      <c r="AE91" s="2"/>
      <c r="AF91" s="2"/>
      <c r="AG91" s="2"/>
      <c r="AH91" s="2"/>
      <c r="AI91" s="33"/>
      <c r="AJ91" s="33"/>
    </row>
    <row r="92" spans="2:36" x14ac:dyDescent="0.2">
      <c r="B92" s="3" t="s">
        <v>320</v>
      </c>
      <c r="C92" s="2"/>
      <c r="D92" s="2"/>
      <c r="E92" s="2"/>
      <c r="F92" s="2"/>
      <c r="G92" s="2"/>
      <c r="H92" s="2"/>
      <c r="I92" s="2"/>
      <c r="J92" s="2"/>
      <c r="K92" s="2"/>
      <c r="L92" s="2"/>
      <c r="M92" s="2"/>
      <c r="N92" s="2"/>
      <c r="O92" s="2"/>
      <c r="P92" s="2"/>
      <c r="Q92" s="3">
        <v>0</v>
      </c>
      <c r="R92" s="155">
        <v>6</v>
      </c>
      <c r="S92" s="155">
        <v>14</v>
      </c>
      <c r="T92" s="155">
        <v>24</v>
      </c>
      <c r="U92" s="155">
        <v>35</v>
      </c>
      <c r="V92" s="155">
        <v>42</v>
      </c>
      <c r="W92" s="155">
        <v>50</v>
      </c>
      <c r="X92" s="155">
        <v>61</v>
      </c>
      <c r="Y92" s="48">
        <v>76</v>
      </c>
      <c r="Z92" s="48">
        <f t="shared" ref="Z92:AC92" si="179">Y92+10</f>
        <v>86</v>
      </c>
      <c r="AA92" s="48">
        <f t="shared" si="179"/>
        <v>96</v>
      </c>
      <c r="AB92" s="48">
        <f t="shared" si="179"/>
        <v>106</v>
      </c>
      <c r="AC92" s="48">
        <f t="shared" si="179"/>
        <v>116</v>
      </c>
      <c r="AD92" s="33"/>
      <c r="AE92" s="2"/>
      <c r="AF92" s="155">
        <f>W92</f>
        <v>50</v>
      </c>
      <c r="AG92" s="155">
        <v>56</v>
      </c>
      <c r="AH92" s="155">
        <f>X92</f>
        <v>61</v>
      </c>
      <c r="AI92" s="48">
        <v>70</v>
      </c>
      <c r="AJ92" s="45">
        <f>Y92</f>
        <v>76</v>
      </c>
    </row>
    <row r="93" spans="2:36" x14ac:dyDescent="0.2">
      <c r="B93" s="2" t="s">
        <v>137</v>
      </c>
      <c r="C93" s="2"/>
      <c r="D93" s="2"/>
      <c r="E93" s="2"/>
      <c r="F93" s="2"/>
      <c r="G93" s="2"/>
      <c r="H93" s="2"/>
      <c r="I93" s="2"/>
      <c r="J93" s="2"/>
      <c r="K93" s="2"/>
      <c r="L93" s="2"/>
      <c r="M93" s="2"/>
      <c r="N93" s="2"/>
      <c r="O93" s="2"/>
      <c r="P93" s="2"/>
      <c r="Q93" s="2"/>
      <c r="R93" s="2"/>
      <c r="S93" s="61">
        <f t="shared" ref="S93" si="180">S92/R92-1</f>
        <v>1.3333333333333335</v>
      </c>
      <c r="T93" s="61">
        <f t="shared" ref="T93" si="181">T92/S92-1</f>
        <v>0.71428571428571419</v>
      </c>
      <c r="U93" s="61">
        <f t="shared" ref="U93" si="182">U92/T92-1</f>
        <v>0.45833333333333326</v>
      </c>
      <c r="V93" s="61">
        <f t="shared" ref="V93" si="183">V92/U92-1</f>
        <v>0.19999999999999996</v>
      </c>
      <c r="W93" s="61">
        <f t="shared" ref="W93" si="184">W92/V92-1</f>
        <v>0.19047619047619047</v>
      </c>
      <c r="X93" s="61">
        <f t="shared" ref="X93" si="185">X92/W92-1</f>
        <v>0.21999999999999997</v>
      </c>
      <c r="Y93" s="34">
        <f t="shared" ref="Y93" si="186">Y92/X92-1</f>
        <v>0.24590163934426235</v>
      </c>
      <c r="Z93" s="34">
        <f t="shared" ref="Z93" si="187">Z92/Y92-1</f>
        <v>0.13157894736842102</v>
      </c>
      <c r="AA93" s="34">
        <f t="shared" ref="AA93" si="188">AA92/Z92-1</f>
        <v>0.11627906976744184</v>
      </c>
      <c r="AB93" s="34">
        <f t="shared" ref="AB93" si="189">AB92/AA92-1</f>
        <v>0.10416666666666674</v>
      </c>
      <c r="AC93" s="34">
        <f t="shared" ref="AC93" si="190">AC92/AB92-1</f>
        <v>9.4339622641509413E-2</v>
      </c>
      <c r="AD93" s="33"/>
      <c r="AE93" s="2"/>
      <c r="AF93" s="2"/>
      <c r="AG93" s="2"/>
      <c r="AH93" s="2"/>
      <c r="AI93" s="33"/>
      <c r="AJ93" s="33"/>
    </row>
    <row r="94" spans="2:36" x14ac:dyDescent="0.2">
      <c r="B94" s="2"/>
      <c r="C94" s="2"/>
      <c r="D94" s="2"/>
      <c r="E94" s="2"/>
      <c r="F94" s="2"/>
      <c r="G94" s="2"/>
      <c r="H94" s="2"/>
      <c r="I94" s="2"/>
      <c r="J94" s="2"/>
      <c r="K94" s="2"/>
      <c r="L94" s="2"/>
      <c r="M94" s="2"/>
      <c r="N94" s="2"/>
      <c r="O94" s="2"/>
      <c r="P94" s="2"/>
      <c r="Q94" s="2"/>
      <c r="R94" s="2"/>
      <c r="S94" s="2"/>
      <c r="T94" s="2"/>
      <c r="U94" s="2"/>
      <c r="V94" s="2"/>
      <c r="W94" s="2"/>
      <c r="X94" s="2"/>
      <c r="Y94" s="33"/>
      <c r="Z94" s="33"/>
      <c r="AA94" s="33"/>
      <c r="AB94" s="33"/>
      <c r="AC94" s="33"/>
      <c r="AD94" s="33"/>
      <c r="AE94" s="2"/>
      <c r="AF94" s="2"/>
      <c r="AG94" s="2"/>
      <c r="AH94" s="2"/>
      <c r="AI94" s="33"/>
      <c r="AJ94" s="33"/>
    </row>
    <row r="95" spans="2:36" x14ac:dyDescent="0.2">
      <c r="B95" s="1" t="s">
        <v>3</v>
      </c>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c r="AA95" s="162"/>
      <c r="AB95" s="162"/>
      <c r="AC95" s="162"/>
      <c r="AD95" s="162"/>
      <c r="AE95" s="162"/>
      <c r="AF95" s="162"/>
      <c r="AG95" s="162"/>
      <c r="AH95" s="162"/>
      <c r="AI95" s="162"/>
      <c r="AJ95" s="162"/>
    </row>
    <row r="96" spans="2:36" s="30" customFormat="1" x14ac:dyDescent="0.2">
      <c r="B96" s="3" t="s">
        <v>292</v>
      </c>
      <c r="C96" s="3"/>
      <c r="D96" s="3"/>
      <c r="E96" s="3"/>
      <c r="F96" s="3"/>
      <c r="G96" s="3"/>
      <c r="H96" s="3"/>
      <c r="I96" s="3"/>
      <c r="J96" s="3"/>
      <c r="K96" s="3"/>
      <c r="L96" s="3"/>
      <c r="M96" s="3"/>
      <c r="N96" s="3"/>
      <c r="O96" s="3"/>
      <c r="P96" s="3"/>
      <c r="Q96" s="3"/>
      <c r="R96" s="3"/>
      <c r="S96" s="3"/>
      <c r="T96" s="36">
        <f>'Ireland Model'!T72</f>
        <v>7.6347406811000775</v>
      </c>
      <c r="U96" s="36">
        <f>'Ireland Model'!U72</f>
        <v>29.946093187094647</v>
      </c>
      <c r="V96" s="36">
        <f>'Ireland Model'!V72</f>
        <v>59.297278455992981</v>
      </c>
      <c r="W96" s="36">
        <f>'Ireland Model'!W72</f>
        <v>105.69921151807108</v>
      </c>
      <c r="X96" s="36">
        <f>'Ireland Model'!X72</f>
        <v>167.47139477774832</v>
      </c>
      <c r="Y96" s="35">
        <f>'Ireland Model'!Y72</f>
        <v>266.16179202581452</v>
      </c>
      <c r="Z96" s="35">
        <f>'Ireland Model'!Z72</f>
        <v>368.14378391781082</v>
      </c>
      <c r="AA96" s="35">
        <f>'Ireland Model'!AA72</f>
        <v>467.5426055756198</v>
      </c>
      <c r="AB96" s="35">
        <f>'Ireland Model'!AB72</f>
        <v>554.81722528306886</v>
      </c>
      <c r="AC96" s="35">
        <f>'Ireland Model'!AC72</f>
        <v>645.17317340059719</v>
      </c>
      <c r="AD96" s="46"/>
      <c r="AE96" s="3"/>
      <c r="AF96" s="3"/>
      <c r="AG96" s="3"/>
      <c r="AH96" s="3"/>
      <c r="AI96" s="46"/>
      <c r="AJ96" s="46"/>
    </row>
    <row r="97" spans="2:36" x14ac:dyDescent="0.2">
      <c r="B97" s="2" t="s">
        <v>137</v>
      </c>
      <c r="C97" s="2"/>
      <c r="D97" s="2"/>
      <c r="E97" s="2"/>
      <c r="F97" s="2"/>
      <c r="G97" s="2"/>
      <c r="H97" s="2"/>
      <c r="I97" s="2"/>
      <c r="J97" s="2"/>
      <c r="K97" s="2"/>
      <c r="L97" s="2"/>
      <c r="M97" s="2"/>
      <c r="N97" s="2"/>
      <c r="O97" s="2"/>
      <c r="P97" s="2"/>
      <c r="Q97" s="2"/>
      <c r="R97" s="2"/>
      <c r="S97" s="2"/>
      <c r="T97" s="2"/>
      <c r="U97" s="61">
        <f t="shared" ref="U97" si="191">U96/T96-1</f>
        <v>2.9223458186637141</v>
      </c>
      <c r="V97" s="61">
        <f t="shared" ref="V97" si="192">V96/U96-1</f>
        <v>0.98013403903876539</v>
      </c>
      <c r="W97" s="61">
        <f t="shared" ref="W97" si="193">W96/V96-1</f>
        <v>0.78253056919829689</v>
      </c>
      <c r="X97" s="61">
        <f t="shared" ref="X97" si="194">X96/W96-1</f>
        <v>0.58441479716351741</v>
      </c>
      <c r="Y97" s="34">
        <f t="shared" ref="Y97" si="195">Y96/X96-1</f>
        <v>0.58929704012460427</v>
      </c>
      <c r="Z97" s="34">
        <f t="shared" ref="Z97" si="196">Z96/Y96-1</f>
        <v>0.38315789473684214</v>
      </c>
      <c r="AA97" s="34">
        <f t="shared" ref="AA97" si="197">AA96/Z96-1</f>
        <v>0.27000000000000024</v>
      </c>
      <c r="AB97" s="34">
        <f t="shared" ref="AB97" si="198">AB96/AA96-1</f>
        <v>0.18666666666666676</v>
      </c>
      <c r="AC97" s="34">
        <f t="shared" ref="AC97" si="199">AC96/AB96-1</f>
        <v>0.16285714285714281</v>
      </c>
      <c r="AD97" s="33"/>
      <c r="AE97" s="2"/>
      <c r="AF97" s="2"/>
      <c r="AG97" s="2"/>
      <c r="AH97" s="2"/>
      <c r="AI97" s="33"/>
      <c r="AJ97" s="33"/>
    </row>
    <row r="98" spans="2:36" x14ac:dyDescent="0.2">
      <c r="B98" s="2" t="s">
        <v>303</v>
      </c>
      <c r="C98" s="2"/>
      <c r="D98" s="2"/>
      <c r="E98" s="2"/>
      <c r="F98" s="2"/>
      <c r="G98" s="2"/>
      <c r="H98" s="2"/>
      <c r="I98" s="2"/>
      <c r="J98" s="2"/>
      <c r="K98" s="2"/>
      <c r="L98" s="2"/>
      <c r="M98" s="2"/>
      <c r="N98" s="2"/>
      <c r="O98" s="2"/>
      <c r="P98" s="2"/>
      <c r="Q98" s="2"/>
      <c r="R98" s="2"/>
      <c r="S98" s="2"/>
      <c r="T98" s="2"/>
      <c r="U98" s="2"/>
      <c r="V98" s="2"/>
      <c r="W98" s="2"/>
      <c r="X98" s="2"/>
      <c r="Y98" s="33"/>
      <c r="Z98" s="33"/>
      <c r="AA98" s="33"/>
      <c r="AB98" s="33"/>
      <c r="AC98" s="33"/>
      <c r="AD98" s="33"/>
      <c r="AE98" s="2"/>
      <c r="AF98" s="2"/>
      <c r="AG98" s="2"/>
      <c r="AH98" s="2"/>
      <c r="AI98" s="33"/>
      <c r="AJ98" s="33"/>
    </row>
    <row r="99" spans="2:36" x14ac:dyDescent="0.2">
      <c r="B99" s="2" t="s">
        <v>197</v>
      </c>
      <c r="C99" s="2"/>
      <c r="D99" s="2"/>
      <c r="E99" s="2"/>
      <c r="F99" s="2"/>
      <c r="G99" s="2"/>
      <c r="H99" s="2"/>
      <c r="I99" s="2"/>
      <c r="J99" s="2"/>
      <c r="K99" s="2"/>
      <c r="L99" s="2"/>
      <c r="M99" s="2"/>
      <c r="N99" s="2"/>
      <c r="O99" s="2"/>
      <c r="P99" s="2"/>
      <c r="Q99" s="2"/>
      <c r="R99" s="2"/>
      <c r="S99" s="2"/>
      <c r="T99" s="2"/>
      <c r="U99" s="2"/>
      <c r="V99" s="2"/>
      <c r="W99" s="2"/>
      <c r="X99" s="2"/>
      <c r="Y99" s="33"/>
      <c r="Z99" s="33"/>
      <c r="AA99" s="33"/>
      <c r="AB99" s="33"/>
      <c r="AC99" s="33"/>
      <c r="AD99" s="33"/>
      <c r="AE99" s="2"/>
      <c r="AF99" s="2"/>
      <c r="AG99" s="2"/>
      <c r="AH99" s="2"/>
      <c r="AI99" s="33"/>
      <c r="AJ99" s="33"/>
    </row>
    <row r="100" spans="2:36" x14ac:dyDescent="0.2">
      <c r="B100" s="2" t="s">
        <v>304</v>
      </c>
      <c r="C100" s="2"/>
      <c r="D100" s="2"/>
      <c r="E100" s="2"/>
      <c r="F100" s="2"/>
      <c r="G100" s="2"/>
      <c r="H100" s="2"/>
      <c r="I100" s="2"/>
      <c r="J100" s="2"/>
      <c r="K100" s="2"/>
      <c r="L100" s="2"/>
      <c r="M100" s="2"/>
      <c r="N100" s="2"/>
      <c r="O100" s="2"/>
      <c r="P100" s="2"/>
      <c r="Q100" s="2"/>
      <c r="R100" s="2"/>
      <c r="S100" s="2"/>
      <c r="T100" s="2"/>
      <c r="U100" s="2"/>
      <c r="V100" s="2"/>
      <c r="W100" s="2"/>
      <c r="X100" s="2"/>
      <c r="Y100" s="33"/>
      <c r="Z100" s="33"/>
      <c r="AA100" s="33"/>
      <c r="AB100" s="33"/>
      <c r="AC100" s="33"/>
      <c r="AD100" s="33"/>
      <c r="AE100" s="2"/>
      <c r="AF100" s="2"/>
      <c r="AG100" s="2"/>
      <c r="AH100" s="2"/>
      <c r="AI100" s="33"/>
      <c r="AJ100" s="33"/>
    </row>
    <row r="101" spans="2:36" x14ac:dyDescent="0.2">
      <c r="B101" s="2"/>
      <c r="C101" s="2"/>
      <c r="D101" s="2"/>
      <c r="E101" s="2"/>
      <c r="F101" s="2"/>
      <c r="G101" s="2"/>
      <c r="H101" s="2"/>
      <c r="I101" s="2"/>
      <c r="J101" s="2"/>
      <c r="K101" s="2"/>
      <c r="L101" s="2"/>
      <c r="M101" s="2"/>
      <c r="N101" s="2"/>
      <c r="O101" s="2"/>
      <c r="P101" s="2"/>
      <c r="Q101" s="2"/>
      <c r="R101" s="2"/>
      <c r="S101" s="2"/>
      <c r="T101" s="2"/>
      <c r="U101" s="2"/>
      <c r="V101" s="2"/>
      <c r="W101" s="2"/>
      <c r="X101" s="2"/>
      <c r="Y101" s="33"/>
      <c r="Z101" s="33"/>
      <c r="AA101" s="33"/>
      <c r="AB101" s="33"/>
      <c r="AC101" s="33"/>
      <c r="AD101" s="33"/>
      <c r="AE101" s="2"/>
      <c r="AF101" s="2"/>
      <c r="AG101" s="2"/>
      <c r="AH101" s="2"/>
      <c r="AI101" s="33"/>
      <c r="AJ101" s="33"/>
    </row>
    <row r="102" spans="2:36" x14ac:dyDescent="0.2">
      <c r="B102" s="3" t="s">
        <v>311</v>
      </c>
      <c r="C102" s="2"/>
      <c r="D102" s="2"/>
      <c r="E102" s="2"/>
      <c r="F102" s="2"/>
      <c r="G102" s="2"/>
      <c r="H102" s="2"/>
      <c r="I102" s="2"/>
      <c r="J102" s="2"/>
      <c r="K102" s="2"/>
      <c r="L102" s="2"/>
      <c r="M102" s="2"/>
      <c r="N102" s="2"/>
      <c r="O102" s="2"/>
      <c r="P102" s="2"/>
      <c r="Q102" s="2"/>
      <c r="R102" s="2"/>
      <c r="S102" s="64">
        <f>'Ireland Model'!S12</f>
        <v>0</v>
      </c>
      <c r="T102" s="64">
        <f>'Ireland Model'!T12</f>
        <v>2</v>
      </c>
      <c r="U102" s="64">
        <f>'Ireland Model'!U12</f>
        <v>4</v>
      </c>
      <c r="V102" s="64">
        <f>'Ireland Model'!V12</f>
        <v>6</v>
      </c>
      <c r="W102" s="64">
        <f>'Ireland Model'!W12</f>
        <v>10</v>
      </c>
      <c r="X102" s="64">
        <f>'Ireland Model'!X12</f>
        <v>14</v>
      </c>
      <c r="Y102" s="45">
        <f>'Ireland Model'!Y12</f>
        <v>19</v>
      </c>
      <c r="Z102" s="45">
        <f>'Ireland Model'!Z12</f>
        <v>24</v>
      </c>
      <c r="AA102" s="45">
        <f>'Ireland Model'!AA12</f>
        <v>30</v>
      </c>
      <c r="AB102" s="45">
        <f>'Ireland Model'!AB12</f>
        <v>35</v>
      </c>
      <c r="AC102" s="45">
        <f>'Ireland Model'!AC12</f>
        <v>40</v>
      </c>
      <c r="AD102" s="33"/>
      <c r="AE102" s="2"/>
      <c r="AF102" s="155">
        <f>W102</f>
        <v>10</v>
      </c>
      <c r="AG102" s="155">
        <v>12</v>
      </c>
      <c r="AH102" s="155">
        <f>X102</f>
        <v>14</v>
      </c>
      <c r="AI102" s="48">
        <v>16</v>
      </c>
      <c r="AJ102" s="45">
        <f>Y102</f>
        <v>19</v>
      </c>
    </row>
    <row r="103" spans="2:36" x14ac:dyDescent="0.2">
      <c r="B103" s="2" t="s">
        <v>137</v>
      </c>
      <c r="C103" s="2"/>
      <c r="D103" s="2"/>
      <c r="E103" s="2"/>
      <c r="F103" s="2"/>
      <c r="G103" s="2"/>
      <c r="H103" s="2"/>
      <c r="I103" s="2"/>
      <c r="J103" s="2"/>
      <c r="K103" s="2"/>
      <c r="L103" s="2"/>
      <c r="M103" s="2"/>
      <c r="N103" s="2"/>
      <c r="O103" s="2"/>
      <c r="P103" s="2"/>
      <c r="Q103" s="2"/>
      <c r="R103" s="2"/>
      <c r="S103" s="2"/>
      <c r="T103" s="61"/>
      <c r="U103" s="61">
        <f t="shared" ref="U103" si="200">U102/T102-1</f>
        <v>1</v>
      </c>
      <c r="V103" s="61">
        <f t="shared" ref="V103" si="201">V102/U102-1</f>
        <v>0.5</v>
      </c>
      <c r="W103" s="61">
        <f t="shared" ref="W103" si="202">W102/V102-1</f>
        <v>0.66666666666666674</v>
      </c>
      <c r="X103" s="61">
        <f t="shared" ref="X103" si="203">X102/W102-1</f>
        <v>0.39999999999999991</v>
      </c>
      <c r="Y103" s="34">
        <f t="shared" ref="Y103" si="204">Y102/X102-1</f>
        <v>0.35714285714285721</v>
      </c>
      <c r="Z103" s="34">
        <f t="shared" ref="Z103" si="205">Z102/Y102-1</f>
        <v>0.26315789473684204</v>
      </c>
      <c r="AA103" s="34">
        <f t="shared" ref="AA103" si="206">AA102/Z102-1</f>
        <v>0.25</v>
      </c>
      <c r="AB103" s="34">
        <f t="shared" ref="AB103" si="207">AB102/AA102-1</f>
        <v>0.16666666666666674</v>
      </c>
      <c r="AC103" s="34">
        <f t="shared" ref="AC103" si="208">AC102/AB102-1</f>
        <v>0.14285714285714279</v>
      </c>
      <c r="AD103" s="33"/>
      <c r="AE103" s="2"/>
      <c r="AF103" s="2"/>
      <c r="AG103" s="2"/>
      <c r="AH103" s="2"/>
      <c r="AI103" s="33"/>
      <c r="AJ103" s="33"/>
    </row>
    <row r="104" spans="2:36" x14ac:dyDescent="0.2">
      <c r="B104" s="2"/>
      <c r="C104" s="2"/>
      <c r="D104" s="2"/>
      <c r="E104" s="2"/>
      <c r="F104" s="2"/>
      <c r="G104" s="2"/>
      <c r="H104" s="2"/>
      <c r="I104" s="2"/>
      <c r="J104" s="2"/>
      <c r="K104" s="2"/>
      <c r="L104" s="2"/>
      <c r="M104" s="2"/>
      <c r="N104" s="2"/>
      <c r="O104" s="2"/>
      <c r="P104" s="2"/>
      <c r="Q104" s="2"/>
      <c r="R104" s="2"/>
      <c r="S104" s="2"/>
      <c r="T104" s="2"/>
      <c r="U104" s="2"/>
      <c r="V104" s="2"/>
      <c r="W104" s="2"/>
      <c r="X104" s="2"/>
      <c r="Y104" s="33"/>
      <c r="Z104" s="33"/>
      <c r="AA104" s="33"/>
      <c r="AB104" s="33"/>
      <c r="AC104" s="33"/>
      <c r="AD104" s="33"/>
      <c r="AE104" s="2"/>
      <c r="AF104" s="2"/>
      <c r="AG104" s="2"/>
      <c r="AH104" s="2"/>
      <c r="AI104" s="33"/>
      <c r="AJ104" s="33"/>
    </row>
    <row r="105" spans="2:36" x14ac:dyDescent="0.2">
      <c r="B105" s="1" t="s">
        <v>7</v>
      </c>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c r="AA105" s="162"/>
      <c r="AB105" s="162"/>
      <c r="AC105" s="162"/>
      <c r="AD105" s="162"/>
      <c r="AE105" s="162"/>
      <c r="AF105" s="162"/>
      <c r="AG105" s="162"/>
      <c r="AH105" s="162"/>
      <c r="AI105" s="162"/>
      <c r="AJ105" s="162"/>
    </row>
    <row r="106" spans="2:36" outlineLevel="1" x14ac:dyDescent="0.2">
      <c r="B106" s="3" t="s">
        <v>292</v>
      </c>
      <c r="C106" s="2"/>
      <c r="D106" s="2"/>
      <c r="E106" s="2"/>
      <c r="F106" s="2"/>
      <c r="G106" s="2"/>
      <c r="H106" s="2"/>
      <c r="I106" s="2"/>
      <c r="J106" s="2"/>
      <c r="K106" s="2"/>
      <c r="L106" s="2"/>
      <c r="M106" s="2"/>
      <c r="N106" s="2"/>
      <c r="O106" s="2"/>
      <c r="P106" s="2"/>
      <c r="Q106" s="2"/>
      <c r="R106" s="2"/>
      <c r="S106" s="2"/>
      <c r="T106" s="2"/>
      <c r="U106" s="2"/>
      <c r="V106" s="2"/>
      <c r="W106" s="2"/>
      <c r="X106" s="2"/>
      <c r="Y106" s="205"/>
      <c r="Z106" s="205"/>
      <c r="AA106" s="205"/>
      <c r="AB106" s="205"/>
      <c r="AC106" s="205"/>
      <c r="AD106" s="33"/>
      <c r="AE106" s="2"/>
      <c r="AF106" s="2"/>
      <c r="AG106" s="2"/>
      <c r="AH106" s="2"/>
      <c r="AI106" s="33"/>
      <c r="AJ106" s="33"/>
    </row>
    <row r="107" spans="2:36" outlineLevel="1" x14ac:dyDescent="0.2">
      <c r="B107" s="2" t="s">
        <v>137</v>
      </c>
      <c r="C107" s="2"/>
      <c r="D107" s="2"/>
      <c r="E107" s="2"/>
      <c r="F107" s="2"/>
      <c r="G107" s="2"/>
      <c r="H107" s="2"/>
      <c r="I107" s="2"/>
      <c r="J107" s="2"/>
      <c r="K107" s="2"/>
      <c r="L107" s="2"/>
      <c r="M107" s="2"/>
      <c r="N107" s="2"/>
      <c r="O107" s="2"/>
      <c r="P107" s="2"/>
      <c r="Q107" s="2"/>
      <c r="R107" s="2"/>
      <c r="S107" s="2"/>
      <c r="T107" s="2"/>
      <c r="U107" s="2"/>
      <c r="V107" s="2"/>
      <c r="W107" s="2"/>
      <c r="X107" s="2"/>
      <c r="Y107" s="205"/>
      <c r="Z107" s="205"/>
      <c r="AA107" s="205"/>
      <c r="AB107" s="205"/>
      <c r="AC107" s="205"/>
      <c r="AD107" s="33"/>
      <c r="AE107" s="2"/>
      <c r="AF107" s="2"/>
      <c r="AG107" s="2"/>
      <c r="AH107" s="2"/>
      <c r="AI107" s="33"/>
      <c r="AJ107" s="33"/>
    </row>
    <row r="108" spans="2:36" outlineLevel="1" x14ac:dyDescent="0.2">
      <c r="B108" s="2" t="s">
        <v>303</v>
      </c>
      <c r="C108" s="2"/>
      <c r="D108" s="2"/>
      <c r="E108" s="2"/>
      <c r="F108" s="2"/>
      <c r="G108" s="2"/>
      <c r="H108" s="2"/>
      <c r="I108" s="2"/>
      <c r="J108" s="2"/>
      <c r="K108" s="2"/>
      <c r="L108" s="2"/>
      <c r="M108" s="2"/>
      <c r="N108" s="2"/>
      <c r="O108" s="2"/>
      <c r="P108" s="2"/>
      <c r="Q108" s="2"/>
      <c r="R108" s="2"/>
      <c r="S108" s="2"/>
      <c r="T108" s="2"/>
      <c r="U108" s="2"/>
      <c r="V108" s="2"/>
      <c r="W108" s="2"/>
      <c r="X108" s="2"/>
      <c r="Y108" s="205"/>
      <c r="Z108" s="205"/>
      <c r="AA108" s="205"/>
      <c r="AB108" s="205"/>
      <c r="AC108" s="205"/>
      <c r="AD108" s="33"/>
      <c r="AE108" s="2"/>
      <c r="AF108" s="2"/>
      <c r="AG108" s="2"/>
      <c r="AH108" s="2"/>
      <c r="AI108" s="33"/>
      <c r="AJ108" s="33"/>
    </row>
    <row r="109" spans="2:36" outlineLevel="1" x14ac:dyDescent="0.2">
      <c r="B109" s="2" t="s">
        <v>197</v>
      </c>
      <c r="C109" s="2"/>
      <c r="D109" s="2"/>
      <c r="E109" s="2"/>
      <c r="F109" s="2"/>
      <c r="G109" s="2"/>
      <c r="H109" s="2"/>
      <c r="I109" s="2"/>
      <c r="J109" s="2"/>
      <c r="K109" s="2"/>
      <c r="L109" s="2"/>
      <c r="M109" s="2"/>
      <c r="N109" s="2"/>
      <c r="O109" s="2"/>
      <c r="P109" s="2"/>
      <c r="Q109" s="2"/>
      <c r="R109" s="2"/>
      <c r="S109" s="2"/>
      <c r="T109" s="2"/>
      <c r="U109" s="2"/>
      <c r="V109" s="2"/>
      <c r="W109" s="2"/>
      <c r="X109" s="2"/>
      <c r="Y109" s="205"/>
      <c r="Z109" s="205"/>
      <c r="AA109" s="205"/>
      <c r="AB109" s="205"/>
      <c r="AC109" s="205"/>
      <c r="AD109" s="33"/>
      <c r="AE109" s="2"/>
      <c r="AF109" s="2"/>
      <c r="AG109" s="2"/>
      <c r="AH109" s="2"/>
      <c r="AI109" s="33"/>
      <c r="AJ109" s="33"/>
    </row>
    <row r="110" spans="2:36" outlineLevel="1" x14ac:dyDescent="0.2">
      <c r="B110" s="2" t="s">
        <v>304</v>
      </c>
      <c r="C110" s="2"/>
      <c r="D110" s="2"/>
      <c r="E110" s="2"/>
      <c r="F110" s="2"/>
      <c r="G110" s="2"/>
      <c r="H110" s="2"/>
      <c r="I110" s="2"/>
      <c r="J110" s="2"/>
      <c r="K110" s="2"/>
      <c r="L110" s="2"/>
      <c r="M110" s="2"/>
      <c r="N110" s="2"/>
      <c r="O110" s="2"/>
      <c r="P110" s="2"/>
      <c r="Q110" s="2"/>
      <c r="R110" s="2"/>
      <c r="S110" s="2"/>
      <c r="T110" s="2"/>
      <c r="U110" s="2"/>
      <c r="V110" s="2"/>
      <c r="W110" s="2"/>
      <c r="X110" s="2"/>
      <c r="Y110" s="205"/>
      <c r="Z110" s="205"/>
      <c r="AA110" s="205"/>
      <c r="AB110" s="205"/>
      <c r="AC110" s="205"/>
      <c r="AD110" s="33"/>
      <c r="AE110" s="2"/>
      <c r="AF110" s="2"/>
      <c r="AG110" s="2"/>
      <c r="AH110" s="2"/>
      <c r="AI110" s="33"/>
      <c r="AJ110" s="33"/>
    </row>
    <row r="111" spans="2:36" outlineLevel="1" x14ac:dyDescent="0.2">
      <c r="B111" s="2"/>
      <c r="C111" s="2"/>
      <c r="D111" s="2"/>
      <c r="E111" s="2"/>
      <c r="F111" s="2"/>
      <c r="G111" s="2"/>
      <c r="H111" s="2"/>
      <c r="I111" s="2"/>
      <c r="J111" s="2"/>
      <c r="K111" s="2"/>
      <c r="L111" s="2"/>
      <c r="M111" s="2"/>
      <c r="N111" s="2"/>
      <c r="O111" s="2"/>
      <c r="P111" s="2"/>
      <c r="Q111" s="2"/>
      <c r="R111" s="2"/>
      <c r="S111" s="2"/>
      <c r="T111" s="2"/>
      <c r="U111" s="2"/>
      <c r="V111" s="2"/>
      <c r="W111" s="2"/>
      <c r="X111" s="2"/>
      <c r="Y111" s="205"/>
      <c r="Z111" s="205"/>
      <c r="AA111" s="205"/>
      <c r="AB111" s="205"/>
      <c r="AC111" s="205"/>
      <c r="AD111" s="33"/>
      <c r="AE111" s="2"/>
      <c r="AF111" s="2"/>
      <c r="AG111" s="2"/>
      <c r="AH111" s="2"/>
      <c r="AI111" s="33"/>
      <c r="AJ111" s="33"/>
    </row>
    <row r="112" spans="2:36" outlineLevel="1" x14ac:dyDescent="0.2">
      <c r="B112" s="2" t="s">
        <v>305</v>
      </c>
      <c r="C112" s="2"/>
      <c r="D112" s="2"/>
      <c r="E112" s="2"/>
      <c r="F112" s="2"/>
      <c r="G112" s="2"/>
      <c r="H112" s="2"/>
      <c r="I112" s="2"/>
      <c r="J112" s="2"/>
      <c r="K112" s="2"/>
      <c r="L112" s="2"/>
      <c r="M112" s="2"/>
      <c r="N112" s="2"/>
      <c r="O112" s="2"/>
      <c r="P112" s="2"/>
      <c r="Q112" s="2"/>
      <c r="R112" s="2"/>
      <c r="S112" s="2"/>
      <c r="T112" s="2"/>
      <c r="U112" s="2"/>
      <c r="V112" s="2"/>
      <c r="W112" s="2"/>
      <c r="X112" s="2"/>
      <c r="Y112" s="205"/>
      <c r="Z112" s="205"/>
      <c r="AA112" s="205"/>
      <c r="AB112" s="205"/>
      <c r="AC112" s="205"/>
      <c r="AD112" s="33"/>
      <c r="AE112" s="2"/>
      <c r="AF112" s="2"/>
      <c r="AG112" s="2"/>
      <c r="AH112" s="2"/>
      <c r="AI112" s="33"/>
      <c r="AJ112" s="33"/>
    </row>
    <row r="113" spans="1:36" outlineLevel="1" x14ac:dyDescent="0.2">
      <c r="B113" s="2" t="s">
        <v>137</v>
      </c>
      <c r="C113" s="2"/>
      <c r="D113" s="2"/>
      <c r="E113" s="2"/>
      <c r="F113" s="2"/>
      <c r="G113" s="2"/>
      <c r="H113" s="2"/>
      <c r="I113" s="2"/>
      <c r="J113" s="2"/>
      <c r="K113" s="2"/>
      <c r="L113" s="2"/>
      <c r="M113" s="2"/>
      <c r="N113" s="2"/>
      <c r="O113" s="2"/>
      <c r="P113" s="2"/>
      <c r="Q113" s="2"/>
      <c r="R113" s="2"/>
      <c r="S113" s="2"/>
      <c r="T113" s="2"/>
      <c r="U113" s="2"/>
      <c r="V113" s="2"/>
      <c r="W113" s="2"/>
      <c r="X113" s="2"/>
      <c r="Y113" s="205"/>
      <c r="Z113" s="205"/>
      <c r="AA113" s="205"/>
      <c r="AB113" s="205"/>
      <c r="AC113" s="205"/>
      <c r="AD113" s="33"/>
      <c r="AE113" s="2"/>
      <c r="AF113" s="2"/>
      <c r="AG113" s="2"/>
      <c r="AH113" s="2"/>
      <c r="AI113" s="33"/>
      <c r="AJ113" s="33"/>
    </row>
    <row r="114" spans="1:36" x14ac:dyDescent="0.2">
      <c r="B114" s="2"/>
      <c r="C114" s="2"/>
      <c r="D114" s="2"/>
      <c r="E114" s="2"/>
      <c r="F114" s="2"/>
      <c r="G114" s="2"/>
      <c r="H114" s="2"/>
      <c r="I114" s="2"/>
      <c r="J114" s="2"/>
      <c r="K114" s="2"/>
      <c r="L114" s="2"/>
      <c r="M114" s="2"/>
      <c r="N114" s="2"/>
      <c r="O114" s="2"/>
      <c r="P114" s="2"/>
      <c r="Q114" s="2"/>
      <c r="R114" s="2"/>
      <c r="S114" s="2"/>
      <c r="T114" s="2"/>
      <c r="U114" s="2"/>
      <c r="V114" s="2"/>
      <c r="W114" s="2"/>
      <c r="X114" s="2"/>
      <c r="Y114" s="33"/>
      <c r="Z114" s="33"/>
      <c r="AA114" s="33"/>
      <c r="AB114" s="33"/>
      <c r="AC114" s="33"/>
      <c r="AD114" s="33"/>
      <c r="AE114" s="2"/>
      <c r="AF114" s="2"/>
      <c r="AG114" s="2"/>
      <c r="AH114" s="2"/>
      <c r="AI114" s="33"/>
      <c r="AJ114" s="33"/>
    </row>
    <row r="115" spans="1:36" ht="13.5" customHeight="1" x14ac:dyDescent="0.2">
      <c r="B115" s="39" t="s">
        <v>321</v>
      </c>
      <c r="C115" s="40"/>
      <c r="D115" s="40"/>
      <c r="E115" s="40"/>
      <c r="F115" s="40"/>
      <c r="G115" s="40"/>
      <c r="H115" s="40"/>
      <c r="I115" s="40"/>
      <c r="J115" s="40"/>
      <c r="K115" s="40"/>
      <c r="L115" s="40"/>
      <c r="M115" s="40"/>
      <c r="N115" s="40"/>
      <c r="O115" s="40"/>
      <c r="P115" s="40"/>
      <c r="Q115" s="40"/>
      <c r="R115" s="6"/>
      <c r="S115" s="6"/>
      <c r="T115" s="6"/>
      <c r="U115" s="6"/>
      <c r="V115" s="6"/>
      <c r="W115" s="6"/>
      <c r="X115" s="6"/>
      <c r="Y115" s="6"/>
      <c r="Z115" s="6"/>
      <c r="AA115" s="6"/>
      <c r="AB115" s="6"/>
      <c r="AC115" s="6"/>
      <c r="AD115" s="6"/>
      <c r="AE115" s="6"/>
      <c r="AF115" s="6"/>
      <c r="AG115" s="6"/>
      <c r="AH115" s="6"/>
      <c r="AI115" s="6"/>
      <c r="AJ115" s="6"/>
    </row>
    <row r="116" spans="1:36" x14ac:dyDescent="0.2">
      <c r="B116" s="2"/>
      <c r="C116" s="2"/>
      <c r="D116" s="2"/>
      <c r="E116" s="2"/>
      <c r="F116" s="2"/>
      <c r="G116" s="2"/>
      <c r="H116" s="2"/>
      <c r="I116" s="2"/>
      <c r="J116" s="2"/>
      <c r="K116" s="2"/>
      <c r="L116" s="2"/>
      <c r="M116" s="2"/>
      <c r="N116" s="2"/>
      <c r="O116" s="2"/>
      <c r="P116" s="2"/>
      <c r="Q116" s="2"/>
      <c r="R116" s="2"/>
      <c r="S116" s="2"/>
      <c r="T116" s="2"/>
      <c r="U116" s="2"/>
      <c r="V116" s="2"/>
      <c r="W116" s="2"/>
      <c r="X116" s="2"/>
      <c r="Y116" s="33"/>
      <c r="Z116" s="33"/>
      <c r="AA116" s="33"/>
      <c r="AB116" s="33"/>
      <c r="AC116" s="33"/>
      <c r="AD116" s="33"/>
      <c r="AE116" s="2"/>
      <c r="AF116" s="2"/>
      <c r="AG116" s="2"/>
      <c r="AH116" s="2"/>
      <c r="AI116" s="33"/>
      <c r="AJ116" s="33"/>
    </row>
    <row r="117" spans="1:36" x14ac:dyDescent="0.2">
      <c r="B117" s="3" t="s">
        <v>0</v>
      </c>
      <c r="C117" s="62">
        <f t="shared" ref="C117:AC117" si="209">C13</f>
        <v>158</v>
      </c>
      <c r="D117" s="62">
        <f t="shared" si="209"/>
        <v>238</v>
      </c>
      <c r="E117" s="62">
        <f t="shared" si="209"/>
        <v>362</v>
      </c>
      <c r="F117" s="62">
        <f t="shared" si="209"/>
        <v>511</v>
      </c>
      <c r="G117" s="62">
        <f t="shared" si="209"/>
        <v>701</v>
      </c>
      <c r="H117" s="62">
        <f t="shared" si="209"/>
        <v>951</v>
      </c>
      <c r="I117" s="62">
        <f t="shared" si="209"/>
        <v>1231</v>
      </c>
      <c r="J117" s="62">
        <f t="shared" si="209"/>
        <v>1518</v>
      </c>
      <c r="K117" s="62">
        <f t="shared" si="209"/>
        <v>1847</v>
      </c>
      <c r="L117" s="62">
        <f t="shared" si="209"/>
        <v>2183</v>
      </c>
      <c r="M117" s="62">
        <f t="shared" si="209"/>
        <v>2542</v>
      </c>
      <c r="N117" s="62">
        <f t="shared" si="209"/>
        <v>3133</v>
      </c>
      <c r="O117" s="62">
        <f t="shared" si="209"/>
        <v>3825</v>
      </c>
      <c r="P117" s="62">
        <f t="shared" si="209"/>
        <v>4388</v>
      </c>
      <c r="Q117" s="62">
        <f t="shared" si="209"/>
        <v>4857</v>
      </c>
      <c r="R117" s="62">
        <f t="shared" si="209"/>
        <v>5355</v>
      </c>
      <c r="S117" s="62">
        <f t="shared" si="209"/>
        <v>5756</v>
      </c>
      <c r="T117" s="62">
        <f t="shared" si="209"/>
        <v>5893</v>
      </c>
      <c r="U117" s="62">
        <f t="shared" si="209"/>
        <v>6825</v>
      </c>
      <c r="V117" s="62">
        <f t="shared" si="209"/>
        <v>7888</v>
      </c>
      <c r="W117" s="62">
        <f t="shared" si="209"/>
        <v>9001.9</v>
      </c>
      <c r="X117" s="62">
        <f t="shared" si="209"/>
        <v>10268.5</v>
      </c>
      <c r="Y117" s="42">
        <f t="shared" si="209"/>
        <v>11792.299976602593</v>
      </c>
      <c r="Z117" s="42">
        <f t="shared" si="209"/>
        <v>13128.916202576673</v>
      </c>
      <c r="AA117" s="42">
        <f t="shared" si="209"/>
        <v>14234.604647240276</v>
      </c>
      <c r="AB117" s="42">
        <f t="shared" si="209"/>
        <v>15394.43127158374</v>
      </c>
      <c r="AC117" s="42">
        <f t="shared" si="209"/>
        <v>16626.93626402221</v>
      </c>
      <c r="AD117" s="33"/>
      <c r="AE117" s="62">
        <f t="shared" ref="AE117:AJ117" si="210">AE13</f>
        <v>4559.3999999999996</v>
      </c>
      <c r="AF117" s="62">
        <f t="shared" si="210"/>
        <v>4442.5</v>
      </c>
      <c r="AG117" s="62">
        <f t="shared" si="210"/>
        <v>5154.2</v>
      </c>
      <c r="AH117" s="62">
        <f t="shared" si="210"/>
        <v>5114.3</v>
      </c>
      <c r="AI117" s="42">
        <f t="shared" si="210"/>
        <v>5995.6835450009585</v>
      </c>
      <c r="AJ117" s="42">
        <f t="shared" si="210"/>
        <v>5796.6164316016348</v>
      </c>
    </row>
    <row r="118" spans="1:36" x14ac:dyDescent="0.2">
      <c r="B118" s="2" t="s">
        <v>137</v>
      </c>
      <c r="C118" s="2"/>
      <c r="D118" s="2"/>
      <c r="E118" s="2"/>
      <c r="F118" s="2"/>
      <c r="G118" s="2"/>
      <c r="H118" s="2"/>
      <c r="I118" s="2"/>
      <c r="J118" s="2"/>
      <c r="K118" s="2"/>
      <c r="L118" s="2"/>
      <c r="M118" s="2"/>
      <c r="N118" s="2"/>
      <c r="O118" s="2"/>
      <c r="P118" s="2"/>
      <c r="Q118" s="2"/>
      <c r="R118" s="2"/>
      <c r="S118" s="2"/>
      <c r="T118" s="2"/>
      <c r="U118" s="2"/>
      <c r="V118" s="2"/>
      <c r="W118" s="2"/>
      <c r="X118" s="61">
        <f t="shared" ref="X118" si="211">X117/W117-1</f>
        <v>0.1407036292338284</v>
      </c>
      <c r="Y118" s="34">
        <f t="shared" ref="Y118" si="212">Y117/X117-1</f>
        <v>0.14839557643303247</v>
      </c>
      <c r="Z118" s="34">
        <f t="shared" ref="Z118" si="213">Z117/Y117-1</f>
        <v>0.11334652515845889</v>
      </c>
      <c r="AA118" s="34">
        <f t="shared" ref="AA118" si="214">AA117/Z117-1</f>
        <v>8.4217800434022161E-2</v>
      </c>
      <c r="AB118" s="34">
        <f t="shared" ref="AB118" si="215">AB117/AA117-1</f>
        <v>8.1479370385487027E-2</v>
      </c>
      <c r="AC118" s="34">
        <f t="shared" ref="AC118" si="216">AC117/AB117-1</f>
        <v>8.0061742502532285E-2</v>
      </c>
      <c r="AD118" s="33"/>
      <c r="AE118" s="2"/>
      <c r="AF118" s="2"/>
      <c r="AG118" s="61">
        <f t="shared" ref="AG118" si="217">AG117/AE117-1</f>
        <v>0.13045576172303375</v>
      </c>
      <c r="AH118" s="61">
        <f t="shared" ref="AH118" si="218">AH117/AF117-1</f>
        <v>0.15122115925717505</v>
      </c>
      <c r="AI118" s="34">
        <f t="shared" ref="AI118" si="219">AI117/AG117-1</f>
        <v>0.16326171762852804</v>
      </c>
      <c r="AJ118" s="34">
        <f t="shared" ref="AJ118" si="220">AJ117/AH117-1</f>
        <v>0.13341345474485933</v>
      </c>
    </row>
    <row r="119" spans="1:36" x14ac:dyDescent="0.2">
      <c r="B119" s="2"/>
      <c r="C119" s="2"/>
      <c r="D119" s="2"/>
      <c r="E119" s="2"/>
      <c r="F119" s="2"/>
      <c r="G119" s="2"/>
      <c r="H119" s="2"/>
      <c r="I119" s="2"/>
      <c r="J119" s="2"/>
      <c r="K119" s="2"/>
      <c r="L119" s="2"/>
      <c r="M119" s="2"/>
      <c r="N119" s="2"/>
      <c r="O119" s="2"/>
      <c r="P119" s="2"/>
      <c r="Q119" s="2"/>
      <c r="R119" s="2"/>
      <c r="S119" s="2"/>
      <c r="T119" s="2"/>
      <c r="U119" s="2"/>
      <c r="V119" s="2"/>
      <c r="W119" s="2"/>
      <c r="X119" s="2"/>
      <c r="Y119" s="33"/>
      <c r="Z119" s="33"/>
      <c r="AA119" s="33"/>
      <c r="AB119" s="33"/>
      <c r="AC119" s="33"/>
      <c r="AD119" s="33"/>
      <c r="AE119" s="2"/>
      <c r="AF119" s="2"/>
      <c r="AG119" s="2"/>
      <c r="AH119" s="2"/>
      <c r="AI119" s="33"/>
      <c r="AJ119" s="33"/>
    </row>
    <row r="120" spans="1:36" x14ac:dyDescent="0.2">
      <c r="A120" s="29" t="s">
        <v>126</v>
      </c>
      <c r="B120" s="3" t="s">
        <v>8</v>
      </c>
      <c r="C120" s="2"/>
      <c r="D120" s="2"/>
      <c r="E120" s="2"/>
      <c r="F120" s="2"/>
      <c r="G120" s="2"/>
      <c r="H120" s="2"/>
      <c r="I120" s="2"/>
      <c r="J120" s="2"/>
      <c r="K120" s="2"/>
      <c r="L120" s="2"/>
      <c r="M120" s="2"/>
      <c r="N120" s="2"/>
      <c r="O120" s="2"/>
      <c r="P120" s="2"/>
      <c r="Q120" s="2"/>
      <c r="R120" s="2"/>
      <c r="S120" s="2"/>
      <c r="T120" s="2"/>
      <c r="U120" s="2"/>
      <c r="V120" s="2"/>
      <c r="W120" s="152">
        <v>6655.7</v>
      </c>
      <c r="X120" s="152">
        <v>9591.2999999999993</v>
      </c>
      <c r="Y120" s="42">
        <f>Y117*Y122</f>
        <v>10928.78463449656</v>
      </c>
      <c r="Z120" s="42">
        <f t="shared" ref="Z120:AC120" si="221">Z117*Z122</f>
        <v>12084.818883243226</v>
      </c>
      <c r="AA120" s="42">
        <f t="shared" si="221"/>
        <v>12985.046854052593</v>
      </c>
      <c r="AB120" s="42">
        <f t="shared" si="221"/>
        <v>13921.646673850775</v>
      </c>
      <c r="AC120" s="42">
        <f t="shared" si="221"/>
        <v>14912.318658610697</v>
      </c>
      <c r="AD120" s="42"/>
      <c r="AE120" s="2"/>
      <c r="AF120" s="2"/>
      <c r="AG120" s="2"/>
      <c r="AH120" s="2"/>
      <c r="AI120" s="42">
        <f>AI117*AI122</f>
        <v>5556.6373251970563</v>
      </c>
      <c r="AJ120" s="42">
        <f>Y120-AI120</f>
        <v>5372.1473092995038</v>
      </c>
    </row>
    <row r="121" spans="1:36" x14ac:dyDescent="0.2">
      <c r="B121" s="2" t="s">
        <v>137</v>
      </c>
      <c r="C121" s="2"/>
      <c r="D121" s="2"/>
      <c r="E121" s="2"/>
      <c r="F121" s="2"/>
      <c r="G121" s="2"/>
      <c r="H121" s="2"/>
      <c r="I121" s="2"/>
      <c r="J121" s="2"/>
      <c r="K121" s="2"/>
      <c r="L121" s="2"/>
      <c r="M121" s="2"/>
      <c r="N121" s="2"/>
      <c r="O121" s="2"/>
      <c r="P121" s="2"/>
      <c r="Q121" s="2"/>
      <c r="R121" s="2"/>
      <c r="S121" s="2"/>
      <c r="T121" s="2"/>
      <c r="U121" s="2"/>
      <c r="V121" s="2"/>
      <c r="W121" s="2"/>
      <c r="X121" s="61">
        <f t="shared" ref="X121:AC121" si="222">X120/W120-1</f>
        <v>0.44106555283441251</v>
      </c>
      <c r="Y121" s="34">
        <f t="shared" si="222"/>
        <v>0.13944769056296447</v>
      </c>
      <c r="Z121" s="34">
        <f t="shared" si="222"/>
        <v>0.10577884800636106</v>
      </c>
      <c r="AA121" s="34">
        <f t="shared" si="222"/>
        <v>7.449246691298117E-2</v>
      </c>
      <c r="AB121" s="34">
        <f t="shared" si="222"/>
        <v>7.2129105911225233E-2</v>
      </c>
      <c r="AC121" s="34">
        <f t="shared" si="222"/>
        <v>7.1160546447476936E-2</v>
      </c>
      <c r="AD121" s="33"/>
      <c r="AE121" s="2"/>
      <c r="AF121" s="2"/>
      <c r="AG121" s="2"/>
      <c r="AH121" s="2"/>
      <c r="AI121" s="33"/>
      <c r="AJ121" s="33"/>
    </row>
    <row r="122" spans="1:36" x14ac:dyDescent="0.2">
      <c r="B122" s="2" t="s">
        <v>182</v>
      </c>
      <c r="C122" s="2"/>
      <c r="D122" s="2"/>
      <c r="E122" s="2"/>
      <c r="F122" s="2"/>
      <c r="G122" s="2"/>
      <c r="H122" s="2"/>
      <c r="I122" s="2"/>
      <c r="J122" s="2"/>
      <c r="K122" s="2"/>
      <c r="L122" s="2"/>
      <c r="M122" s="2"/>
      <c r="N122" s="2"/>
      <c r="O122" s="2"/>
      <c r="P122" s="2"/>
      <c r="Q122" s="2"/>
      <c r="R122" s="2"/>
      <c r="S122" s="2"/>
      <c r="T122" s="2"/>
      <c r="U122" s="2"/>
      <c r="V122" s="61"/>
      <c r="W122" s="61">
        <f>W120/W13</f>
        <v>0.73936613381619432</v>
      </c>
      <c r="X122" s="61">
        <f>X120/X13</f>
        <v>0.93405073769294433</v>
      </c>
      <c r="Y122" s="34">
        <f>X122+Y123</f>
        <v>0.92677294982154834</v>
      </c>
      <c r="Z122" s="34">
        <f t="shared" ref="Z122:AC122" si="223">Y122+Z123</f>
        <v>0.92047345696908833</v>
      </c>
      <c r="AA122" s="34">
        <f t="shared" si="223"/>
        <v>0.91221689508391512</v>
      </c>
      <c r="AB122" s="34">
        <f t="shared" si="223"/>
        <v>0.90433004170465536</v>
      </c>
      <c r="AC122" s="34">
        <f t="shared" si="223"/>
        <v>0.89687711685515714</v>
      </c>
      <c r="AD122" s="33"/>
      <c r="AE122" s="2"/>
      <c r="AF122" s="2"/>
      <c r="AG122" s="2"/>
      <c r="AH122" s="2"/>
      <c r="AI122" s="43">
        <f>Y122</f>
        <v>0.92677294982154834</v>
      </c>
      <c r="AJ122" s="34">
        <f>AJ120/AJ13</f>
        <v>0.92677294982154823</v>
      </c>
    </row>
    <row r="123" spans="1:36" x14ac:dyDescent="0.2">
      <c r="B123" s="2" t="s">
        <v>178</v>
      </c>
      <c r="C123" s="2"/>
      <c r="D123" s="2"/>
      <c r="E123" s="2"/>
      <c r="F123" s="2"/>
      <c r="G123" s="2"/>
      <c r="H123" s="2"/>
      <c r="I123" s="2"/>
      <c r="J123" s="2"/>
      <c r="K123" s="2"/>
      <c r="L123" s="2"/>
      <c r="M123" s="2"/>
      <c r="N123" s="2"/>
      <c r="O123" s="2"/>
      <c r="P123" s="2"/>
      <c r="Q123" s="2"/>
      <c r="R123" s="2"/>
      <c r="S123" s="2"/>
      <c r="T123" s="2"/>
      <c r="U123" s="2"/>
      <c r="V123" s="2"/>
      <c r="W123" s="2"/>
      <c r="X123" s="31">
        <f>X122-W122</f>
        <v>0.19468460387675002</v>
      </c>
      <c r="Y123" s="270">
        <v>-7.2777878713959718E-3</v>
      </c>
      <c r="Z123" s="270">
        <v>-6.2994928524599935E-3</v>
      </c>
      <c r="AA123" s="270">
        <v>-8.2565618851731925E-3</v>
      </c>
      <c r="AB123" s="270">
        <v>-7.8868533792597149E-3</v>
      </c>
      <c r="AC123" s="270">
        <v>-7.4529248494982084E-3</v>
      </c>
      <c r="AD123" s="33"/>
      <c r="AE123" s="2"/>
      <c r="AF123" s="2"/>
      <c r="AG123" s="2"/>
      <c r="AH123" s="2"/>
      <c r="AI123" s="33"/>
      <c r="AJ123" s="33"/>
    </row>
    <row r="124" spans="1:36" x14ac:dyDescent="0.2">
      <c r="B124" s="2"/>
      <c r="C124" s="2"/>
      <c r="D124" s="2"/>
      <c r="E124" s="2"/>
      <c r="F124" s="2"/>
      <c r="G124" s="2"/>
      <c r="H124" s="2"/>
      <c r="I124" s="2"/>
      <c r="J124" s="2"/>
      <c r="K124" s="2"/>
      <c r="L124" s="2"/>
      <c r="M124" s="2"/>
      <c r="N124" s="2"/>
      <c r="O124" s="2"/>
      <c r="P124" s="2"/>
      <c r="Q124" s="2"/>
      <c r="R124" s="2"/>
      <c r="S124" s="2"/>
      <c r="T124" s="2"/>
      <c r="U124" s="2"/>
      <c r="V124" s="2"/>
      <c r="W124" s="2"/>
      <c r="X124" s="2"/>
      <c r="Y124" s="33"/>
      <c r="Z124" s="33"/>
      <c r="AA124" s="33"/>
      <c r="AB124" s="33"/>
      <c r="AC124" s="33"/>
      <c r="AD124" s="33"/>
      <c r="AE124" s="2"/>
      <c r="AF124" s="2"/>
      <c r="AG124" s="2"/>
      <c r="AH124" s="2"/>
      <c r="AI124" s="33"/>
      <c r="AJ124" s="33"/>
    </row>
    <row r="125" spans="1:36" x14ac:dyDescent="0.2">
      <c r="B125" s="2" t="s">
        <v>322</v>
      </c>
      <c r="C125" s="2"/>
      <c r="D125" s="2"/>
      <c r="E125" s="2"/>
      <c r="F125" s="2"/>
      <c r="G125" s="2"/>
      <c r="H125" s="2"/>
      <c r="I125" s="2"/>
      <c r="J125" s="2"/>
      <c r="K125" s="2"/>
      <c r="L125" s="2"/>
      <c r="M125" s="2"/>
      <c r="N125" s="2"/>
      <c r="O125" s="2"/>
      <c r="P125" s="2"/>
      <c r="Q125" s="2"/>
      <c r="R125" s="2"/>
      <c r="S125" s="2"/>
      <c r="T125" s="2"/>
      <c r="U125" s="2"/>
      <c r="V125" s="2"/>
      <c r="W125" s="2"/>
      <c r="X125" s="2"/>
      <c r="Y125" s="33"/>
      <c r="Z125" s="33"/>
      <c r="AA125" s="33"/>
      <c r="AB125" s="33"/>
      <c r="AC125" s="33"/>
      <c r="AD125" s="33"/>
      <c r="AE125" s="2"/>
      <c r="AF125" s="2"/>
      <c r="AG125" s="2"/>
      <c r="AH125" s="2"/>
      <c r="AI125" s="33"/>
      <c r="AJ125" s="33"/>
    </row>
    <row r="126" spans="1:36" x14ac:dyDescent="0.2">
      <c r="B126" s="2" t="s">
        <v>323</v>
      </c>
      <c r="C126" s="2"/>
      <c r="D126" s="2"/>
      <c r="E126" s="2"/>
      <c r="F126" s="2"/>
      <c r="G126" s="2"/>
      <c r="H126" s="2"/>
      <c r="I126" s="2"/>
      <c r="J126" s="2"/>
      <c r="K126" s="2"/>
      <c r="L126" s="2"/>
      <c r="M126" s="2"/>
      <c r="N126" s="2"/>
      <c r="O126" s="2"/>
      <c r="P126" s="2"/>
      <c r="Q126" s="2"/>
      <c r="R126" s="2"/>
      <c r="S126" s="2"/>
      <c r="T126" s="2"/>
      <c r="U126" s="2"/>
      <c r="V126" s="2"/>
      <c r="W126" s="2"/>
      <c r="X126" s="2"/>
      <c r="Y126" s="33"/>
      <c r="Z126" s="33"/>
      <c r="AA126" s="33"/>
      <c r="AB126" s="33"/>
      <c r="AC126" s="33"/>
      <c r="AD126" s="33"/>
      <c r="AE126" s="2"/>
      <c r="AF126" s="2"/>
      <c r="AG126" s="2"/>
      <c r="AH126" s="2"/>
      <c r="AI126" s="33"/>
      <c r="AJ126" s="33"/>
    </row>
    <row r="127" spans="1:36" x14ac:dyDescent="0.2">
      <c r="B127" s="2"/>
      <c r="C127" s="2"/>
      <c r="D127" s="2"/>
      <c r="E127" s="2"/>
      <c r="F127" s="2"/>
      <c r="G127" s="2"/>
      <c r="H127" s="2"/>
      <c r="I127" s="2"/>
      <c r="J127" s="2"/>
      <c r="K127" s="2"/>
      <c r="L127" s="2"/>
      <c r="M127" s="2"/>
      <c r="N127" s="2"/>
      <c r="O127" s="2"/>
      <c r="P127" s="2"/>
      <c r="Q127" s="2"/>
      <c r="R127" s="2"/>
      <c r="S127" s="2"/>
      <c r="T127" s="2"/>
      <c r="U127" s="2"/>
      <c r="V127" s="2"/>
      <c r="W127" s="2"/>
      <c r="X127" s="2"/>
      <c r="Y127" s="33"/>
      <c r="Z127" s="33"/>
      <c r="AA127" s="33"/>
      <c r="AB127" s="33"/>
      <c r="AC127" s="33"/>
      <c r="AD127" s="33"/>
      <c r="AE127" s="2"/>
      <c r="AF127" s="2"/>
      <c r="AG127" s="2"/>
      <c r="AH127" s="2"/>
      <c r="AI127" s="33"/>
      <c r="AJ127" s="33"/>
    </row>
    <row r="128" spans="1:36" x14ac:dyDescent="0.2">
      <c r="B128" s="2" t="s">
        <v>1</v>
      </c>
      <c r="C128" s="2"/>
      <c r="D128" s="2"/>
      <c r="E128" s="2"/>
      <c r="F128" s="2"/>
      <c r="G128" s="2"/>
      <c r="H128" s="2"/>
      <c r="I128" s="2"/>
      <c r="J128" s="2"/>
      <c r="K128" s="2"/>
      <c r="L128" s="2"/>
      <c r="M128" s="2"/>
      <c r="N128" s="2"/>
      <c r="O128" s="2"/>
      <c r="P128" s="2"/>
      <c r="Q128" s="2"/>
      <c r="R128" s="2"/>
      <c r="S128" s="2"/>
      <c r="T128" s="2"/>
      <c r="U128" s="2"/>
      <c r="V128" s="2"/>
      <c r="W128" s="2"/>
      <c r="X128" s="2"/>
      <c r="Y128" s="33"/>
      <c r="Z128" s="33"/>
      <c r="AA128" s="33"/>
      <c r="AB128" s="33"/>
      <c r="AC128" s="33"/>
      <c r="AD128" s="33"/>
      <c r="AE128" s="2"/>
      <c r="AF128" s="2"/>
      <c r="AG128" s="2"/>
      <c r="AH128" s="2"/>
      <c r="AI128" s="33"/>
      <c r="AJ128" s="33"/>
    </row>
    <row r="129" spans="1:36" x14ac:dyDescent="0.2">
      <c r="B129" s="2" t="s">
        <v>124</v>
      </c>
      <c r="C129" s="2"/>
      <c r="D129" s="2"/>
      <c r="E129" s="2"/>
      <c r="F129" s="2"/>
      <c r="G129" s="2"/>
      <c r="H129" s="2"/>
      <c r="I129" s="2"/>
      <c r="J129" s="2"/>
      <c r="K129" s="2"/>
      <c r="L129" s="2"/>
      <c r="M129" s="2"/>
      <c r="N129" s="2"/>
      <c r="O129" s="2"/>
      <c r="P129" s="2"/>
      <c r="Q129" s="2"/>
      <c r="R129" s="2"/>
      <c r="S129" s="2"/>
      <c r="T129" s="2"/>
      <c r="U129" s="2"/>
      <c r="V129" s="2"/>
      <c r="W129" s="2"/>
      <c r="X129" s="2"/>
      <c r="Y129" s="33"/>
      <c r="Z129" s="33"/>
      <c r="AA129" s="33"/>
      <c r="AB129" s="33"/>
      <c r="AC129" s="33"/>
      <c r="AD129" s="33"/>
      <c r="AE129" s="2"/>
      <c r="AF129" s="2"/>
      <c r="AG129" s="2"/>
      <c r="AH129" s="2"/>
      <c r="AI129" s="33"/>
      <c r="AJ129" s="33"/>
    </row>
    <row r="130" spans="1:36" x14ac:dyDescent="0.2">
      <c r="B130" s="2"/>
      <c r="C130" s="2"/>
      <c r="D130" s="2"/>
      <c r="E130" s="2"/>
      <c r="F130" s="2"/>
      <c r="G130" s="2"/>
      <c r="H130" s="2"/>
      <c r="I130" s="2"/>
      <c r="J130" s="2"/>
      <c r="K130" s="2"/>
      <c r="L130" s="2"/>
      <c r="M130" s="2"/>
      <c r="N130" s="2"/>
      <c r="O130" s="2"/>
      <c r="P130" s="2"/>
      <c r="Q130" s="2"/>
      <c r="R130" s="2"/>
      <c r="S130" s="2"/>
      <c r="T130" s="2"/>
      <c r="U130" s="2"/>
      <c r="V130" s="2"/>
      <c r="W130" s="2"/>
      <c r="X130" s="2"/>
      <c r="Y130" s="33"/>
      <c r="Z130" s="33"/>
      <c r="AA130" s="33"/>
      <c r="AB130" s="33"/>
      <c r="AC130" s="33"/>
      <c r="AD130" s="33"/>
      <c r="AE130" s="2"/>
      <c r="AF130" s="2"/>
      <c r="AG130" s="2"/>
      <c r="AH130" s="2"/>
      <c r="AI130" s="33"/>
      <c r="AJ130" s="33"/>
    </row>
    <row r="131" spans="1:36" x14ac:dyDescent="0.2">
      <c r="A131" s="29" t="s">
        <v>198</v>
      </c>
      <c r="B131" s="3" t="s">
        <v>198</v>
      </c>
      <c r="C131" s="2"/>
      <c r="D131" s="2"/>
      <c r="E131" s="2"/>
      <c r="F131" s="2"/>
      <c r="G131" s="2"/>
      <c r="H131" s="2"/>
      <c r="I131" s="2"/>
      <c r="J131" s="2"/>
      <c r="K131" s="2"/>
      <c r="L131" s="2"/>
      <c r="M131" s="2"/>
      <c r="N131" s="2"/>
      <c r="O131" s="2"/>
      <c r="P131" s="2"/>
      <c r="Q131" s="2"/>
      <c r="R131" s="2"/>
      <c r="S131" s="2"/>
      <c r="T131" s="2"/>
      <c r="U131" s="2"/>
      <c r="V131" s="2"/>
      <c r="W131" s="152">
        <v>1312.3</v>
      </c>
      <c r="X131" s="152">
        <v>1698.6</v>
      </c>
      <c r="Y131" s="42">
        <f>Y135*Y117</f>
        <v>1947.1270361361683</v>
      </c>
      <c r="Z131" s="42">
        <f t="shared" ref="Z131:AC131" si="224">Z135*Z117</f>
        <v>2185.157289111693</v>
      </c>
      <c r="AA131" s="42">
        <f t="shared" si="224"/>
        <v>2390.5383365739108</v>
      </c>
      <c r="AB131" s="42">
        <f t="shared" si="224"/>
        <v>2609.948985154856</v>
      </c>
      <c r="AC131" s="42">
        <f t="shared" si="224"/>
        <v>2848.83453402431</v>
      </c>
      <c r="AD131" s="42"/>
      <c r="AE131" s="2"/>
      <c r="AF131" s="2"/>
      <c r="AG131" s="2"/>
      <c r="AH131" s="2"/>
      <c r="AI131" s="42">
        <f>AI133*AI120</f>
        <v>989.99835093675586</v>
      </c>
      <c r="AJ131" s="42">
        <f>Y131-AI131</f>
        <v>957.12868519941242</v>
      </c>
    </row>
    <row r="132" spans="1:36" x14ac:dyDescent="0.2">
      <c r="B132" s="2" t="s">
        <v>137</v>
      </c>
      <c r="C132" s="2"/>
      <c r="D132" s="2"/>
      <c r="E132" s="2"/>
      <c r="F132" s="2"/>
      <c r="G132" s="2"/>
      <c r="H132" s="2"/>
      <c r="I132" s="2"/>
      <c r="J132" s="2"/>
      <c r="K132" s="2"/>
      <c r="L132" s="2"/>
      <c r="M132" s="2"/>
      <c r="N132" s="2"/>
      <c r="O132" s="2"/>
      <c r="P132" s="2"/>
      <c r="Q132" s="2"/>
      <c r="R132" s="2"/>
      <c r="S132" s="2"/>
      <c r="T132" s="2"/>
      <c r="U132" s="2"/>
      <c r="V132" s="2"/>
      <c r="W132" s="61"/>
      <c r="X132" s="61">
        <f t="shared" ref="X132:AC132" si="225">X131/W131-1</f>
        <v>0.29436866570144016</v>
      </c>
      <c r="Y132" s="34">
        <f t="shared" si="225"/>
        <v>0.14631286714716141</v>
      </c>
      <c r="Z132" s="34">
        <f t="shared" si="225"/>
        <v>0.12224690457170495</v>
      </c>
      <c r="AA132" s="34">
        <f t="shared" si="225"/>
        <v>9.398913683953114E-2</v>
      </c>
      <c r="AB132" s="34">
        <f t="shared" si="225"/>
        <v>9.1782944964355462E-2</v>
      </c>
      <c r="AC132" s="34">
        <f t="shared" si="225"/>
        <v>9.1528819232947534E-2</v>
      </c>
      <c r="AD132" s="33"/>
      <c r="AE132" s="2"/>
      <c r="AF132" s="2"/>
      <c r="AG132" s="2"/>
      <c r="AH132" s="2"/>
      <c r="AI132" s="33"/>
      <c r="AJ132" s="33"/>
    </row>
    <row r="133" spans="1:36" x14ac:dyDescent="0.2">
      <c r="B133" s="2" t="s">
        <v>199</v>
      </c>
      <c r="C133" s="2"/>
      <c r="D133" s="2"/>
      <c r="E133" s="2"/>
      <c r="F133" s="2"/>
      <c r="G133" s="2"/>
      <c r="H133" s="2"/>
      <c r="I133" s="2"/>
      <c r="J133" s="2"/>
      <c r="K133" s="2"/>
      <c r="L133" s="2"/>
      <c r="M133" s="2"/>
      <c r="N133" s="2"/>
      <c r="O133" s="2"/>
      <c r="P133" s="2"/>
      <c r="Q133" s="2"/>
      <c r="R133" s="2"/>
      <c r="S133" s="2"/>
      <c r="T133" s="2"/>
      <c r="U133" s="2"/>
      <c r="V133" s="2"/>
      <c r="W133" s="61">
        <f>W131/W120</f>
        <v>0.19716934357017293</v>
      </c>
      <c r="X133" s="61">
        <f>X131/X120</f>
        <v>0.17709799505802135</v>
      </c>
      <c r="Y133" s="50">
        <f t="shared" ref="Y133:AC133" si="226">Y131/Y120</f>
        <v>0.17816501113857514</v>
      </c>
      <c r="Z133" s="50">
        <f t="shared" si="226"/>
        <v>0.18081837305328802</v>
      </c>
      <c r="AA133" s="50">
        <f t="shared" si="226"/>
        <v>0.18409932312472413</v>
      </c>
      <c r="AB133" s="50">
        <f t="shared" si="226"/>
        <v>0.18747415778459312</v>
      </c>
      <c r="AC133" s="50">
        <f t="shared" si="226"/>
        <v>0.19103900602199989</v>
      </c>
      <c r="AD133" s="33"/>
      <c r="AE133" s="2"/>
      <c r="AF133" s="2"/>
      <c r="AG133" s="2"/>
      <c r="AH133" s="2"/>
      <c r="AI133" s="43">
        <f>Y133</f>
        <v>0.17816501113857514</v>
      </c>
      <c r="AJ133" s="34">
        <f>AJ131/AJ120</f>
        <v>0.17816501113857511</v>
      </c>
    </row>
    <row r="134" spans="1:36" x14ac:dyDescent="0.2">
      <c r="B134" s="2" t="s">
        <v>178</v>
      </c>
      <c r="C134" s="2"/>
      <c r="D134" s="2"/>
      <c r="E134" s="2"/>
      <c r="F134" s="2"/>
      <c r="G134" s="2"/>
      <c r="H134" s="2"/>
      <c r="I134" s="2"/>
      <c r="J134" s="2"/>
      <c r="K134" s="2"/>
      <c r="L134" s="2"/>
      <c r="M134" s="2"/>
      <c r="N134" s="2"/>
      <c r="O134" s="2"/>
      <c r="P134" s="2"/>
      <c r="Q134" s="2"/>
      <c r="R134" s="2"/>
      <c r="S134" s="2"/>
      <c r="T134" s="2"/>
      <c r="U134" s="2"/>
      <c r="V134" s="2"/>
      <c r="W134" s="2"/>
      <c r="X134" s="2"/>
      <c r="Y134" s="50">
        <f>Y133-X133</f>
        <v>1.0670160805537898E-3</v>
      </c>
      <c r="Z134" s="50">
        <f t="shared" ref="Z134:AC134" si="227">Z133-Y133</f>
        <v>2.6533619147128817E-3</v>
      </c>
      <c r="AA134" s="50">
        <f t="shared" si="227"/>
        <v>3.2809500714361117E-3</v>
      </c>
      <c r="AB134" s="50">
        <f t="shared" si="227"/>
        <v>3.374834659868986E-3</v>
      </c>
      <c r="AC134" s="50">
        <f t="shared" si="227"/>
        <v>3.5648482374067703E-3</v>
      </c>
      <c r="AD134" s="33"/>
      <c r="AE134" s="2"/>
      <c r="AF134" s="2"/>
      <c r="AG134" s="2"/>
      <c r="AH134" s="2"/>
      <c r="AI134" s="33"/>
      <c r="AJ134" s="33"/>
    </row>
    <row r="135" spans="1:36" x14ac:dyDescent="0.2">
      <c r="B135" s="2" t="s">
        <v>461</v>
      </c>
      <c r="C135" s="2"/>
      <c r="D135" s="2"/>
      <c r="E135" s="2"/>
      <c r="F135" s="2"/>
      <c r="G135" s="2"/>
      <c r="H135" s="2"/>
      <c r="I135" s="2"/>
      <c r="J135" s="2"/>
      <c r="K135" s="2"/>
      <c r="L135" s="2"/>
      <c r="M135" s="2"/>
      <c r="N135" s="2"/>
      <c r="O135" s="2"/>
      <c r="P135" s="2"/>
      <c r="Q135" s="2"/>
      <c r="R135" s="2"/>
      <c r="S135" s="2"/>
      <c r="T135" s="2"/>
      <c r="U135" s="2"/>
      <c r="V135" s="2"/>
      <c r="W135" s="2"/>
      <c r="X135" s="61">
        <f>X131/X117</f>
        <v>0.16541851292788626</v>
      </c>
      <c r="Y135" s="50">
        <f>X135+Y136</f>
        <v>0.16511851292788626</v>
      </c>
      <c r="Z135" s="50">
        <f t="shared" ref="Z135:AC135" si="228">Y135+Z136</f>
        <v>0.16643851292788625</v>
      </c>
      <c r="AA135" s="50">
        <f t="shared" si="228"/>
        <v>0.16793851292788625</v>
      </c>
      <c r="AB135" s="50">
        <f t="shared" si="228"/>
        <v>0.16953851292788624</v>
      </c>
      <c r="AC135" s="50">
        <f t="shared" si="228"/>
        <v>0.17133851292788624</v>
      </c>
      <c r="AD135" s="33"/>
      <c r="AE135" s="2"/>
      <c r="AF135" s="2"/>
      <c r="AG135" s="2"/>
      <c r="AH135" s="2"/>
      <c r="AI135" s="33"/>
      <c r="AJ135" s="33"/>
    </row>
    <row r="136" spans="1:36" x14ac:dyDescent="0.2">
      <c r="B136" s="2"/>
      <c r="C136" s="2"/>
      <c r="D136" s="2"/>
      <c r="E136" s="2"/>
      <c r="F136" s="2"/>
      <c r="G136" s="2"/>
      <c r="H136" s="2"/>
      <c r="I136" s="2"/>
      <c r="J136" s="2"/>
      <c r="K136" s="2"/>
      <c r="L136" s="2"/>
      <c r="M136" s="2"/>
      <c r="N136" s="2"/>
      <c r="O136" s="2"/>
      <c r="P136" s="2"/>
      <c r="Q136" s="2"/>
      <c r="R136" s="2"/>
      <c r="S136" s="2"/>
      <c r="T136" s="2"/>
      <c r="U136" s="2"/>
      <c r="V136" s="2"/>
      <c r="W136" s="2"/>
      <c r="X136" s="2"/>
      <c r="Y136" s="270">
        <v>-2.9999999999999997E-4</v>
      </c>
      <c r="Z136" s="270">
        <v>1.32E-3</v>
      </c>
      <c r="AA136" s="270">
        <v>1.5E-3</v>
      </c>
      <c r="AB136" s="270">
        <v>1.6000000000000001E-3</v>
      </c>
      <c r="AC136" s="270">
        <v>1.8E-3</v>
      </c>
      <c r="AD136" s="33"/>
      <c r="AE136" s="2"/>
      <c r="AF136" s="2"/>
      <c r="AG136" s="2"/>
      <c r="AH136" s="2"/>
      <c r="AI136" s="33"/>
      <c r="AJ136" s="33"/>
    </row>
    <row r="137" spans="1:36" x14ac:dyDescent="0.2">
      <c r="B137" s="2"/>
      <c r="C137" s="2"/>
      <c r="D137" s="2"/>
      <c r="E137" s="2"/>
      <c r="F137" s="2"/>
      <c r="G137" s="2"/>
      <c r="H137" s="2"/>
      <c r="I137" s="2"/>
      <c r="J137" s="2"/>
      <c r="K137" s="2"/>
      <c r="L137" s="2"/>
      <c r="M137" s="2"/>
      <c r="N137" s="2"/>
      <c r="O137" s="2"/>
      <c r="P137" s="2"/>
      <c r="Q137" s="2"/>
      <c r="R137" s="2"/>
      <c r="S137" s="2"/>
      <c r="T137" s="2"/>
      <c r="U137" s="2"/>
      <c r="V137" s="2"/>
      <c r="W137" s="2"/>
      <c r="X137" s="2"/>
      <c r="Y137" s="33" t="s">
        <v>207</v>
      </c>
      <c r="Z137" s="33"/>
      <c r="AA137" s="33"/>
      <c r="AB137" s="33"/>
      <c r="AC137" s="33"/>
      <c r="AD137" s="33"/>
      <c r="AE137" s="2"/>
      <c r="AF137" s="2"/>
      <c r="AG137" s="2"/>
      <c r="AH137" s="2"/>
      <c r="AI137" s="33"/>
      <c r="AJ137" s="33"/>
    </row>
    <row r="138" spans="1:36" x14ac:dyDescent="0.2">
      <c r="A138" s="29" t="s">
        <v>471</v>
      </c>
      <c r="B138" s="3" t="s">
        <v>324</v>
      </c>
      <c r="C138" s="2"/>
      <c r="D138" s="2"/>
      <c r="E138" s="2"/>
      <c r="F138" s="2"/>
      <c r="G138" s="2"/>
      <c r="H138" s="2"/>
      <c r="I138" s="2"/>
      <c r="J138" s="2"/>
      <c r="K138" s="2"/>
      <c r="L138" s="2"/>
      <c r="M138" s="2"/>
      <c r="N138" s="2"/>
      <c r="O138" s="2"/>
      <c r="P138" s="2"/>
      <c r="Q138" s="2"/>
      <c r="R138" s="2"/>
      <c r="S138" s="2"/>
      <c r="T138" s="2"/>
      <c r="U138" s="2"/>
      <c r="V138" s="2"/>
      <c r="W138" s="152">
        <v>68.2</v>
      </c>
      <c r="X138" s="152">
        <v>52.9</v>
      </c>
      <c r="Y138" s="42">
        <f>X138*(1+Y139)</f>
        <v>66.125</v>
      </c>
      <c r="Z138" s="42">
        <f>Y138*(1+Z139)</f>
        <v>81.333749999999995</v>
      </c>
      <c r="AA138" s="42">
        <f>Z138*(1+AA139)</f>
        <v>97.600499999999997</v>
      </c>
      <c r="AB138" s="42">
        <f>AA138*(1+AB139)</f>
        <v>117.1206</v>
      </c>
      <c r="AC138" s="42">
        <f>AB138*(1+AC139)</f>
        <v>140.54471999999998</v>
      </c>
      <c r="AD138" s="33"/>
      <c r="AE138" s="2"/>
      <c r="AF138" s="2"/>
      <c r="AG138" s="2"/>
      <c r="AH138" s="2"/>
      <c r="AI138" s="48">
        <v>30</v>
      </c>
      <c r="AJ138" s="42">
        <f>Y138-AI138</f>
        <v>36.125</v>
      </c>
    </row>
    <row r="139" spans="1:36" x14ac:dyDescent="0.2">
      <c r="B139" s="2" t="s">
        <v>137</v>
      </c>
      <c r="C139" s="2"/>
      <c r="D139" s="2"/>
      <c r="E139" s="2"/>
      <c r="F139" s="2"/>
      <c r="G139" s="2"/>
      <c r="H139" s="2"/>
      <c r="I139" s="2"/>
      <c r="J139" s="2"/>
      <c r="K139" s="2"/>
      <c r="L139" s="2"/>
      <c r="M139" s="2"/>
      <c r="N139" s="2"/>
      <c r="O139" s="2"/>
      <c r="P139" s="2"/>
      <c r="Q139" s="2"/>
      <c r="R139" s="2"/>
      <c r="S139" s="2"/>
      <c r="T139" s="2"/>
      <c r="U139" s="2"/>
      <c r="V139" s="2"/>
      <c r="W139" s="61"/>
      <c r="X139" s="61">
        <f t="shared" ref="X139" si="229">X138/W138-1</f>
        <v>-0.2243401759530792</v>
      </c>
      <c r="Y139" s="44">
        <v>0.25</v>
      </c>
      <c r="Z139" s="44">
        <v>0.23</v>
      </c>
      <c r="AA139" s="44">
        <v>0.2</v>
      </c>
      <c r="AB139" s="44">
        <v>0.2</v>
      </c>
      <c r="AC139" s="44">
        <v>0.2</v>
      </c>
      <c r="AD139" s="33"/>
      <c r="AE139" s="2"/>
      <c r="AF139" s="2"/>
      <c r="AG139" s="2"/>
      <c r="AH139" s="2"/>
      <c r="AI139" s="33"/>
      <c r="AJ139" s="33"/>
    </row>
    <row r="140" spans="1:36" x14ac:dyDescent="0.2">
      <c r="B140" s="2" t="s">
        <v>182</v>
      </c>
      <c r="C140" s="2"/>
      <c r="D140" s="2"/>
      <c r="E140" s="2"/>
      <c r="F140" s="2"/>
      <c r="G140" s="2"/>
      <c r="H140" s="2"/>
      <c r="I140" s="2"/>
      <c r="J140" s="2"/>
      <c r="K140" s="2"/>
      <c r="L140" s="2"/>
      <c r="M140" s="2"/>
      <c r="N140" s="2"/>
      <c r="O140" s="2"/>
      <c r="P140" s="2"/>
      <c r="Q140" s="2"/>
      <c r="R140" s="2"/>
      <c r="S140" s="2"/>
      <c r="T140" s="2"/>
      <c r="U140" s="2"/>
      <c r="V140" s="2"/>
      <c r="W140" s="73">
        <f t="shared" ref="W140:AC140" si="230">W138/W120</f>
        <v>1.024685607824872E-2</v>
      </c>
      <c r="X140" s="73">
        <f t="shared" si="230"/>
        <v>5.5154150115208581E-3</v>
      </c>
      <c r="Y140" s="50">
        <f t="shared" si="230"/>
        <v>6.0505355546377352E-3</v>
      </c>
      <c r="Z140" s="50">
        <f t="shared" si="230"/>
        <v>6.7302415357483871E-3</v>
      </c>
      <c r="AA140" s="50">
        <f t="shared" si="230"/>
        <v>7.5163764210476594E-3</v>
      </c>
      <c r="AB140" s="50">
        <f t="shared" si="230"/>
        <v>8.4128410053667911E-3</v>
      </c>
      <c r="AC140" s="50">
        <f t="shared" si="230"/>
        <v>9.4247395872838601E-3</v>
      </c>
      <c r="AD140" s="57"/>
      <c r="AE140" s="74"/>
      <c r="AF140" s="74"/>
      <c r="AG140" s="74"/>
      <c r="AH140" s="74"/>
      <c r="AI140" s="50">
        <f t="shared" ref="AI140:AJ140" si="231">AI138/AI120</f>
        <v>5.3989487246112657E-3</v>
      </c>
      <c r="AJ140" s="50">
        <f t="shared" si="231"/>
        <v>6.7244991471967818E-3</v>
      </c>
    </row>
    <row r="141" spans="1:36" x14ac:dyDescent="0.2">
      <c r="B141" s="2" t="s">
        <v>484</v>
      </c>
      <c r="C141" s="2"/>
      <c r="D141" s="2"/>
      <c r="E141" s="2"/>
      <c r="F141" s="2"/>
      <c r="G141" s="2"/>
      <c r="H141" s="2"/>
      <c r="I141" s="2"/>
      <c r="J141" s="2"/>
      <c r="K141" s="2"/>
      <c r="L141" s="2"/>
      <c r="M141" s="2"/>
      <c r="N141" s="2"/>
      <c r="O141" s="2"/>
      <c r="P141" s="2"/>
      <c r="Q141" s="2"/>
      <c r="R141" s="2"/>
      <c r="S141" s="2"/>
      <c r="T141" s="2"/>
      <c r="U141" s="2"/>
      <c r="V141" s="2"/>
      <c r="W141" s="61">
        <f t="shared" ref="W141:X141" si="232">W138/W180</f>
        <v>0.11263418662262593</v>
      </c>
      <c r="X141" s="61">
        <f t="shared" si="232"/>
        <v>5.8556564091210982E-2</v>
      </c>
      <c r="Y141" s="34">
        <f>Y138/Y180</f>
        <v>5.8351529333334345E-2</v>
      </c>
      <c r="Z141" s="34">
        <f t="shared" ref="Z141:AC141" si="233">Z138/Z180</f>
        <v>6.0118764100347284E-2</v>
      </c>
      <c r="AA141" s="34">
        <f t="shared" si="233"/>
        <v>6.2648631717021008E-2</v>
      </c>
      <c r="AB141" s="34">
        <f t="shared" si="233"/>
        <v>6.6614505613380809E-2</v>
      </c>
      <c r="AC141" s="34">
        <f t="shared" si="233"/>
        <v>7.1033450641071097E-2</v>
      </c>
      <c r="AD141" s="33"/>
      <c r="AE141" s="2"/>
      <c r="AF141" s="2"/>
      <c r="AG141" s="2"/>
      <c r="AH141" s="2"/>
      <c r="AI141" s="33"/>
      <c r="AJ141" s="33"/>
    </row>
    <row r="142" spans="1:36" x14ac:dyDescent="0.2">
      <c r="A142" s="29" t="s">
        <v>9</v>
      </c>
      <c r="B142" s="3" t="s">
        <v>117</v>
      </c>
      <c r="C142" s="2"/>
      <c r="D142" s="2"/>
      <c r="E142" s="2"/>
      <c r="F142" s="2"/>
      <c r="G142" s="2"/>
      <c r="H142" s="2"/>
      <c r="I142" s="2"/>
      <c r="J142" s="2"/>
      <c r="K142" s="2"/>
      <c r="L142" s="2"/>
      <c r="M142" s="2"/>
      <c r="N142" s="2"/>
      <c r="O142" s="2"/>
      <c r="P142" s="2"/>
      <c r="Q142" s="2"/>
      <c r="R142" s="2"/>
      <c r="S142" s="2"/>
      <c r="T142" s="2"/>
      <c r="U142" s="2"/>
      <c r="V142" s="2"/>
      <c r="W142" s="62">
        <f>W170-W138-W131</f>
        <v>-705.4</v>
      </c>
      <c r="X142" s="62">
        <f>X170-X138-X131</f>
        <v>-782.99999999999989</v>
      </c>
      <c r="Y142" s="42">
        <f>X142*(1+Y143)</f>
        <v>-841.67909385637734</v>
      </c>
      <c r="Z142" s="42">
        <f>Y142*(1+Z143)</f>
        <v>-901.83369114754146</v>
      </c>
      <c r="AA142" s="42">
        <f>Z142*(1+AA143)</f>
        <v>-944.87431016971448</v>
      </c>
      <c r="AB142" s="42">
        <f>AA142*(1+AB143)</f>
        <v>-989.75549684615737</v>
      </c>
      <c r="AC142" s="42">
        <f>AB142*(1+AC143)</f>
        <v>-1032.7224012883707</v>
      </c>
      <c r="AD142" s="33"/>
      <c r="AE142" s="2"/>
      <c r="AF142" s="2"/>
      <c r="AG142" s="2"/>
      <c r="AH142" s="2"/>
      <c r="AI142" s="276">
        <f>AI151-AI148</f>
        <v>-373.82085093675585</v>
      </c>
      <c r="AJ142" s="276">
        <f>AJ151-AJ148</f>
        <v>-467.8582429196216</v>
      </c>
    </row>
    <row r="143" spans="1:36" x14ac:dyDescent="0.2">
      <c r="B143" s="2" t="s">
        <v>137</v>
      </c>
      <c r="C143" s="2"/>
      <c r="D143" s="2"/>
      <c r="E143" s="2"/>
      <c r="F143" s="2"/>
      <c r="G143" s="2"/>
      <c r="H143" s="2"/>
      <c r="I143" s="2"/>
      <c r="J143" s="2"/>
      <c r="K143" s="2"/>
      <c r="L143" s="2"/>
      <c r="M143" s="2"/>
      <c r="N143" s="2"/>
      <c r="O143" s="2"/>
      <c r="P143" s="2"/>
      <c r="Q143" s="2"/>
      <c r="R143" s="2"/>
      <c r="S143" s="2"/>
      <c r="T143" s="2"/>
      <c r="U143" s="2"/>
      <c r="V143" s="2"/>
      <c r="W143" s="2"/>
      <c r="X143" s="61">
        <f t="shared" ref="X143" si="234">X142/W142-1</f>
        <v>0.11000850581230504</v>
      </c>
      <c r="Y143" s="264">
        <f>Y157</f>
        <v>7.4941371464083639E-2</v>
      </c>
      <c r="Z143" s="264">
        <f t="shared" ref="Z143:AC143" si="235">Z157</f>
        <v>7.1469753413441417E-2</v>
      </c>
      <c r="AA143" s="264">
        <f t="shared" si="235"/>
        <v>4.7725672088615223E-2</v>
      </c>
      <c r="AB143" s="264">
        <f t="shared" si="235"/>
        <v>4.7499636928832967E-2</v>
      </c>
      <c r="AC143" s="264">
        <f t="shared" si="235"/>
        <v>4.341163507464918E-2</v>
      </c>
      <c r="AD143" s="33"/>
      <c r="AE143" s="2"/>
      <c r="AF143" s="2"/>
      <c r="AG143" s="2"/>
      <c r="AH143" s="2"/>
      <c r="AI143" s="33"/>
      <c r="AJ143" s="33"/>
    </row>
    <row r="144" spans="1:36" x14ac:dyDescent="0.2">
      <c r="B144" s="2" t="s">
        <v>182</v>
      </c>
      <c r="C144" s="2"/>
      <c r="D144" s="2"/>
      <c r="E144" s="2"/>
      <c r="F144" s="2"/>
      <c r="G144" s="2"/>
      <c r="H144" s="2"/>
      <c r="I144" s="2"/>
      <c r="J144" s="2"/>
      <c r="K144" s="2"/>
      <c r="L144" s="2"/>
      <c r="M144" s="2"/>
      <c r="N144" s="2"/>
      <c r="O144" s="2"/>
      <c r="P144" s="2"/>
      <c r="Q144" s="2"/>
      <c r="R144" s="2"/>
      <c r="S144" s="2"/>
      <c r="T144" s="2"/>
      <c r="U144" s="2"/>
      <c r="V144" s="2"/>
      <c r="W144" s="73">
        <f>W142/W$117</f>
        <v>-7.8361234850420472E-2</v>
      </c>
      <c r="X144" s="73">
        <f t="shared" ref="X144" si="236">X142/X$117</f>
        <v>-7.6252617227443142E-2</v>
      </c>
      <c r="Y144" s="50">
        <f>Y142/Y$117</f>
        <v>-7.137531232468429E-2</v>
      </c>
      <c r="Z144" s="50">
        <f>Z142/Z$117</f>
        <v>-6.869064264196828E-2</v>
      </c>
      <c r="AA144" s="50">
        <f>AA142/AA$117</f>
        <v>-6.6378683046381712E-2</v>
      </c>
      <c r="AB144" s="50">
        <f>AB142/AB$117</f>
        <v>-6.4293086206641897E-2</v>
      </c>
      <c r="AC144" s="50">
        <f>AC142/AC$117</f>
        <v>-6.21114067492399E-2</v>
      </c>
      <c r="AD144" s="33"/>
      <c r="AE144" s="2"/>
      <c r="AF144" s="2"/>
      <c r="AG144" s="2"/>
      <c r="AH144" s="2"/>
      <c r="AI144" s="50">
        <f t="shared" ref="AI144:AJ144" si="237">AI142/AI$117</f>
        <v>-6.2348329115608135E-2</v>
      </c>
      <c r="AJ144" s="50">
        <f t="shared" si="237"/>
        <v>-8.0712299742480967E-2</v>
      </c>
    </row>
    <row r="145" spans="2:37" x14ac:dyDescent="0.2">
      <c r="B145" s="2"/>
      <c r="C145" s="2"/>
      <c r="D145" s="2"/>
      <c r="E145" s="2"/>
      <c r="F145" s="2"/>
      <c r="G145" s="2"/>
      <c r="H145" s="2"/>
      <c r="I145" s="2"/>
      <c r="J145" s="2"/>
      <c r="K145" s="2"/>
      <c r="L145" s="2"/>
      <c r="M145" s="2"/>
      <c r="N145" s="2"/>
      <c r="O145" s="2"/>
      <c r="P145" s="2"/>
      <c r="Q145" s="2"/>
      <c r="R145" s="2"/>
      <c r="S145" s="2"/>
      <c r="T145" s="2"/>
      <c r="U145" s="2"/>
      <c r="V145" s="2"/>
      <c r="W145" s="73"/>
      <c r="X145" s="73"/>
      <c r="Y145" s="57">
        <f>Y144-X144</f>
        <v>4.8773049027588528E-3</v>
      </c>
      <c r="Z145" s="57">
        <f t="shared" ref="Z145" si="238">Z144-Y144</f>
        <v>2.6846696827160094E-3</v>
      </c>
      <c r="AA145" s="57">
        <f t="shared" ref="AA145" si="239">AA144-Z144</f>
        <v>2.3119595955865685E-3</v>
      </c>
      <c r="AB145" s="57">
        <f t="shared" ref="AB145" si="240">AB144-AA144</f>
        <v>2.0855968397398145E-3</v>
      </c>
      <c r="AC145" s="57">
        <f t="shared" ref="AC145" si="241">AC144-AB144</f>
        <v>2.1816794574019971E-3</v>
      </c>
      <c r="AD145" s="33"/>
      <c r="AE145" s="2"/>
      <c r="AF145" s="2"/>
      <c r="AG145" s="2"/>
      <c r="AH145" s="2"/>
      <c r="AI145" s="50"/>
      <c r="AJ145" s="50"/>
    </row>
    <row r="146" spans="2:37" x14ac:dyDescent="0.2">
      <c r="B146" s="2" t="s">
        <v>445</v>
      </c>
      <c r="C146" s="2"/>
      <c r="D146" s="2"/>
      <c r="E146" s="2"/>
      <c r="F146" s="2"/>
      <c r="G146" s="2"/>
      <c r="H146" s="2"/>
      <c r="I146" s="2"/>
      <c r="J146" s="2"/>
      <c r="K146" s="2"/>
      <c r="L146" s="2"/>
      <c r="M146" s="2"/>
      <c r="N146" s="2"/>
      <c r="O146" s="2"/>
      <c r="P146" s="2"/>
      <c r="Q146" s="2"/>
      <c r="R146" s="2"/>
      <c r="S146" s="2"/>
      <c r="T146" s="2"/>
      <c r="U146" s="2"/>
      <c r="V146" s="2"/>
      <c r="W146" s="73"/>
      <c r="X146" s="73"/>
      <c r="Y146" s="34">
        <f>('Ireland Model'!X81-'Ireland Model'!W81)/X142</f>
        <v>9.5615432495706875E-3</v>
      </c>
      <c r="Z146" s="34">
        <f>('Ireland Model'!Y81-'Ireland Model'!X81)/Y142</f>
        <v>1.4440881749249667E-2</v>
      </c>
      <c r="AA146" s="34">
        <f>('Ireland Model'!Z81-'Ireland Model'!Y81)/Z142</f>
        <v>1.2916925603381186E-2</v>
      </c>
      <c r="AB146" s="34">
        <f>('Ireland Model'!AA81-'Ireland Model'!Z81)/AA142</f>
        <v>1.2328537848682866E-2</v>
      </c>
      <c r="AC146" s="34">
        <f>('Ireland Model'!AB81-'Ireland Model'!AA81)/AB142</f>
        <v>7.0616947714629928E-3</v>
      </c>
      <c r="AD146" s="33"/>
      <c r="AE146" s="2"/>
      <c r="AF146" s="2"/>
      <c r="AG146" s="2"/>
      <c r="AH146" s="2"/>
      <c r="AI146" s="50"/>
      <c r="AJ146" s="50"/>
    </row>
    <row r="147" spans="2:37" x14ac:dyDescent="0.2">
      <c r="B147" s="2"/>
      <c r="C147" s="2"/>
      <c r="D147" s="2"/>
      <c r="E147" s="2"/>
      <c r="F147" s="2"/>
      <c r="G147" s="2"/>
      <c r="H147" s="2"/>
      <c r="I147" s="2"/>
      <c r="J147" s="2"/>
      <c r="K147" s="2"/>
      <c r="L147" s="2"/>
      <c r="M147" s="2"/>
      <c r="N147" s="2"/>
      <c r="O147" s="2"/>
      <c r="P147" s="2"/>
      <c r="Q147" s="2"/>
      <c r="R147" s="2"/>
      <c r="S147" s="2"/>
      <c r="T147" s="2"/>
      <c r="U147" s="2"/>
      <c r="V147" s="2"/>
      <c r="W147" s="2"/>
      <c r="X147" s="2"/>
      <c r="Y147" s="33"/>
      <c r="Z147" s="33"/>
      <c r="AA147" s="33"/>
      <c r="AB147" s="33"/>
      <c r="AC147" s="33"/>
      <c r="AD147" s="33"/>
      <c r="AE147" s="2"/>
      <c r="AF147" s="2"/>
      <c r="AG147" s="2"/>
      <c r="AH147" s="2"/>
      <c r="AI147" s="33"/>
      <c r="AJ147" s="33"/>
    </row>
    <row r="148" spans="2:37" x14ac:dyDescent="0.2">
      <c r="B148" s="3" t="s">
        <v>116</v>
      </c>
      <c r="C148" s="2"/>
      <c r="D148" s="2"/>
      <c r="E148" s="2"/>
      <c r="F148" s="2"/>
      <c r="G148" s="2"/>
      <c r="H148" s="2"/>
      <c r="I148" s="2"/>
      <c r="J148" s="2"/>
      <c r="K148" s="2"/>
      <c r="L148" s="2"/>
      <c r="M148" s="2"/>
      <c r="N148" s="2"/>
      <c r="O148" s="2"/>
      <c r="P148" s="2"/>
      <c r="Q148" s="2"/>
      <c r="R148" s="2"/>
      <c r="S148" s="2"/>
      <c r="T148" s="2"/>
      <c r="U148" s="2"/>
      <c r="V148" s="2"/>
      <c r="W148" s="72">
        <v>0</v>
      </c>
      <c r="X148" s="72">
        <v>3</v>
      </c>
      <c r="Y148" s="48">
        <v>30</v>
      </c>
      <c r="Z148" s="48">
        <v>60</v>
      </c>
      <c r="AA148" s="48">
        <v>90</v>
      </c>
      <c r="AB148" s="48">
        <v>100</v>
      </c>
      <c r="AC148" s="48">
        <v>105</v>
      </c>
      <c r="AD148" s="33"/>
      <c r="AE148" s="2"/>
      <c r="AF148" s="2"/>
      <c r="AG148" s="2"/>
      <c r="AH148" s="2"/>
      <c r="AI148" s="48">
        <v>10</v>
      </c>
      <c r="AJ148" s="42">
        <f>Y148-AI148</f>
        <v>20</v>
      </c>
    </row>
    <row r="149" spans="2:37" x14ac:dyDescent="0.2">
      <c r="B149" s="2" t="s">
        <v>182</v>
      </c>
      <c r="C149" s="2"/>
      <c r="D149" s="2"/>
      <c r="E149" s="2"/>
      <c r="F149" s="2"/>
      <c r="G149" s="2"/>
      <c r="H149" s="2"/>
      <c r="I149" s="2"/>
      <c r="J149" s="2"/>
      <c r="K149" s="2"/>
      <c r="L149" s="2"/>
      <c r="M149" s="2"/>
      <c r="N149" s="2"/>
      <c r="O149" s="2"/>
      <c r="P149" s="2"/>
      <c r="Q149" s="2"/>
      <c r="R149" s="2"/>
      <c r="S149" s="2"/>
      <c r="T149" s="2"/>
      <c r="U149" s="2"/>
      <c r="V149" s="2"/>
      <c r="W149" s="73">
        <f t="shared" ref="W149:AC149" si="242">W148/W$117</f>
        <v>0</v>
      </c>
      <c r="X149" s="73">
        <f t="shared" si="242"/>
        <v>2.9215562156108488E-4</v>
      </c>
      <c r="Y149" s="38">
        <f t="shared" si="242"/>
        <v>2.5440329757149814E-3</v>
      </c>
      <c r="Z149" s="50">
        <f t="shared" si="242"/>
        <v>4.5700649676036808E-3</v>
      </c>
      <c r="AA149" s="50">
        <f t="shared" si="242"/>
        <v>6.3226202785652136E-3</v>
      </c>
      <c r="AB149" s="50">
        <f t="shared" si="242"/>
        <v>6.4958554321255055E-3</v>
      </c>
      <c r="AC149" s="50">
        <f t="shared" si="242"/>
        <v>6.3150539782366091E-3</v>
      </c>
      <c r="AD149" s="33"/>
      <c r="AE149" s="2"/>
      <c r="AF149" s="2"/>
      <c r="AG149" s="2"/>
      <c r="AH149" s="2"/>
      <c r="AI149" s="50">
        <f t="shared" ref="AI149" si="243">AI148/AI$117</f>
        <v>1.6678665451477562E-3</v>
      </c>
      <c r="AJ149" s="50">
        <f t="shared" ref="AJ149" si="244">AJ148/AJ$117</f>
        <v>3.4502886702948358E-3</v>
      </c>
    </row>
    <row r="150" spans="2:37" x14ac:dyDescent="0.2">
      <c r="B150" s="2"/>
      <c r="C150" s="2"/>
      <c r="D150" s="2"/>
      <c r="E150" s="2"/>
      <c r="F150" s="2"/>
      <c r="G150" s="2"/>
      <c r="H150" s="2"/>
      <c r="I150" s="2"/>
      <c r="J150" s="2"/>
      <c r="K150" s="2"/>
      <c r="L150" s="2"/>
      <c r="M150" s="2"/>
      <c r="N150" s="2"/>
      <c r="O150" s="2"/>
      <c r="P150" s="2"/>
      <c r="Q150" s="2"/>
      <c r="R150" s="2"/>
      <c r="S150" s="2"/>
      <c r="T150" s="2"/>
      <c r="U150" s="2"/>
      <c r="V150" s="2"/>
      <c r="W150" s="2"/>
      <c r="X150" s="2"/>
      <c r="Y150" s="33"/>
      <c r="Z150" s="33"/>
      <c r="AA150" s="33"/>
      <c r="AB150" s="33"/>
      <c r="AC150" s="33"/>
      <c r="AD150" s="33"/>
      <c r="AE150" s="2"/>
      <c r="AF150" s="2"/>
      <c r="AG150" s="2"/>
      <c r="AH150" s="2"/>
      <c r="AI150" s="33"/>
      <c r="AJ150" s="33"/>
    </row>
    <row r="151" spans="2:37" x14ac:dyDescent="0.2">
      <c r="B151" s="3" t="s">
        <v>444</v>
      </c>
      <c r="C151" s="2"/>
      <c r="D151" s="2"/>
      <c r="E151" s="2"/>
      <c r="F151" s="2"/>
      <c r="G151" s="2"/>
      <c r="H151" s="2"/>
      <c r="I151" s="2"/>
      <c r="J151" s="2"/>
      <c r="K151" s="2"/>
      <c r="L151" s="2"/>
      <c r="M151" s="2"/>
      <c r="N151" s="2"/>
      <c r="O151" s="2"/>
      <c r="P151" s="2"/>
      <c r="Q151" s="2"/>
      <c r="R151" s="2"/>
      <c r="S151" s="2"/>
      <c r="T151" s="2"/>
      <c r="U151" s="2"/>
      <c r="V151" s="2"/>
      <c r="W151" s="62">
        <f t="shared" ref="W151:X151" si="245">W142+W148</f>
        <v>-705.4</v>
      </c>
      <c r="X151" s="62">
        <f t="shared" si="245"/>
        <v>-779.99999999999989</v>
      </c>
      <c r="Y151" s="42">
        <f>Y142+Y148</f>
        <v>-811.67909385637734</v>
      </c>
      <c r="Z151" s="42">
        <f>Z142+Z148</f>
        <v>-841.83369114754146</v>
      </c>
      <c r="AA151" s="42">
        <f>AA142+AA148</f>
        <v>-854.87431016971448</v>
      </c>
      <c r="AB151" s="42">
        <f>AB142+AB148</f>
        <v>-889.75549684615737</v>
      </c>
      <c r="AC151" s="42">
        <f>AC142+AC148</f>
        <v>-927.72240128837075</v>
      </c>
      <c r="AD151" s="33"/>
      <c r="AE151" s="2"/>
      <c r="AF151" s="2"/>
      <c r="AG151" s="2"/>
      <c r="AH151" s="2"/>
      <c r="AI151" s="42">
        <f>AI170-AI131-AI138</f>
        <v>-363.82085093675585</v>
      </c>
      <c r="AJ151" s="42">
        <f>AJ170-AJ131-AJ138</f>
        <v>-447.8582429196216</v>
      </c>
    </row>
    <row r="152" spans="2:37" x14ac:dyDescent="0.2">
      <c r="B152" s="2" t="s">
        <v>137</v>
      </c>
      <c r="C152" s="2"/>
      <c r="D152" s="2"/>
      <c r="E152" s="2"/>
      <c r="F152" s="2"/>
      <c r="G152" s="2"/>
      <c r="H152" s="2"/>
      <c r="I152" s="2"/>
      <c r="J152" s="2"/>
      <c r="K152" s="2"/>
      <c r="L152" s="2"/>
      <c r="M152" s="2"/>
      <c r="N152" s="2"/>
      <c r="O152" s="2"/>
      <c r="P152" s="2"/>
      <c r="Q152" s="2"/>
      <c r="R152" s="2"/>
      <c r="S152" s="2"/>
      <c r="T152" s="2"/>
      <c r="U152" s="2"/>
      <c r="V152" s="2"/>
      <c r="W152" s="2"/>
      <c r="X152" s="61">
        <f t="shared" ref="X152" si="246">X151/W151-1</f>
        <v>0.10575559965976744</v>
      </c>
      <c r="Y152" s="34">
        <f>Y151/X151-1</f>
        <v>4.0614222892791707E-2</v>
      </c>
      <c r="Z152" s="34">
        <f>Z151/Y151-1</f>
        <v>3.7150885761879415E-2</v>
      </c>
      <c r="AA152" s="34">
        <f>AA151/Z151-1</f>
        <v>1.5490730721880119E-2</v>
      </c>
      <c r="AB152" s="34">
        <f>AB151/AA151-1</f>
        <v>4.0802707791649517E-2</v>
      </c>
      <c r="AC152" s="34">
        <f>AC151/AB151-1</f>
        <v>4.2671165929057508E-2</v>
      </c>
      <c r="AD152" s="33"/>
      <c r="AE152" s="2"/>
      <c r="AF152" s="2"/>
      <c r="AG152" s="2"/>
      <c r="AH152" s="2"/>
      <c r="AI152" s="33"/>
      <c r="AJ152" s="33"/>
    </row>
    <row r="153" spans="2:37" x14ac:dyDescent="0.2">
      <c r="B153" s="2" t="s">
        <v>182</v>
      </c>
      <c r="C153" s="2"/>
      <c r="D153" s="2"/>
      <c r="E153" s="2"/>
      <c r="F153" s="2"/>
      <c r="G153" s="2"/>
      <c r="H153" s="2"/>
      <c r="I153" s="2"/>
      <c r="J153" s="2"/>
      <c r="K153" s="2"/>
      <c r="L153" s="2"/>
      <c r="M153" s="2"/>
      <c r="N153" s="2"/>
      <c r="O153" s="2"/>
      <c r="P153" s="2"/>
      <c r="Q153" s="2"/>
      <c r="R153" s="2"/>
      <c r="S153" s="2"/>
      <c r="T153" s="2"/>
      <c r="U153" s="2"/>
      <c r="V153" s="2"/>
      <c r="W153" s="73">
        <f>W151/W117</f>
        <v>-7.8361234850420472E-2</v>
      </c>
      <c r="X153" s="73">
        <f t="shared" ref="X153" si="247">X151/X117</f>
        <v>-7.596046160588206E-2</v>
      </c>
      <c r="Y153" s="50">
        <f>Y151/Y117</f>
        <v>-6.8831279348969307E-2</v>
      </c>
      <c r="Z153" s="50">
        <f>Z151/Z117</f>
        <v>-6.4120577674364604E-2</v>
      </c>
      <c r="AA153" s="50">
        <f>AA151/AA117</f>
        <v>-6.0056062767816498E-2</v>
      </c>
      <c r="AB153" s="50">
        <f>AB151/AB117</f>
        <v>-5.77972307745164E-2</v>
      </c>
      <c r="AC153" s="50">
        <f>AC151/AC117</f>
        <v>-5.5796352771003289E-2</v>
      </c>
      <c r="AD153" s="33"/>
      <c r="AE153" s="2"/>
      <c r="AF153" s="2"/>
      <c r="AG153" s="2"/>
      <c r="AH153" s="2"/>
      <c r="AI153" s="33"/>
      <c r="AJ153" s="33"/>
    </row>
    <row r="154" spans="2:37" x14ac:dyDescent="0.2">
      <c r="B154" s="3"/>
      <c r="C154" s="2"/>
      <c r="D154" s="2"/>
      <c r="E154" s="2"/>
      <c r="F154" s="2"/>
      <c r="G154" s="2"/>
      <c r="H154" s="2"/>
      <c r="I154" s="2"/>
      <c r="J154" s="2"/>
      <c r="K154" s="2"/>
      <c r="L154" s="2"/>
      <c r="M154" s="2"/>
      <c r="N154" s="2"/>
      <c r="O154" s="2"/>
      <c r="P154" s="2"/>
      <c r="Q154" s="2"/>
      <c r="R154" s="2"/>
      <c r="S154" s="2"/>
      <c r="T154" s="2"/>
      <c r="U154" s="2"/>
      <c r="V154" s="2"/>
      <c r="W154" s="153"/>
      <c r="X154" s="2"/>
      <c r="Y154" s="57">
        <f>Y153-X153</f>
        <v>7.1291822569127528E-3</v>
      </c>
      <c r="Z154" s="57">
        <f t="shared" ref="Z154:AC154" si="248">Z153-Y153</f>
        <v>4.7107016746047031E-3</v>
      </c>
      <c r="AA154" s="57">
        <f t="shared" si="248"/>
        <v>4.0645149065481057E-3</v>
      </c>
      <c r="AB154" s="57">
        <f t="shared" si="248"/>
        <v>2.2588319933000978E-3</v>
      </c>
      <c r="AC154" s="57">
        <f t="shared" si="248"/>
        <v>2.000878003513111E-3</v>
      </c>
      <c r="AD154" s="33"/>
      <c r="AE154" s="2"/>
      <c r="AF154" s="2"/>
      <c r="AG154" s="2"/>
      <c r="AH154" s="2"/>
      <c r="AI154" s="33"/>
      <c r="AJ154" s="33"/>
    </row>
    <row r="155" spans="2:37" x14ac:dyDescent="0.2">
      <c r="B155" s="3"/>
      <c r="C155" s="2"/>
      <c r="D155" s="2"/>
      <c r="E155" s="2"/>
      <c r="F155" s="2"/>
      <c r="G155" s="2"/>
      <c r="H155" s="2"/>
      <c r="I155" s="2"/>
      <c r="J155" s="2"/>
      <c r="K155" s="2"/>
      <c r="L155" s="2"/>
      <c r="M155" s="2"/>
      <c r="N155" s="2"/>
      <c r="O155" s="2"/>
      <c r="P155" s="2"/>
      <c r="Q155" s="2"/>
      <c r="R155" s="2"/>
      <c r="S155" s="2"/>
      <c r="T155" s="2"/>
      <c r="U155" s="2"/>
      <c r="V155" s="2"/>
      <c r="W155" s="153"/>
      <c r="X155" s="2"/>
      <c r="Y155" s="57"/>
      <c r="Z155" s="57"/>
      <c r="AA155" s="57"/>
      <c r="AB155" s="57"/>
      <c r="AC155" s="57"/>
      <c r="AD155" s="33"/>
      <c r="AE155" s="2"/>
      <c r="AF155" s="2"/>
      <c r="AG155" s="2"/>
      <c r="AH155" s="2"/>
      <c r="AI155" s="33"/>
      <c r="AJ155" s="33"/>
    </row>
    <row r="156" spans="2:37" x14ac:dyDescent="0.2">
      <c r="B156" s="3" t="s">
        <v>473</v>
      </c>
      <c r="C156" s="2"/>
      <c r="D156" s="2"/>
      <c r="E156" s="2"/>
      <c r="F156" s="2"/>
      <c r="G156" s="2"/>
      <c r="H156" s="2"/>
      <c r="I156" s="2"/>
      <c r="J156" s="2"/>
      <c r="K156" s="2"/>
      <c r="L156" s="2"/>
      <c r="M156" s="2"/>
      <c r="N156" s="2"/>
      <c r="O156" s="2"/>
      <c r="P156" s="2"/>
      <c r="Q156" s="2"/>
      <c r="R156" s="2"/>
      <c r="S156" s="2"/>
      <c r="T156" s="2"/>
      <c r="U156" s="273"/>
      <c r="V156" s="2"/>
      <c r="W156" s="153"/>
      <c r="X156" s="62">
        <f>X158+X162+X166</f>
        <v>-782.90000000000009</v>
      </c>
      <c r="Y156" s="42">
        <f>Y158+Y162+Y166</f>
        <v>-841.57159971923113</v>
      </c>
      <c r="Z156" s="42">
        <f t="shared" ref="Z156:AC156" si="249">Z158+Z162+Z166</f>
        <v>-901.7185144309201</v>
      </c>
      <c r="AA156" s="42">
        <f t="shared" si="249"/>
        <v>-944.75363656688342</v>
      </c>
      <c r="AB156" s="42">
        <f t="shared" si="249"/>
        <v>-989.6290912910049</v>
      </c>
      <c r="AC156" s="42">
        <f t="shared" si="249"/>
        <v>-1032.5905082613867</v>
      </c>
      <c r="AD156" s="33"/>
      <c r="AE156" s="2"/>
      <c r="AF156" s="2"/>
      <c r="AG156" s="2"/>
      <c r="AH156" s="2"/>
      <c r="AI156" s="33"/>
      <c r="AJ156" s="33"/>
      <c r="AK156" s="277"/>
    </row>
    <row r="157" spans="2:37" x14ac:dyDescent="0.2">
      <c r="B157" s="3"/>
      <c r="C157" s="2"/>
      <c r="D157" s="2"/>
      <c r="E157" s="2"/>
      <c r="F157" s="2"/>
      <c r="G157" s="2"/>
      <c r="H157" s="2"/>
      <c r="I157" s="2"/>
      <c r="J157" s="2"/>
      <c r="K157" s="2"/>
      <c r="L157" s="2"/>
      <c r="M157" s="2"/>
      <c r="N157" s="2"/>
      <c r="O157" s="2"/>
      <c r="P157" s="2"/>
      <c r="Q157" s="2"/>
      <c r="R157" s="2"/>
      <c r="S157" s="2"/>
      <c r="T157" s="2"/>
      <c r="U157" s="273"/>
      <c r="V157" s="2"/>
      <c r="W157" s="153"/>
      <c r="X157" s="2"/>
      <c r="Y157" s="34">
        <f>Y156/X156-1</f>
        <v>7.4941371464083639E-2</v>
      </c>
      <c r="Z157" s="34">
        <f t="shared" ref="Z157:AC157" si="250">Z156/Y156-1</f>
        <v>7.1469753413441417E-2</v>
      </c>
      <c r="AA157" s="34">
        <f t="shared" si="250"/>
        <v>4.7725672088615223E-2</v>
      </c>
      <c r="AB157" s="34">
        <f t="shared" si="250"/>
        <v>4.7499636928832967E-2</v>
      </c>
      <c r="AC157" s="34">
        <f t="shared" si="250"/>
        <v>4.341163507464918E-2</v>
      </c>
      <c r="AD157" s="33"/>
      <c r="AE157" s="2"/>
      <c r="AF157" s="2"/>
      <c r="AG157" s="2"/>
      <c r="AH157" s="2"/>
      <c r="AI157" s="33"/>
      <c r="AJ157" s="33"/>
    </row>
    <row r="158" spans="2:37" x14ac:dyDescent="0.2">
      <c r="B158" s="2" t="s">
        <v>107</v>
      </c>
      <c r="C158" s="2"/>
      <c r="D158" s="2"/>
      <c r="E158" s="2"/>
      <c r="F158" s="2"/>
      <c r="G158" s="2"/>
      <c r="H158" s="2"/>
      <c r="I158" s="2"/>
      <c r="J158" s="2"/>
      <c r="K158" s="2"/>
      <c r="L158" s="2"/>
      <c r="M158" s="2"/>
      <c r="N158" s="2"/>
      <c r="O158" s="2"/>
      <c r="P158" s="2"/>
      <c r="Q158" s="2"/>
      <c r="R158" s="2"/>
      <c r="S158" s="2"/>
      <c r="T158" s="2"/>
      <c r="U158" s="273"/>
      <c r="V158" s="2"/>
      <c r="W158" s="282">
        <v>-263.7</v>
      </c>
      <c r="X158" s="282">
        <v>-286</v>
      </c>
      <c r="Y158" s="41">
        <f>X158*(1+Y159)</f>
        <v>-297.44</v>
      </c>
      <c r="Z158" s="41">
        <f t="shared" ref="Z158:AC158" si="251">Y158*(1+Z159)</f>
        <v>-309.33760000000001</v>
      </c>
      <c r="AA158" s="41">
        <f t="shared" si="251"/>
        <v>-321.71110400000003</v>
      </c>
      <c r="AB158" s="41">
        <f t="shared" si="251"/>
        <v>-334.57954816000006</v>
      </c>
      <c r="AC158" s="41">
        <f t="shared" si="251"/>
        <v>-346.28983234560002</v>
      </c>
      <c r="AD158" s="33"/>
      <c r="AE158" s="2"/>
      <c r="AF158" s="2"/>
      <c r="AG158" s="2"/>
      <c r="AH158" s="2"/>
      <c r="AI158" s="33"/>
      <c r="AJ158" s="33"/>
    </row>
    <row r="159" spans="2:37" x14ac:dyDescent="0.2">
      <c r="B159" s="2" t="s">
        <v>137</v>
      </c>
      <c r="C159" s="2"/>
      <c r="D159" s="2"/>
      <c r="E159" s="2"/>
      <c r="F159" s="2"/>
      <c r="G159" s="2"/>
      <c r="H159" s="2"/>
      <c r="I159" s="2"/>
      <c r="J159" s="2"/>
      <c r="K159" s="2"/>
      <c r="L159" s="2"/>
      <c r="M159" s="2"/>
      <c r="N159" s="2"/>
      <c r="O159" s="2"/>
      <c r="P159" s="2"/>
      <c r="Q159" s="2"/>
      <c r="R159" s="2"/>
      <c r="S159" s="2"/>
      <c r="T159" s="2"/>
      <c r="U159" s="2"/>
      <c r="V159" s="2"/>
      <c r="W159" s="65"/>
      <c r="X159" s="61">
        <f t="shared" ref="X159" si="252">X158/W158-1</f>
        <v>8.4565794463405508E-2</v>
      </c>
      <c r="Y159" s="43">
        <v>0.04</v>
      </c>
      <c r="Z159" s="43">
        <v>0.04</v>
      </c>
      <c r="AA159" s="43">
        <v>0.04</v>
      </c>
      <c r="AB159" s="43">
        <v>0.04</v>
      </c>
      <c r="AC159" s="43">
        <v>3.5000000000000003E-2</v>
      </c>
      <c r="AD159" s="33"/>
      <c r="AE159" s="2"/>
      <c r="AF159" s="2"/>
      <c r="AG159" s="2"/>
      <c r="AH159" s="2"/>
      <c r="AI159" s="33"/>
      <c r="AJ159" s="33"/>
    </row>
    <row r="160" spans="2:37" x14ac:dyDescent="0.2">
      <c r="B160" s="2" t="s">
        <v>182</v>
      </c>
      <c r="C160" s="2"/>
      <c r="D160" s="2"/>
      <c r="E160" s="2"/>
      <c r="F160" s="2"/>
      <c r="G160" s="2"/>
      <c r="H160" s="2"/>
      <c r="I160" s="2"/>
      <c r="J160" s="2"/>
      <c r="K160" s="2"/>
      <c r="L160" s="2"/>
      <c r="M160" s="2"/>
      <c r="N160" s="2"/>
      <c r="O160" s="2"/>
      <c r="P160" s="2"/>
      <c r="Q160" s="2"/>
      <c r="R160" s="2"/>
      <c r="S160" s="2"/>
      <c r="T160" s="2"/>
      <c r="U160" s="2"/>
      <c r="V160" s="2"/>
      <c r="W160" s="65"/>
      <c r="X160" s="65"/>
      <c r="Y160" s="33"/>
      <c r="Z160" s="33"/>
      <c r="AA160" s="33"/>
      <c r="AB160" s="33"/>
      <c r="AC160" s="33"/>
      <c r="AD160" s="33"/>
      <c r="AE160" s="2"/>
      <c r="AF160" s="2"/>
      <c r="AG160" s="2"/>
      <c r="AH160" s="2"/>
      <c r="AI160" s="33"/>
      <c r="AJ160" s="33"/>
    </row>
    <row r="161" spans="1:36" x14ac:dyDescent="0.2">
      <c r="B161" s="2"/>
      <c r="C161" s="2"/>
      <c r="D161" s="2"/>
      <c r="E161" s="2"/>
      <c r="F161" s="2"/>
      <c r="G161" s="2"/>
      <c r="H161" s="2"/>
      <c r="I161" s="2"/>
      <c r="J161" s="2"/>
      <c r="K161" s="2"/>
      <c r="L161" s="2"/>
      <c r="M161" s="2"/>
      <c r="N161" s="2"/>
      <c r="O161" s="2"/>
      <c r="P161" s="2"/>
      <c r="Q161" s="2"/>
      <c r="R161" s="2"/>
      <c r="S161" s="2"/>
      <c r="T161" s="2"/>
      <c r="U161" s="2"/>
      <c r="V161" s="2"/>
      <c r="W161" s="65"/>
      <c r="X161" s="65"/>
      <c r="Y161" s="33"/>
      <c r="Z161" s="33"/>
      <c r="AA161" s="33"/>
      <c r="AB161" s="33"/>
      <c r="AC161" s="33"/>
      <c r="AD161" s="33"/>
      <c r="AE161" s="2"/>
      <c r="AF161" s="2"/>
      <c r="AG161" s="2"/>
      <c r="AH161" s="2"/>
      <c r="AI161" s="33"/>
      <c r="AJ161" s="33"/>
    </row>
    <row r="162" spans="1:36" x14ac:dyDescent="0.2">
      <c r="B162" s="2" t="s">
        <v>108</v>
      </c>
      <c r="C162" s="2"/>
      <c r="D162" s="2"/>
      <c r="E162" s="2"/>
      <c r="F162" s="2"/>
      <c r="G162" s="2"/>
      <c r="H162" s="2"/>
      <c r="I162" s="2"/>
      <c r="J162" s="2"/>
      <c r="K162" s="2"/>
      <c r="L162" s="2"/>
      <c r="M162" s="2"/>
      <c r="N162" s="2"/>
      <c r="O162" s="2"/>
      <c r="P162" s="2"/>
      <c r="Q162" s="2"/>
      <c r="R162" s="2"/>
      <c r="S162" s="2"/>
      <c r="T162" s="2"/>
      <c r="U162" s="2"/>
      <c r="V162" s="2"/>
      <c r="W162" s="282">
        <v>-127.9</v>
      </c>
      <c r="X162" s="282">
        <v>-124.1</v>
      </c>
      <c r="Y162" s="41">
        <f>Y164*-Y117</f>
        <v>-141.50759971923111</v>
      </c>
      <c r="Z162" s="41">
        <f t="shared" ref="Z162:AC162" si="253">Z164*-Z117</f>
        <v>-157.54699443092008</v>
      </c>
      <c r="AA162" s="41">
        <f t="shared" si="253"/>
        <v>-170.81525576688333</v>
      </c>
      <c r="AB162" s="41">
        <f t="shared" si="253"/>
        <v>-184.73317525900489</v>
      </c>
      <c r="AC162" s="41">
        <f t="shared" si="253"/>
        <v>-199.52323516826652</v>
      </c>
      <c r="AD162" s="33"/>
      <c r="AE162" s="2"/>
      <c r="AF162" s="2"/>
      <c r="AG162" s="2"/>
      <c r="AH162" s="2"/>
      <c r="AI162" s="33"/>
      <c r="AJ162" s="33"/>
    </row>
    <row r="163" spans="1:36" x14ac:dyDescent="0.2">
      <c r="B163" s="2" t="s">
        <v>137</v>
      </c>
      <c r="C163" s="2"/>
      <c r="D163" s="2"/>
      <c r="E163" s="2"/>
      <c r="F163" s="2"/>
      <c r="G163" s="2"/>
      <c r="H163" s="2"/>
      <c r="I163" s="2"/>
      <c r="J163" s="2"/>
      <c r="K163" s="2"/>
      <c r="L163" s="2"/>
      <c r="M163" s="2"/>
      <c r="N163" s="2"/>
      <c r="O163" s="2"/>
      <c r="P163" s="2"/>
      <c r="Q163" s="2"/>
      <c r="R163" s="2"/>
      <c r="S163" s="2"/>
      <c r="T163" s="2"/>
      <c r="U163" s="2"/>
      <c r="V163" s="2"/>
      <c r="W163" s="65"/>
      <c r="X163" s="61">
        <f t="shared" ref="X163" si="254">X162/W162-1</f>
        <v>-2.9710711493354247E-2</v>
      </c>
      <c r="Y163" s="34">
        <f t="shared" ref="Y163" si="255">Y162/X162-1</f>
        <v>0.14027074713320808</v>
      </c>
      <c r="Z163" s="34">
        <f t="shared" ref="Z163" si="256">Z162/Y162-1</f>
        <v>0.11334652515845889</v>
      </c>
      <c r="AA163" s="34">
        <f t="shared" ref="AA163" si="257">AA162/Z162-1</f>
        <v>8.4217800434022161E-2</v>
      </c>
      <c r="AB163" s="34">
        <f t="shared" ref="AB163" si="258">AB162/AA162-1</f>
        <v>8.1479370385487027E-2</v>
      </c>
      <c r="AC163" s="34">
        <f t="shared" ref="AC163" si="259">AC162/AB162-1</f>
        <v>8.0061742502532285E-2</v>
      </c>
      <c r="AD163" s="33"/>
      <c r="AE163" s="2"/>
      <c r="AF163" s="2"/>
      <c r="AG163" s="2"/>
      <c r="AH163" s="2"/>
      <c r="AI163" s="33"/>
      <c r="AJ163" s="33"/>
    </row>
    <row r="164" spans="1:36" x14ac:dyDescent="0.2">
      <c r="B164" s="2" t="s">
        <v>182</v>
      </c>
      <c r="C164" s="2"/>
      <c r="D164" s="2"/>
      <c r="E164" s="2"/>
      <c r="F164" s="2"/>
      <c r="G164" s="2"/>
      <c r="H164" s="2"/>
      <c r="I164" s="2"/>
      <c r="J164" s="2"/>
      <c r="K164" s="2"/>
      <c r="L164" s="2"/>
      <c r="M164" s="2"/>
      <c r="N164" s="2"/>
      <c r="O164" s="2"/>
      <c r="P164" s="2"/>
      <c r="Q164" s="2"/>
      <c r="R164" s="2"/>
      <c r="S164" s="2"/>
      <c r="T164" s="2"/>
      <c r="U164" s="2"/>
      <c r="V164" s="2"/>
      <c r="W164" s="283">
        <f>-W162/W117</f>
        <v>1.4208111620880037E-2</v>
      </c>
      <c r="X164" s="283">
        <f>-X162/X117</f>
        <v>1.208550421191021E-2</v>
      </c>
      <c r="Y164" s="270">
        <v>1.2E-2</v>
      </c>
      <c r="Z164" s="270">
        <v>1.2E-2</v>
      </c>
      <c r="AA164" s="270">
        <v>1.2E-2</v>
      </c>
      <c r="AB164" s="270">
        <v>1.2E-2</v>
      </c>
      <c r="AC164" s="270">
        <v>1.2E-2</v>
      </c>
      <c r="AD164" s="33"/>
      <c r="AE164" s="2"/>
      <c r="AF164" s="2"/>
      <c r="AG164" s="2"/>
      <c r="AH164" s="2"/>
      <c r="AI164" s="33"/>
      <c r="AJ164" s="33"/>
    </row>
    <row r="165" spans="1:36" x14ac:dyDescent="0.2">
      <c r="B165" s="2"/>
      <c r="C165" s="2"/>
      <c r="D165" s="2"/>
      <c r="E165" s="2"/>
      <c r="F165" s="2"/>
      <c r="G165" s="2"/>
      <c r="H165" s="2"/>
      <c r="I165" s="2"/>
      <c r="J165" s="2"/>
      <c r="K165" s="2"/>
      <c r="L165" s="2"/>
      <c r="M165" s="2"/>
      <c r="N165" s="2"/>
      <c r="O165" s="2"/>
      <c r="P165" s="2"/>
      <c r="Q165" s="2"/>
      <c r="R165" s="2"/>
      <c r="S165" s="2"/>
      <c r="T165" s="2"/>
      <c r="U165" s="2"/>
      <c r="V165" s="2"/>
      <c r="W165" s="65"/>
      <c r="X165" s="65"/>
      <c r="Y165" s="41">
        <f>Y166-X166</f>
        <v>-29.824000000000012</v>
      </c>
      <c r="Z165" s="41">
        <f>Z166-Y166</f>
        <v>-32.209920000000011</v>
      </c>
      <c r="AA165" s="41">
        <f>AA166-Z166</f>
        <v>-17.393356799999992</v>
      </c>
      <c r="AB165" s="33"/>
      <c r="AC165" s="33"/>
      <c r="AD165" s="33"/>
      <c r="AE165" s="2"/>
      <c r="AF165" s="2"/>
      <c r="AG165" s="2"/>
      <c r="AH165" s="2"/>
      <c r="AI165" s="33"/>
      <c r="AJ165" s="33"/>
    </row>
    <row r="166" spans="1:36" x14ac:dyDescent="0.2">
      <c r="B166" s="2" t="s">
        <v>109</v>
      </c>
      <c r="C166" s="2"/>
      <c r="D166" s="2"/>
      <c r="E166" s="2"/>
      <c r="F166" s="2"/>
      <c r="G166" s="2"/>
      <c r="H166" s="2"/>
      <c r="I166" s="2"/>
      <c r="J166" s="2"/>
      <c r="K166" s="2"/>
      <c r="L166" s="2"/>
      <c r="M166" s="2"/>
      <c r="N166" s="2"/>
      <c r="O166" s="2"/>
      <c r="P166" s="2"/>
      <c r="Q166" s="2"/>
      <c r="R166" s="2"/>
      <c r="S166" s="2"/>
      <c r="T166" s="2"/>
      <c r="U166" s="2"/>
      <c r="V166" s="2"/>
      <c r="W166" s="282">
        <v>-313.8</v>
      </c>
      <c r="X166" s="282">
        <v>-372.8</v>
      </c>
      <c r="Y166" s="41">
        <f>X166*(1+Y167)</f>
        <v>-402.62400000000002</v>
      </c>
      <c r="Z166" s="41">
        <f t="shared" ref="Z166" si="260">Y166*(1+Z167)</f>
        <v>-434.83392000000003</v>
      </c>
      <c r="AA166" s="41">
        <f t="shared" ref="AA166" si="261">Z166*(1+AA167)</f>
        <v>-452.22727680000003</v>
      </c>
      <c r="AB166" s="41">
        <f t="shared" ref="AB166" si="262">AA166*(1+AB167)</f>
        <v>-470.31636787200006</v>
      </c>
      <c r="AC166" s="41">
        <f t="shared" ref="AC166" si="263">AB166*(1+AC167)</f>
        <v>-486.77744074752002</v>
      </c>
      <c r="AD166" s="33"/>
      <c r="AE166" s="2"/>
      <c r="AF166" s="2"/>
      <c r="AG166" s="2"/>
      <c r="AH166" s="2"/>
      <c r="AI166" s="33"/>
      <c r="AJ166" s="33"/>
    </row>
    <row r="167" spans="1:36" x14ac:dyDescent="0.2">
      <c r="B167" s="2" t="s">
        <v>137</v>
      </c>
      <c r="C167" s="2"/>
      <c r="D167" s="2"/>
      <c r="E167" s="2"/>
      <c r="F167" s="2"/>
      <c r="G167" s="2"/>
      <c r="H167" s="2"/>
      <c r="I167" s="2"/>
      <c r="J167" s="2"/>
      <c r="K167" s="2"/>
      <c r="L167" s="2"/>
      <c r="M167" s="2"/>
      <c r="N167" s="2"/>
      <c r="O167" s="2"/>
      <c r="P167" s="2"/>
      <c r="Q167" s="2"/>
      <c r="R167" s="2"/>
      <c r="S167" s="2"/>
      <c r="T167" s="2"/>
      <c r="U167" s="2"/>
      <c r="V167" s="2"/>
      <c r="W167" s="2"/>
      <c r="X167" s="61">
        <f t="shared" ref="X167" si="264">X166/W166-1</f>
        <v>0.1880178457616315</v>
      </c>
      <c r="Y167" s="43">
        <v>0.08</v>
      </c>
      <c r="Z167" s="43">
        <v>0.08</v>
      </c>
      <c r="AA167" s="43">
        <v>0.04</v>
      </c>
      <c r="AB167" s="43">
        <v>0.04</v>
      </c>
      <c r="AC167" s="43">
        <v>3.5000000000000003E-2</v>
      </c>
      <c r="AD167" s="33"/>
      <c r="AE167" s="2"/>
      <c r="AF167" s="2"/>
      <c r="AG167" s="2"/>
      <c r="AH167" s="2"/>
      <c r="AI167" s="33"/>
      <c r="AJ167" s="33"/>
    </row>
    <row r="168" spans="1:36" x14ac:dyDescent="0.2">
      <c r="B168" s="2" t="s">
        <v>182</v>
      </c>
      <c r="C168" s="2"/>
      <c r="D168" s="2"/>
      <c r="E168" s="2"/>
      <c r="F168" s="2"/>
      <c r="G168" s="2"/>
      <c r="H168" s="2"/>
      <c r="I168" s="2"/>
      <c r="J168" s="2"/>
      <c r="K168" s="2"/>
      <c r="L168" s="2"/>
      <c r="M168" s="2"/>
      <c r="N168" s="2"/>
      <c r="O168" s="2"/>
      <c r="P168" s="2"/>
      <c r="Q168" s="2"/>
      <c r="R168" s="2"/>
      <c r="S168" s="2"/>
      <c r="T168" s="2"/>
      <c r="U168" s="2"/>
      <c r="V168" s="2"/>
      <c r="W168" s="2"/>
      <c r="X168" s="2"/>
      <c r="Y168" s="33"/>
      <c r="Z168" s="33"/>
      <c r="AA168" s="33"/>
      <c r="AB168" s="33"/>
      <c r="AC168" s="33"/>
      <c r="AD168" s="33"/>
      <c r="AE168" s="2"/>
      <c r="AF168" s="2"/>
      <c r="AG168" s="2"/>
      <c r="AH168" s="2"/>
      <c r="AI168" s="33"/>
      <c r="AJ168" s="33"/>
    </row>
    <row r="169" spans="1:36" x14ac:dyDescent="0.2">
      <c r="B169" s="2"/>
      <c r="C169" s="2"/>
      <c r="D169" s="2"/>
      <c r="E169" s="2"/>
      <c r="F169" s="2"/>
      <c r="G169" s="2"/>
      <c r="H169" s="2"/>
      <c r="I169" s="2"/>
      <c r="J169" s="2"/>
      <c r="K169" s="2"/>
      <c r="L169" s="2"/>
      <c r="M169" s="2"/>
      <c r="N169" s="2"/>
      <c r="O169" s="2"/>
      <c r="P169" s="2"/>
      <c r="Q169" s="2"/>
      <c r="R169" s="2"/>
      <c r="S169" s="2"/>
      <c r="T169" s="2"/>
      <c r="U169" s="2"/>
      <c r="V169" s="2"/>
      <c r="W169" s="2"/>
      <c r="X169" s="2"/>
      <c r="Y169" s="33"/>
      <c r="Z169" s="33"/>
      <c r="AA169" s="33"/>
      <c r="AB169" s="33"/>
      <c r="AC169" s="33"/>
      <c r="AD169" s="33"/>
      <c r="AE169" s="2"/>
      <c r="AF169" s="2"/>
      <c r="AG169" s="2"/>
      <c r="AH169" s="2"/>
      <c r="AI169" s="33"/>
      <c r="AJ169" s="33"/>
    </row>
    <row r="170" spans="1:36" x14ac:dyDescent="0.2">
      <c r="A170" s="29" t="s">
        <v>10</v>
      </c>
      <c r="B170" s="3" t="s">
        <v>10</v>
      </c>
      <c r="C170" s="2"/>
      <c r="D170" s="2"/>
      <c r="E170" s="2"/>
      <c r="F170" s="2"/>
      <c r="G170" s="2"/>
      <c r="H170" s="2"/>
      <c r="I170" s="2"/>
      <c r="J170" s="2"/>
      <c r="K170" s="2"/>
      <c r="L170" s="2"/>
      <c r="M170" s="2"/>
      <c r="N170" s="2"/>
      <c r="O170" s="2"/>
      <c r="P170" s="2"/>
      <c r="Q170" s="2"/>
      <c r="R170" s="2"/>
      <c r="S170" s="2"/>
      <c r="T170" s="2"/>
      <c r="U170" s="2"/>
      <c r="V170" s="2"/>
      <c r="W170" s="152">
        <v>675.1</v>
      </c>
      <c r="X170" s="152">
        <v>968.5</v>
      </c>
      <c r="Y170" s="42">
        <f>Y131+Y151+Y138</f>
        <v>1201.5729422797908</v>
      </c>
      <c r="Z170" s="42">
        <f>Z131+Z151+Z138</f>
        <v>1424.6573479641515</v>
      </c>
      <c r="AA170" s="42">
        <f>AA131+AA151+AA138</f>
        <v>1633.2645264041962</v>
      </c>
      <c r="AB170" s="42">
        <f>AB131+AB151+AB138</f>
        <v>1837.3140883086987</v>
      </c>
      <c r="AC170" s="42">
        <f>AC131+AC151+AC138</f>
        <v>2061.6568527359391</v>
      </c>
      <c r="AD170" s="42"/>
      <c r="AE170" s="2"/>
      <c r="AF170" s="2"/>
      <c r="AG170" s="2"/>
      <c r="AH170" s="2"/>
      <c r="AI170" s="42">
        <f>AI180-AI175</f>
        <v>656.17750000000001</v>
      </c>
      <c r="AJ170" s="42">
        <f>AJ180-AJ175</f>
        <v>545.39544227979081</v>
      </c>
    </row>
    <row r="171" spans="1:36" x14ac:dyDescent="0.2">
      <c r="B171" s="2" t="s">
        <v>137</v>
      </c>
      <c r="C171" s="2"/>
      <c r="D171" s="2"/>
      <c r="E171" s="2"/>
      <c r="F171" s="2"/>
      <c r="G171" s="2"/>
      <c r="H171" s="2"/>
      <c r="I171" s="2"/>
      <c r="J171" s="2"/>
      <c r="K171" s="2"/>
      <c r="L171" s="2"/>
      <c r="M171" s="2"/>
      <c r="N171" s="2"/>
      <c r="O171" s="2"/>
      <c r="P171" s="2"/>
      <c r="Q171" s="2"/>
      <c r="R171" s="2"/>
      <c r="S171" s="2"/>
      <c r="T171" s="2"/>
      <c r="U171" s="2"/>
      <c r="V171" s="2"/>
      <c r="W171" s="61"/>
      <c r="X171" s="61">
        <f t="shared" ref="X171" si="265">X170/W170-1</f>
        <v>0.43460228114353416</v>
      </c>
      <c r="Y171" s="34">
        <f t="shared" ref="Y171" si="266">Y170/X170-1</f>
        <v>0.24065352842518406</v>
      </c>
      <c r="Z171" s="34">
        <f t="shared" ref="Z171" si="267">Z170/Y170-1</f>
        <v>0.18566031061010246</v>
      </c>
      <c r="AA171" s="34">
        <f t="shared" ref="AA171" si="268">AA170/Z170-1</f>
        <v>0.14642621170497327</v>
      </c>
      <c r="AB171" s="34">
        <f t="shared" ref="AB171" si="269">AB170/AA170-1</f>
        <v>0.1249335662446176</v>
      </c>
      <c r="AC171" s="34">
        <f t="shared" ref="AC171" si="270">AC170/AB170-1</f>
        <v>0.12210365438048454</v>
      </c>
      <c r="AD171" s="33"/>
      <c r="AE171" s="2"/>
      <c r="AF171" s="2"/>
      <c r="AG171" s="2"/>
      <c r="AH171" s="2"/>
      <c r="AI171" s="33"/>
      <c r="AJ171" s="33"/>
    </row>
    <row r="172" spans="1:36" x14ac:dyDescent="0.2">
      <c r="B172" s="2" t="s">
        <v>182</v>
      </c>
      <c r="C172" s="2"/>
      <c r="D172" s="2"/>
      <c r="E172" s="2"/>
      <c r="F172" s="2"/>
      <c r="G172" s="2"/>
      <c r="H172" s="2"/>
      <c r="I172" s="2"/>
      <c r="J172" s="2"/>
      <c r="K172" s="2"/>
      <c r="L172" s="2"/>
      <c r="M172" s="2"/>
      <c r="N172" s="2"/>
      <c r="O172" s="2"/>
      <c r="P172" s="2"/>
      <c r="Q172" s="2"/>
      <c r="R172" s="2"/>
      <c r="S172" s="2"/>
      <c r="T172" s="2"/>
      <c r="U172" s="2"/>
      <c r="V172" s="2"/>
      <c r="W172" s="73">
        <f>W170/W$117</f>
        <v>7.499527877448095E-2</v>
      </c>
      <c r="X172" s="73">
        <f t="shared" ref="X172:AC172" si="271">X170/X$117</f>
        <v>9.4317573160636894E-2</v>
      </c>
      <c r="Y172" s="50">
        <f t="shared" si="271"/>
        <v>0.10189470626288873</v>
      </c>
      <c r="Z172" s="50">
        <f t="shared" si="271"/>
        <v>0.10851294394616894</v>
      </c>
      <c r="AA172" s="50">
        <f t="shared" si="271"/>
        <v>0.11473901572115978</v>
      </c>
      <c r="AB172" s="50">
        <f t="shared" si="271"/>
        <v>0.11934926701060782</v>
      </c>
      <c r="AC172" s="50">
        <f t="shared" si="271"/>
        <v>0.12399499342503675</v>
      </c>
      <c r="AD172" s="33"/>
      <c r="AE172" s="2"/>
      <c r="AF172" s="2"/>
      <c r="AG172" s="2"/>
      <c r="AH172" s="2"/>
      <c r="AI172" s="50">
        <f t="shared" ref="AI172:AJ172" si="272">AI170/AI$117</f>
        <v>0.10944164999286918</v>
      </c>
      <c r="AJ172" s="50">
        <f t="shared" si="272"/>
        <v>9.4088585766420166E-2</v>
      </c>
    </row>
    <row r="173" spans="1:36" x14ac:dyDescent="0.2">
      <c r="B173" s="2" t="s">
        <v>178</v>
      </c>
      <c r="C173" s="2"/>
      <c r="D173" s="2"/>
      <c r="E173" s="2"/>
      <c r="F173" s="2"/>
      <c r="G173" s="2"/>
      <c r="H173" s="2"/>
      <c r="I173" s="2"/>
      <c r="J173" s="2"/>
      <c r="K173" s="2"/>
      <c r="L173" s="2"/>
      <c r="M173" s="2"/>
      <c r="N173" s="2"/>
      <c r="O173" s="2"/>
      <c r="P173" s="2"/>
      <c r="Q173" s="2"/>
      <c r="R173" s="2"/>
      <c r="S173" s="2"/>
      <c r="T173" s="2"/>
      <c r="U173" s="2"/>
      <c r="V173" s="2"/>
      <c r="W173" s="2"/>
      <c r="X173" s="74">
        <f>X172-W172</f>
        <v>1.9322294386155944E-2</v>
      </c>
      <c r="Y173" s="57">
        <f t="shared" ref="Y173:AC173" si="273">Y172-X172</f>
        <v>7.5771331022518318E-3</v>
      </c>
      <c r="Z173" s="57">
        <f t="shared" si="273"/>
        <v>6.6182376832802092E-3</v>
      </c>
      <c r="AA173" s="57">
        <f t="shared" si="273"/>
        <v>6.226071774990849E-3</v>
      </c>
      <c r="AB173" s="57">
        <f t="shared" si="273"/>
        <v>4.6102512894480308E-3</v>
      </c>
      <c r="AC173" s="57">
        <f t="shared" si="273"/>
        <v>4.6457264144289384E-3</v>
      </c>
      <c r="AD173" s="57"/>
      <c r="AE173" s="2"/>
      <c r="AF173" s="2"/>
      <c r="AG173" s="2"/>
      <c r="AH173" s="2"/>
      <c r="AI173" s="50"/>
      <c r="AJ173" s="50"/>
    </row>
    <row r="174" spans="1:36" x14ac:dyDescent="0.2">
      <c r="B174" s="2"/>
      <c r="C174" s="2"/>
      <c r="D174" s="2"/>
      <c r="E174" s="2"/>
      <c r="F174" s="2"/>
      <c r="G174" s="2"/>
      <c r="H174" s="2"/>
      <c r="I174" s="2"/>
      <c r="J174" s="2"/>
      <c r="K174" s="2"/>
      <c r="L174" s="2"/>
      <c r="M174" s="2"/>
      <c r="N174" s="2"/>
      <c r="O174" s="2"/>
      <c r="P174" s="2"/>
      <c r="Q174" s="2"/>
      <c r="R174" s="2"/>
      <c r="S174" s="2"/>
      <c r="T174" s="2"/>
      <c r="U174" s="2"/>
      <c r="V174" s="2"/>
      <c r="W174" s="2"/>
      <c r="X174" s="2"/>
      <c r="Y174" s="33"/>
      <c r="Z174" s="33"/>
      <c r="AA174" s="33"/>
      <c r="AB174" s="33"/>
      <c r="AC174" s="33"/>
      <c r="AD174" s="33"/>
      <c r="AE174" s="2"/>
      <c r="AF174" s="2"/>
      <c r="AG174" s="2"/>
      <c r="AH174" s="2"/>
      <c r="AI174" s="33"/>
      <c r="AJ174" s="33"/>
    </row>
    <row r="175" spans="1:36" x14ac:dyDescent="0.2">
      <c r="A175" s="29" t="s">
        <v>11</v>
      </c>
      <c r="B175" s="3" t="s">
        <v>11</v>
      </c>
      <c r="C175" s="2"/>
      <c r="D175" s="2"/>
      <c r="E175" s="2"/>
      <c r="F175" s="2"/>
      <c r="G175" s="2"/>
      <c r="H175" s="2"/>
      <c r="I175" s="2"/>
      <c r="J175" s="2"/>
      <c r="K175" s="2"/>
      <c r="L175" s="2"/>
      <c r="M175" s="2"/>
      <c r="N175" s="2"/>
      <c r="O175" s="2"/>
      <c r="P175" s="2"/>
      <c r="Q175" s="2"/>
      <c r="R175" s="2"/>
      <c r="S175" s="2"/>
      <c r="T175" s="2"/>
      <c r="U175" s="2"/>
      <c r="V175" s="2"/>
      <c r="W175" s="36">
        <f>W180-W170</f>
        <v>-69.600000000000023</v>
      </c>
      <c r="X175" s="152">
        <v>-65.099999999999994</v>
      </c>
      <c r="Y175" s="52">
        <f>X175*(1+Y176)</f>
        <v>-68.355000000000004</v>
      </c>
      <c r="Z175" s="52">
        <f t="shared" ref="Z175:AC175" si="274">Y175*(1+Z176)</f>
        <v>-71.772750000000002</v>
      </c>
      <c r="AA175" s="52">
        <f t="shared" si="274"/>
        <v>-75.361387500000006</v>
      </c>
      <c r="AB175" s="52">
        <f t="shared" si="274"/>
        <v>-79.129456875000017</v>
      </c>
      <c r="AC175" s="52">
        <f t="shared" si="274"/>
        <v>-83.085929718750023</v>
      </c>
      <c r="AD175" s="33"/>
      <c r="AE175" s="2"/>
      <c r="AF175" s="2"/>
      <c r="AG175" s="2"/>
      <c r="AH175" s="2"/>
      <c r="AI175" s="51">
        <f>Y175*0.5</f>
        <v>-34.177500000000002</v>
      </c>
      <c r="AJ175" s="42">
        <f>Y175-AI175</f>
        <v>-34.177500000000002</v>
      </c>
    </row>
    <row r="176" spans="1:36" x14ac:dyDescent="0.2">
      <c r="B176" s="2" t="s">
        <v>137</v>
      </c>
      <c r="C176" s="2"/>
      <c r="D176" s="2"/>
      <c r="E176" s="2"/>
      <c r="F176" s="2"/>
      <c r="G176" s="2"/>
      <c r="H176" s="2"/>
      <c r="I176" s="2"/>
      <c r="J176" s="2"/>
      <c r="K176" s="2"/>
      <c r="L176" s="2"/>
      <c r="M176" s="2"/>
      <c r="N176" s="2"/>
      <c r="O176" s="2"/>
      <c r="P176" s="2"/>
      <c r="Q176" s="2"/>
      <c r="R176" s="2"/>
      <c r="S176" s="2"/>
      <c r="T176" s="2"/>
      <c r="U176" s="2"/>
      <c r="V176" s="2"/>
      <c r="W176" s="61"/>
      <c r="X176" s="61">
        <f t="shared" ref="X176" si="275">X175/W175-1</f>
        <v>-6.4655172413793482E-2</v>
      </c>
      <c r="Y176" s="43">
        <v>0.05</v>
      </c>
      <c r="Z176" s="43">
        <v>0.05</v>
      </c>
      <c r="AA176" s="43">
        <v>0.05</v>
      </c>
      <c r="AB176" s="43">
        <v>0.05</v>
      </c>
      <c r="AC176" s="43">
        <v>0.05</v>
      </c>
      <c r="AD176" s="33"/>
      <c r="AE176" s="2"/>
      <c r="AF176" s="2"/>
      <c r="AG176" s="2"/>
      <c r="AH176" s="2"/>
      <c r="AI176" s="33"/>
      <c r="AJ176" s="33"/>
    </row>
    <row r="177" spans="1:36" x14ac:dyDescent="0.2">
      <c r="B177" s="2" t="s">
        <v>182</v>
      </c>
      <c r="C177" s="2"/>
      <c r="D177" s="2"/>
      <c r="E177" s="2"/>
      <c r="F177" s="2"/>
      <c r="G177" s="2"/>
      <c r="H177" s="2"/>
      <c r="I177" s="2"/>
      <c r="J177" s="2"/>
      <c r="K177" s="2"/>
      <c r="L177" s="2"/>
      <c r="M177" s="2"/>
      <c r="N177" s="2"/>
      <c r="O177" s="2"/>
      <c r="P177" s="2"/>
      <c r="Q177" s="2"/>
      <c r="R177" s="2"/>
      <c r="S177" s="2"/>
      <c r="T177" s="2"/>
      <c r="U177" s="2"/>
      <c r="V177" s="2"/>
      <c r="W177" s="73">
        <f>W175/W$117</f>
        <v>-7.731701085326434E-3</v>
      </c>
      <c r="X177" s="73">
        <f t="shared" ref="X177:AC177" si="276">X175/X$117</f>
        <v>-6.339776987875541E-3</v>
      </c>
      <c r="Y177" s="50">
        <f t="shared" si="276"/>
        <v>-5.796579135166585E-3</v>
      </c>
      <c r="Z177" s="50">
        <f t="shared" si="276"/>
        <v>-5.4667688400596177E-3</v>
      </c>
      <c r="AA177" s="50">
        <f t="shared" si="276"/>
        <v>-5.294238186981234E-3</v>
      </c>
      <c r="AB177" s="50">
        <f t="shared" si="276"/>
        <v>-5.1401351228260979E-3</v>
      </c>
      <c r="AC177" s="50">
        <f t="shared" si="276"/>
        <v>-4.9970679143417109E-3</v>
      </c>
      <c r="AD177" s="33"/>
      <c r="AE177" s="2"/>
      <c r="AF177" s="2"/>
      <c r="AG177" s="2"/>
      <c r="AH177" s="2"/>
      <c r="AI177" s="50">
        <f t="shared" ref="AI177:AJ177" si="277">AI175/AI$117</f>
        <v>-5.7003508846787442E-3</v>
      </c>
      <c r="AJ177" s="50">
        <f t="shared" si="277"/>
        <v>-5.8961120514500875E-3</v>
      </c>
    </row>
    <row r="178" spans="1:36" x14ac:dyDescent="0.2">
      <c r="B178" s="2" t="s">
        <v>178</v>
      </c>
      <c r="C178" s="2"/>
      <c r="D178" s="2"/>
      <c r="E178" s="2"/>
      <c r="F178" s="2"/>
      <c r="G178" s="2"/>
      <c r="H178" s="2"/>
      <c r="I178" s="2"/>
      <c r="J178" s="2"/>
      <c r="K178" s="2"/>
      <c r="L178" s="2"/>
      <c r="M178" s="2"/>
      <c r="N178" s="2"/>
      <c r="O178" s="2"/>
      <c r="P178" s="2"/>
      <c r="Q178" s="2"/>
      <c r="R178" s="2"/>
      <c r="S178" s="2"/>
      <c r="T178" s="2"/>
      <c r="U178" s="2"/>
      <c r="V178" s="2"/>
      <c r="W178" s="2"/>
      <c r="X178" s="74">
        <f>X177-W177</f>
        <v>1.391924097450893E-3</v>
      </c>
      <c r="Y178" s="57">
        <f t="shared" ref="Y178" si="278">Y177-X177</f>
        <v>5.43197852708956E-4</v>
      </c>
      <c r="Z178" s="57">
        <f t="shared" ref="Z178" si="279">Z177-Y177</f>
        <v>3.2981029510696733E-4</v>
      </c>
      <c r="AA178" s="57">
        <f t="shared" ref="AA178" si="280">AA177-Z177</f>
        <v>1.7253065307838364E-4</v>
      </c>
      <c r="AB178" s="57">
        <f t="shared" ref="AB178" si="281">AB177-AA177</f>
        <v>1.5410306415513612E-4</v>
      </c>
      <c r="AC178" s="57">
        <f t="shared" ref="AC178" si="282">AC177-AB177</f>
        <v>1.4306720848438707E-4</v>
      </c>
      <c r="AD178" s="33"/>
      <c r="AE178" s="2"/>
      <c r="AF178" s="2"/>
      <c r="AG178" s="2"/>
      <c r="AH178" s="2"/>
      <c r="AI178" s="50"/>
      <c r="AJ178" s="50"/>
    </row>
    <row r="179" spans="1:36" x14ac:dyDescent="0.2">
      <c r="B179" s="2"/>
      <c r="C179" s="2"/>
      <c r="D179" s="2"/>
      <c r="E179" s="2"/>
      <c r="F179" s="2"/>
      <c r="G179" s="2"/>
      <c r="H179" s="2"/>
      <c r="I179" s="2"/>
      <c r="J179" s="2"/>
      <c r="K179" s="2"/>
      <c r="L179" s="2"/>
      <c r="M179" s="2"/>
      <c r="N179" s="2"/>
      <c r="O179" s="2"/>
      <c r="P179" s="2"/>
      <c r="Q179" s="2"/>
      <c r="R179" s="2"/>
      <c r="S179" s="2"/>
      <c r="T179" s="2"/>
      <c r="U179" s="2"/>
      <c r="V179" s="2"/>
      <c r="W179" s="2"/>
      <c r="X179" s="74"/>
      <c r="Y179" s="57"/>
      <c r="Z179" s="57"/>
      <c r="AA179" s="57"/>
      <c r="AB179" s="57"/>
      <c r="AC179" s="57"/>
      <c r="AD179" s="33"/>
      <c r="AE179" s="2"/>
      <c r="AF179" s="2"/>
      <c r="AG179" s="2"/>
      <c r="AH179" s="2"/>
      <c r="AI179" s="33"/>
      <c r="AJ179" s="33"/>
    </row>
    <row r="180" spans="1:36" x14ac:dyDescent="0.2">
      <c r="A180" s="29" t="s">
        <v>12</v>
      </c>
      <c r="B180" s="3" t="s">
        <v>12</v>
      </c>
      <c r="C180" s="2"/>
      <c r="D180" s="2"/>
      <c r="E180" s="2"/>
      <c r="F180" s="2"/>
      <c r="G180" s="2"/>
      <c r="H180" s="2"/>
      <c r="I180" s="2"/>
      <c r="J180" s="2"/>
      <c r="K180" s="2"/>
      <c r="L180" s="2"/>
      <c r="M180" s="2"/>
      <c r="N180" s="2"/>
      <c r="O180" s="2"/>
      <c r="P180" s="2"/>
      <c r="Q180" s="2"/>
      <c r="R180" s="2"/>
      <c r="S180" s="2"/>
      <c r="T180" s="2"/>
      <c r="U180" s="2"/>
      <c r="V180" s="2"/>
      <c r="W180" s="152">
        <v>605.5</v>
      </c>
      <c r="X180" s="152">
        <v>903.4</v>
      </c>
      <c r="Y180" s="52">
        <f>Y170+Y175</f>
        <v>1133.2179422797908</v>
      </c>
      <c r="Z180" s="52">
        <f t="shared" ref="Z180:AB180" si="283">Z170+Z175</f>
        <v>1352.8845979641515</v>
      </c>
      <c r="AA180" s="52">
        <f t="shared" si="283"/>
        <v>1557.9031389041961</v>
      </c>
      <c r="AB180" s="52">
        <f t="shared" si="283"/>
        <v>1758.1846314336988</v>
      </c>
      <c r="AC180" s="52">
        <f>AC170+AC175</f>
        <v>1978.570923017189</v>
      </c>
      <c r="AD180" s="33"/>
      <c r="AE180" s="2"/>
      <c r="AF180" s="2"/>
      <c r="AG180" s="2"/>
      <c r="AH180" s="2"/>
      <c r="AI180" s="275">
        <v>622</v>
      </c>
      <c r="AJ180" s="52">
        <f>Y180-AI180</f>
        <v>511.2179422797908</v>
      </c>
    </row>
    <row r="181" spans="1:36" x14ac:dyDescent="0.2">
      <c r="A181" s="29" t="s">
        <v>271</v>
      </c>
      <c r="B181" s="2" t="s">
        <v>137</v>
      </c>
      <c r="C181" s="2"/>
      <c r="D181" s="2"/>
      <c r="E181" s="2"/>
      <c r="F181" s="2"/>
      <c r="G181" s="2"/>
      <c r="H181" s="2"/>
      <c r="I181" s="2"/>
      <c r="J181" s="2"/>
      <c r="K181" s="2"/>
      <c r="L181" s="2"/>
      <c r="M181" s="2"/>
      <c r="N181" s="2"/>
      <c r="O181" s="2"/>
      <c r="P181" s="2"/>
      <c r="Q181" s="2"/>
      <c r="R181" s="2"/>
      <c r="S181" s="2"/>
      <c r="T181" s="2"/>
      <c r="U181" s="2"/>
      <c r="V181" s="2"/>
      <c r="W181" s="61"/>
      <c r="X181" s="61">
        <f t="shared" ref="X181" si="284">X180/W180-1</f>
        <v>0.49199009083402134</v>
      </c>
      <c r="Y181" s="34">
        <f t="shared" ref="Y181" si="285">Y180/X180-1</f>
        <v>0.25439223187933457</v>
      </c>
      <c r="Z181" s="34">
        <f t="shared" ref="Z181" si="286">Z180/Y180-1</f>
        <v>0.19384325599578722</v>
      </c>
      <c r="AA181" s="34">
        <f t="shared" ref="AA181" si="287">AA180/Z180-1</f>
        <v>0.15154178061348378</v>
      </c>
      <c r="AB181" s="34">
        <f t="shared" ref="AB181" si="288">AB180/AA180-1</f>
        <v>0.12855837280768134</v>
      </c>
      <c r="AC181" s="34">
        <f t="shared" ref="AC181" si="289">AC180/AB180-1</f>
        <v>0.12534877602915784</v>
      </c>
      <c r="AD181" s="33"/>
      <c r="AE181" s="2"/>
      <c r="AF181" s="2"/>
      <c r="AG181" s="2"/>
      <c r="AH181" s="2"/>
      <c r="AI181" s="274"/>
      <c r="AJ181" s="33"/>
    </row>
    <row r="182" spans="1:36" x14ac:dyDescent="0.2">
      <c r="A182" s="29" t="s">
        <v>202</v>
      </c>
      <c r="B182" s="2" t="s">
        <v>182</v>
      </c>
      <c r="C182" s="2"/>
      <c r="D182" s="2"/>
      <c r="E182" s="2"/>
      <c r="F182" s="2"/>
      <c r="G182" s="2"/>
      <c r="H182" s="2"/>
      <c r="I182" s="2"/>
      <c r="J182" s="2"/>
      <c r="K182" s="2"/>
      <c r="L182" s="2"/>
      <c r="M182" s="2"/>
      <c r="N182" s="2"/>
      <c r="O182" s="2"/>
      <c r="P182" s="2"/>
      <c r="Q182" s="2"/>
      <c r="R182" s="2"/>
      <c r="S182" s="2"/>
      <c r="T182" s="2"/>
      <c r="U182" s="2"/>
      <c r="V182" s="2"/>
      <c r="W182" s="73">
        <f>W180/W$117</f>
        <v>6.7263577689154516E-2</v>
      </c>
      <c r="X182" s="73">
        <f t="shared" ref="X182:AC182" si="290">X180/X$117</f>
        <v>8.7977796172761358E-2</v>
      </c>
      <c r="Y182" s="50">
        <f t="shared" si="290"/>
        <v>9.6098127127722144E-2</v>
      </c>
      <c r="Z182" s="50">
        <f t="shared" si="290"/>
        <v>0.10304617510610931</v>
      </c>
      <c r="AA182" s="50">
        <f t="shared" si="290"/>
        <v>0.10944477753417856</v>
      </c>
      <c r="AB182" s="50">
        <f t="shared" si="290"/>
        <v>0.11420913188778173</v>
      </c>
      <c r="AC182" s="50">
        <f t="shared" si="290"/>
        <v>0.11899792551069505</v>
      </c>
      <c r="AD182" s="33"/>
      <c r="AE182" s="2"/>
      <c r="AF182" s="2"/>
      <c r="AG182" s="2"/>
      <c r="AH182" s="2"/>
      <c r="AI182" s="50">
        <f t="shared" ref="AI182:AJ182" si="291">AI180/AI$117</f>
        <v>0.10374129910819044</v>
      </c>
      <c r="AJ182" s="50">
        <f t="shared" si="291"/>
        <v>8.8192473714970077E-2</v>
      </c>
    </row>
    <row r="183" spans="1:36" x14ac:dyDescent="0.2">
      <c r="B183" s="2" t="s">
        <v>178</v>
      </c>
      <c r="C183" s="2"/>
      <c r="D183" s="2"/>
      <c r="E183" s="2"/>
      <c r="F183" s="2"/>
      <c r="G183" s="2"/>
      <c r="H183" s="2"/>
      <c r="I183" s="2"/>
      <c r="J183" s="2"/>
      <c r="K183" s="2"/>
      <c r="L183" s="2"/>
      <c r="M183" s="2"/>
      <c r="N183" s="2"/>
      <c r="O183" s="2"/>
      <c r="P183" s="2"/>
      <c r="Q183" s="2"/>
      <c r="R183" s="2"/>
      <c r="S183" s="2"/>
      <c r="T183" s="2"/>
      <c r="U183" s="2"/>
      <c r="V183" s="2"/>
      <c r="W183" s="2"/>
      <c r="X183" s="74">
        <f>X182-W182</f>
        <v>2.0714218483606842E-2</v>
      </c>
      <c r="Y183" s="57">
        <f t="shared" ref="Y183" si="292">Y182-X182</f>
        <v>8.1203309549607861E-3</v>
      </c>
      <c r="Z183" s="57">
        <f t="shared" ref="Z183" si="293">Z182-Y182</f>
        <v>6.9480479783871618E-3</v>
      </c>
      <c r="AA183" s="57">
        <f t="shared" ref="AA183" si="294">AA182-Z182</f>
        <v>6.3986024280692499E-3</v>
      </c>
      <c r="AB183" s="57">
        <f t="shared" ref="AB183" si="295">AB182-AA182</f>
        <v>4.7643543536031729E-3</v>
      </c>
      <c r="AC183" s="57">
        <f t="shared" ref="AC183" si="296">AC182-AB182</f>
        <v>4.7887936229133177E-3</v>
      </c>
      <c r="AD183" s="33"/>
      <c r="AE183" s="2"/>
      <c r="AF183" s="2"/>
      <c r="AG183" s="2"/>
      <c r="AH183" s="2"/>
      <c r="AI183" s="33"/>
      <c r="AJ183" s="33"/>
    </row>
    <row r="184" spans="1:36" x14ac:dyDescent="0.2">
      <c r="B184" s="2"/>
      <c r="C184" s="2"/>
      <c r="D184" s="2"/>
      <c r="E184" s="2"/>
      <c r="F184" s="2"/>
      <c r="G184" s="2"/>
      <c r="H184" s="2"/>
      <c r="I184" s="2"/>
      <c r="J184" s="2"/>
      <c r="K184" s="2"/>
      <c r="L184" s="2"/>
      <c r="M184" s="2"/>
      <c r="N184" s="2"/>
      <c r="O184" s="2"/>
      <c r="P184" s="2"/>
      <c r="Q184" s="2"/>
      <c r="R184" s="2"/>
      <c r="S184" s="2"/>
      <c r="T184" s="2"/>
      <c r="U184" s="2"/>
      <c r="V184" s="2"/>
      <c r="W184" s="2"/>
      <c r="X184" s="74"/>
      <c r="Y184" s="57"/>
      <c r="Z184" s="57"/>
      <c r="AA184" s="78"/>
      <c r="AB184" s="57"/>
      <c r="AC184" s="57"/>
      <c r="AD184" s="33"/>
      <c r="AE184" s="2"/>
      <c r="AF184" s="2"/>
      <c r="AG184" s="2"/>
      <c r="AH184" s="2"/>
      <c r="AI184" s="85">
        <f>AI180/(AI180+AJ180)</f>
        <v>0.54887941391809392</v>
      </c>
      <c r="AJ184" s="33"/>
    </row>
    <row r="185" spans="1:36" ht="13.5" customHeight="1" x14ac:dyDescent="0.2">
      <c r="B185" s="39" t="s">
        <v>326</v>
      </c>
      <c r="C185" s="40"/>
      <c r="D185" s="40"/>
      <c r="E185" s="40"/>
      <c r="F185" s="40"/>
      <c r="G185" s="40"/>
      <c r="H185" s="40"/>
      <c r="I185" s="40"/>
      <c r="J185" s="40"/>
      <c r="K185" s="40"/>
      <c r="L185" s="40"/>
      <c r="M185" s="40"/>
      <c r="N185" s="40"/>
      <c r="O185" s="40"/>
      <c r="P185" s="40"/>
      <c r="Q185" s="40"/>
      <c r="R185" s="40"/>
      <c r="S185" s="40"/>
      <c r="T185" s="6"/>
      <c r="U185" s="6"/>
      <c r="V185" s="6"/>
      <c r="W185" s="6"/>
      <c r="X185" s="6"/>
      <c r="Y185" s="6"/>
      <c r="Z185" s="6"/>
      <c r="AA185" s="6"/>
      <c r="AB185" s="6"/>
      <c r="AC185" s="6"/>
      <c r="AD185" s="6"/>
      <c r="AE185" s="6"/>
      <c r="AF185" s="6"/>
      <c r="AG185" s="6"/>
      <c r="AH185" s="6"/>
      <c r="AI185" s="6"/>
      <c r="AJ185" s="6"/>
    </row>
    <row r="186" spans="1:36" outlineLevel="1" x14ac:dyDescent="0.2">
      <c r="B186" s="2" t="s">
        <v>325</v>
      </c>
      <c r="C186" s="2"/>
      <c r="D186" s="2"/>
      <c r="E186" s="2"/>
      <c r="F186" s="2"/>
      <c r="G186" s="2"/>
      <c r="H186" s="2"/>
      <c r="I186" s="2"/>
      <c r="J186" s="2"/>
      <c r="K186" s="2"/>
      <c r="L186" s="2"/>
      <c r="M186" s="2"/>
      <c r="N186" s="2"/>
      <c r="O186" s="2"/>
      <c r="P186" s="2"/>
      <c r="Q186" s="2"/>
      <c r="R186" s="2"/>
      <c r="S186" s="2"/>
      <c r="T186" s="2"/>
      <c r="U186" s="2"/>
      <c r="V186" s="2"/>
      <c r="W186" s="67">
        <f>X186/(1+X187)</f>
        <v>412.40310077519376</v>
      </c>
      <c r="X186" s="153">
        <v>532</v>
      </c>
      <c r="Y186" s="33"/>
      <c r="Z186" s="33"/>
      <c r="AA186" s="33"/>
      <c r="AB186" s="33"/>
      <c r="AC186" s="33"/>
      <c r="AD186" s="33"/>
      <c r="AE186" s="2"/>
      <c r="AF186" s="2"/>
      <c r="AG186" s="2"/>
      <c r="AH186" s="2"/>
      <c r="AI186" s="33"/>
      <c r="AJ186" s="33"/>
    </row>
    <row r="187" spans="1:36" outlineLevel="1" x14ac:dyDescent="0.2">
      <c r="B187" s="2" t="s">
        <v>137</v>
      </c>
      <c r="C187" s="2"/>
      <c r="D187" s="2"/>
      <c r="E187" s="2"/>
      <c r="F187" s="2"/>
      <c r="G187" s="2"/>
      <c r="H187" s="2"/>
      <c r="I187" s="2"/>
      <c r="J187" s="2"/>
      <c r="K187" s="2"/>
      <c r="L187" s="2"/>
      <c r="M187" s="2"/>
      <c r="N187" s="2"/>
      <c r="O187" s="2"/>
      <c r="P187" s="2"/>
      <c r="Q187" s="2"/>
      <c r="R187" s="2"/>
      <c r="S187" s="2"/>
      <c r="T187" s="2"/>
      <c r="U187" s="2"/>
      <c r="V187" s="2"/>
      <c r="W187" s="2"/>
      <c r="X187" s="154">
        <v>0.28999999999999998</v>
      </c>
      <c r="Y187" s="33"/>
      <c r="Z187" s="33"/>
      <c r="AA187" s="33"/>
      <c r="AB187" s="33"/>
      <c r="AC187" s="33"/>
      <c r="AD187" s="33"/>
      <c r="AE187" s="2"/>
      <c r="AF187" s="2"/>
      <c r="AG187" s="2"/>
      <c r="AH187" s="2"/>
      <c r="AI187" s="33"/>
      <c r="AJ187" s="33"/>
    </row>
    <row r="188" spans="1:36" outlineLevel="1" x14ac:dyDescent="0.2">
      <c r="B188" s="2"/>
      <c r="C188" s="2"/>
      <c r="D188" s="2"/>
      <c r="E188" s="2"/>
      <c r="F188" s="2"/>
      <c r="G188" s="2"/>
      <c r="H188" s="2"/>
      <c r="I188" s="2"/>
      <c r="J188" s="2"/>
      <c r="K188" s="2"/>
      <c r="L188" s="2"/>
      <c r="M188" s="2"/>
      <c r="N188" s="2"/>
      <c r="O188" s="2"/>
      <c r="P188" s="2"/>
      <c r="Q188" s="2"/>
      <c r="R188" s="2"/>
      <c r="S188" s="2"/>
      <c r="T188" s="2"/>
      <c r="U188" s="2"/>
      <c r="V188" s="2"/>
      <c r="W188" s="2"/>
      <c r="X188" s="2"/>
      <c r="Y188" s="33"/>
      <c r="Z188" s="33"/>
      <c r="AA188" s="33"/>
      <c r="AB188" s="33"/>
      <c r="AC188" s="33"/>
      <c r="AD188" s="33"/>
      <c r="AE188" s="2"/>
      <c r="AF188" s="2"/>
      <c r="AG188" s="2"/>
      <c r="AH188" s="2"/>
      <c r="AI188" s="33"/>
      <c r="AJ188" s="33"/>
    </row>
    <row r="189" spans="1:36" outlineLevel="1" x14ac:dyDescent="0.2">
      <c r="B189" s="2" t="s">
        <v>442</v>
      </c>
      <c r="C189" s="2"/>
      <c r="D189" s="2"/>
      <c r="E189" s="2"/>
      <c r="F189" s="2"/>
      <c r="G189" s="2"/>
      <c r="H189" s="2"/>
      <c r="I189" s="2"/>
      <c r="J189" s="2"/>
      <c r="K189" s="2"/>
      <c r="L189" s="2"/>
      <c r="M189" s="2"/>
      <c r="N189" s="2"/>
      <c r="O189" s="2"/>
      <c r="P189" s="2"/>
      <c r="Q189" s="2"/>
      <c r="R189" s="2"/>
      <c r="S189" s="2"/>
      <c r="T189" s="2"/>
      <c r="U189" s="2"/>
      <c r="V189" s="153">
        <v>157</v>
      </c>
      <c r="W189" s="153">
        <v>364</v>
      </c>
      <c r="X189" s="71">
        <f>W189*(1+X192)</f>
        <v>440.44</v>
      </c>
      <c r="Y189" s="33"/>
      <c r="Z189" s="33"/>
      <c r="AA189" s="33"/>
      <c r="AB189" s="33"/>
      <c r="AC189" s="33"/>
      <c r="AD189" s="33"/>
      <c r="AE189" s="2"/>
      <c r="AF189" s="2"/>
      <c r="AG189" s="2"/>
      <c r="AH189" s="2"/>
      <c r="AI189" s="33"/>
      <c r="AJ189" s="33"/>
    </row>
    <row r="190" spans="1:36" outlineLevel="1" x14ac:dyDescent="0.2">
      <c r="B190" s="2" t="s">
        <v>443</v>
      </c>
      <c r="C190" s="2"/>
      <c r="D190" s="2"/>
      <c r="E190" s="2"/>
      <c r="F190" s="2"/>
      <c r="G190" s="2"/>
      <c r="H190" s="2"/>
      <c r="I190" s="2"/>
      <c r="J190" s="2"/>
      <c r="K190" s="2"/>
      <c r="L190" s="2"/>
      <c r="M190" s="2"/>
      <c r="N190" s="2"/>
      <c r="O190" s="2"/>
      <c r="P190" s="2"/>
      <c r="Q190" s="2"/>
      <c r="R190" s="2"/>
      <c r="S190" s="2"/>
      <c r="T190" s="2"/>
      <c r="U190" s="2"/>
      <c r="V190" s="153">
        <v>520</v>
      </c>
      <c r="W190" s="153">
        <v>457</v>
      </c>
      <c r="X190" s="71">
        <f>X191-X189</f>
        <v>552.97</v>
      </c>
      <c r="Y190" s="33"/>
      <c r="Z190" s="33"/>
      <c r="AA190" s="33"/>
      <c r="AB190" s="33"/>
      <c r="AC190" s="33"/>
      <c r="AD190" s="33"/>
      <c r="AE190" s="2"/>
      <c r="AF190" s="2"/>
      <c r="AG190" s="2"/>
      <c r="AH190" s="2"/>
      <c r="AI190" s="33"/>
      <c r="AJ190" s="33"/>
    </row>
    <row r="191" spans="1:36" outlineLevel="1" x14ac:dyDescent="0.2">
      <c r="B191" s="2" t="s">
        <v>470</v>
      </c>
      <c r="C191" s="2"/>
      <c r="D191" s="2"/>
      <c r="E191" s="2"/>
      <c r="F191" s="2"/>
      <c r="G191" s="2"/>
      <c r="H191" s="2"/>
      <c r="I191" s="2"/>
      <c r="J191" s="2"/>
      <c r="K191" s="2"/>
      <c r="L191" s="2"/>
      <c r="M191" s="2"/>
      <c r="N191" s="2"/>
      <c r="O191" s="2"/>
      <c r="P191" s="2"/>
      <c r="Q191" s="2"/>
      <c r="R191" s="2"/>
      <c r="S191" s="2"/>
      <c r="T191" s="2"/>
      <c r="U191" s="2"/>
      <c r="V191" s="2">
        <f>SUM(V189:V190)</f>
        <v>677</v>
      </c>
      <c r="W191" s="253">
        <f>SUM(W189:W190)</f>
        <v>821</v>
      </c>
      <c r="X191" s="71">
        <f>W191*1.21</f>
        <v>993.41</v>
      </c>
      <c r="Y191" s="41">
        <f>X191*(1+Y192)</f>
        <v>1192.0919999999999</v>
      </c>
      <c r="Z191" s="41">
        <f t="shared" ref="Z191:AC191" si="297">Y191*(1+Z192)</f>
        <v>1406.6685599999998</v>
      </c>
      <c r="AA191" s="41">
        <f t="shared" si="297"/>
        <v>1624.7021867999999</v>
      </c>
      <c r="AB191" s="41">
        <f t="shared" si="297"/>
        <v>1868.4075148199997</v>
      </c>
      <c r="AC191" s="41">
        <f t="shared" si="297"/>
        <v>2148.6686420429996</v>
      </c>
      <c r="AD191" s="33"/>
      <c r="AE191" s="2"/>
      <c r="AF191" s="2"/>
      <c r="AG191" s="2"/>
      <c r="AH191" s="2"/>
      <c r="AI191" s="33"/>
      <c r="AJ191" s="33"/>
    </row>
    <row r="192" spans="1:36" outlineLevel="1" x14ac:dyDescent="0.2">
      <c r="B192" s="2" t="s">
        <v>137</v>
      </c>
      <c r="C192" s="2"/>
      <c r="D192" s="2"/>
      <c r="E192" s="2"/>
      <c r="F192" s="2"/>
      <c r="G192" s="2"/>
      <c r="H192" s="2"/>
      <c r="I192" s="2"/>
      <c r="J192" s="2"/>
      <c r="K192" s="2"/>
      <c r="L192" s="2"/>
      <c r="M192" s="2"/>
      <c r="N192" s="2"/>
      <c r="O192" s="2"/>
      <c r="P192" s="2"/>
      <c r="Q192" s="2"/>
      <c r="R192" s="2"/>
      <c r="S192" s="2"/>
      <c r="T192" s="2"/>
      <c r="U192" s="2"/>
      <c r="V192" s="2"/>
      <c r="W192" s="256">
        <f>W191/V191-1</f>
        <v>0.21270310192023634</v>
      </c>
      <c r="X192" s="257">
        <v>0.21</v>
      </c>
      <c r="Y192" s="56">
        <v>0.2</v>
      </c>
      <c r="Z192" s="56">
        <v>0.18</v>
      </c>
      <c r="AA192" s="56">
        <v>0.155</v>
      </c>
      <c r="AB192" s="56">
        <v>0.15</v>
      </c>
      <c r="AC192" s="56">
        <v>0.15</v>
      </c>
      <c r="AD192" s="33"/>
      <c r="AE192" s="2"/>
      <c r="AF192" s="2"/>
      <c r="AG192" s="2"/>
      <c r="AH192" s="2"/>
      <c r="AI192" s="33"/>
      <c r="AJ192" s="33"/>
    </row>
    <row r="193" spans="2:36" outlineLevel="1" x14ac:dyDescent="0.2">
      <c r="B193" s="2" t="s">
        <v>327</v>
      </c>
      <c r="C193" s="2"/>
      <c r="D193" s="2"/>
      <c r="E193" s="2"/>
      <c r="F193" s="2"/>
      <c r="G193" s="2"/>
      <c r="H193" s="2"/>
      <c r="I193" s="2"/>
      <c r="J193" s="2"/>
      <c r="K193" s="2"/>
      <c r="L193" s="2"/>
      <c r="M193" s="2"/>
      <c r="N193" s="2"/>
      <c r="O193" s="2"/>
      <c r="P193" s="2"/>
      <c r="Q193" s="2"/>
      <c r="R193" s="2"/>
      <c r="S193" s="2"/>
      <c r="T193" s="2"/>
      <c r="U193" s="61"/>
      <c r="V193" s="61">
        <f t="shared" ref="V193:AC193" si="298">V191/V13</f>
        <v>8.5826572008113597E-2</v>
      </c>
      <c r="W193" s="61">
        <f t="shared" si="298"/>
        <v>9.1202968262255754E-2</v>
      </c>
      <c r="X193" s="61">
        <f t="shared" si="298"/>
        <v>9.6743438671665766E-2</v>
      </c>
      <c r="Y193" s="34">
        <f t="shared" si="298"/>
        <v>0.10109071193620077</v>
      </c>
      <c r="Z193" s="34">
        <f t="shared" si="298"/>
        <v>0.10714277845142525</v>
      </c>
      <c r="AA193" s="34">
        <f t="shared" si="298"/>
        <v>0.11413749992101031</v>
      </c>
      <c r="AB193" s="34">
        <f t="shared" si="298"/>
        <v>0.12136905104567612</v>
      </c>
      <c r="AC193" s="34">
        <f t="shared" si="298"/>
        <v>0.12922817576996093</v>
      </c>
      <c r="AD193" s="33"/>
      <c r="AE193" s="2"/>
      <c r="AF193" s="2"/>
      <c r="AG193" s="2"/>
      <c r="AH193" s="2"/>
      <c r="AI193" s="33"/>
      <c r="AJ193" s="33"/>
    </row>
    <row r="194" spans="2:36" outlineLevel="1" x14ac:dyDescent="0.2">
      <c r="B194" s="2" t="s">
        <v>442</v>
      </c>
      <c r="C194" s="2"/>
      <c r="D194" s="2"/>
      <c r="E194" s="2"/>
      <c r="F194" s="2"/>
      <c r="G194" s="2"/>
      <c r="H194" s="2"/>
      <c r="I194" s="2"/>
      <c r="J194" s="2"/>
      <c r="K194" s="2"/>
      <c r="L194" s="2"/>
      <c r="M194" s="2"/>
      <c r="N194" s="2"/>
      <c r="O194" s="2"/>
      <c r="P194" s="2"/>
      <c r="Q194" s="2"/>
      <c r="R194" s="2"/>
      <c r="S194" s="2"/>
      <c r="T194" s="2"/>
      <c r="U194" s="2"/>
      <c r="V194" s="61">
        <f>V189/V13</f>
        <v>1.9903651115618662E-2</v>
      </c>
      <c r="W194" s="61">
        <f>W189/W13</f>
        <v>4.043590797498306E-2</v>
      </c>
      <c r="X194" s="61">
        <f>X189/X13</f>
        <v>4.2892340653454743E-2</v>
      </c>
      <c r="Y194" s="33"/>
      <c r="Z194" s="33"/>
      <c r="AA194" s="33"/>
      <c r="AB194" s="33"/>
      <c r="AC194" s="33"/>
      <c r="AD194" s="33"/>
      <c r="AE194" s="2"/>
      <c r="AF194" s="2"/>
      <c r="AG194" s="2"/>
      <c r="AH194" s="2"/>
      <c r="AI194" s="33"/>
      <c r="AJ194" s="33"/>
    </row>
    <row r="195" spans="2:36" outlineLevel="1" x14ac:dyDescent="0.2">
      <c r="B195" s="2"/>
      <c r="C195" s="2"/>
      <c r="D195" s="2"/>
      <c r="E195" s="2"/>
      <c r="F195" s="2"/>
      <c r="G195" s="2"/>
      <c r="H195" s="2"/>
      <c r="I195" s="2"/>
      <c r="J195" s="2"/>
      <c r="K195" s="2"/>
      <c r="L195" s="2"/>
      <c r="M195" s="2"/>
      <c r="N195" s="2"/>
      <c r="O195" s="2"/>
      <c r="P195" s="2"/>
      <c r="Q195" s="2"/>
      <c r="R195" s="2"/>
      <c r="S195" s="2"/>
      <c r="T195" s="2"/>
      <c r="U195" s="2"/>
      <c r="V195" s="61">
        <f>V190/V13</f>
        <v>6.5922920892494935E-2</v>
      </c>
      <c r="W195" s="61">
        <f>W190/W13</f>
        <v>5.0767060287272688E-2</v>
      </c>
      <c r="X195" s="61"/>
      <c r="Y195" s="33"/>
      <c r="Z195" s="33"/>
      <c r="AA195" s="33"/>
      <c r="AB195" s="33"/>
      <c r="AC195" s="33"/>
      <c r="AD195" s="33"/>
      <c r="AE195" s="2"/>
      <c r="AF195" s="2"/>
      <c r="AG195" s="2"/>
      <c r="AH195" s="2"/>
      <c r="AI195" s="33"/>
      <c r="AJ195" s="33"/>
    </row>
    <row r="196" spans="2:36" outlineLevel="1" x14ac:dyDescent="0.2">
      <c r="B196" s="2"/>
      <c r="C196" s="2"/>
      <c r="D196" s="2"/>
      <c r="E196" s="2"/>
      <c r="F196" s="2"/>
      <c r="G196" s="2"/>
      <c r="H196" s="2"/>
      <c r="I196" s="2"/>
      <c r="J196" s="2"/>
      <c r="K196" s="2"/>
      <c r="L196" s="2"/>
      <c r="M196" s="2"/>
      <c r="N196" s="2"/>
      <c r="O196" s="2"/>
      <c r="P196" s="2"/>
      <c r="Q196" s="2"/>
      <c r="R196" s="2"/>
      <c r="S196" s="2"/>
      <c r="T196" s="2"/>
      <c r="U196" s="2"/>
      <c r="V196" s="61"/>
      <c r="W196" s="61"/>
      <c r="X196" s="61"/>
      <c r="Y196" s="33"/>
      <c r="Z196" s="33"/>
      <c r="AA196" s="33"/>
      <c r="AB196" s="33"/>
      <c r="AC196" s="33"/>
      <c r="AD196" s="33"/>
      <c r="AE196" s="2"/>
      <c r="AF196" s="2"/>
      <c r="AG196" s="2"/>
      <c r="AH196" s="2"/>
      <c r="AI196" s="33"/>
      <c r="AJ196" s="33"/>
    </row>
    <row r="197" spans="2:36" outlineLevel="1" x14ac:dyDescent="0.2">
      <c r="B197" s="2" t="s">
        <v>328</v>
      </c>
      <c r="C197" s="2"/>
      <c r="D197" s="2"/>
      <c r="E197" s="2"/>
      <c r="F197" s="2"/>
      <c r="G197" s="2"/>
      <c r="H197" s="2"/>
      <c r="I197" s="2"/>
      <c r="J197" s="2"/>
      <c r="K197" s="2"/>
      <c r="L197" s="2"/>
      <c r="M197" s="2"/>
      <c r="N197" s="2"/>
      <c r="O197" s="2"/>
      <c r="P197" s="2"/>
      <c r="Q197" s="65">
        <v>131</v>
      </c>
      <c r="R197" s="153">
        <v>178</v>
      </c>
      <c r="S197" s="153">
        <v>235</v>
      </c>
      <c r="T197" s="153">
        <v>365</v>
      </c>
      <c r="U197" s="153">
        <v>372</v>
      </c>
      <c r="V197" s="153">
        <v>309</v>
      </c>
      <c r="W197" s="2"/>
      <c r="X197" s="2"/>
      <c r="Y197" s="33"/>
      <c r="Z197" s="33"/>
      <c r="AA197" s="33"/>
      <c r="AB197" s="33"/>
      <c r="AC197" s="33"/>
      <c r="AD197" s="33"/>
      <c r="AE197" s="2"/>
      <c r="AF197" s="2"/>
      <c r="AG197" s="2"/>
      <c r="AH197" s="2"/>
      <c r="AI197" s="33"/>
      <c r="AJ197" s="33"/>
    </row>
    <row r="198" spans="2:36" outlineLevel="1" x14ac:dyDescent="0.2">
      <c r="B198" s="2" t="s">
        <v>137</v>
      </c>
      <c r="C198" s="2"/>
      <c r="D198" s="2"/>
      <c r="E198" s="2"/>
      <c r="F198" s="2"/>
      <c r="G198" s="2"/>
      <c r="H198" s="2"/>
      <c r="I198" s="2"/>
      <c r="J198" s="2"/>
      <c r="K198" s="2"/>
      <c r="L198" s="2"/>
      <c r="M198" s="2"/>
      <c r="N198" s="2"/>
      <c r="O198" s="2"/>
      <c r="P198" s="2"/>
      <c r="Q198" s="2"/>
      <c r="R198" s="61">
        <f t="shared" ref="R198" si="299">R197/Q197-1</f>
        <v>0.35877862595419852</v>
      </c>
      <c r="S198" s="61">
        <f t="shared" ref="S198" si="300">S197/R197-1</f>
        <v>0.3202247191011236</v>
      </c>
      <c r="T198" s="61">
        <f t="shared" ref="T198" si="301">T197/S197-1</f>
        <v>0.55319148936170204</v>
      </c>
      <c r="U198" s="61">
        <f t="shared" ref="U198" si="302">U197/T197-1</f>
        <v>1.9178082191780854E-2</v>
      </c>
      <c r="V198" s="61">
        <f t="shared" ref="V198" si="303">V197/U197-1</f>
        <v>-0.16935483870967738</v>
      </c>
      <c r="W198" s="2"/>
      <c r="X198" s="2"/>
      <c r="Y198" s="33"/>
      <c r="Z198" s="33"/>
      <c r="AA198" s="33"/>
      <c r="AB198" s="33"/>
      <c r="AC198" s="33"/>
      <c r="AD198" s="33"/>
      <c r="AE198" s="2"/>
      <c r="AF198" s="2"/>
      <c r="AG198" s="2"/>
      <c r="AH198" s="2"/>
      <c r="AI198" s="33"/>
      <c r="AJ198" s="33"/>
    </row>
    <row r="199" spans="2:36" outlineLevel="1" x14ac:dyDescent="0.2">
      <c r="B199" s="2" t="s">
        <v>327</v>
      </c>
      <c r="C199" s="2"/>
      <c r="D199" s="2"/>
      <c r="E199" s="2"/>
      <c r="F199" s="2"/>
      <c r="G199" s="2"/>
      <c r="H199" s="2"/>
      <c r="I199" s="2"/>
      <c r="J199" s="2"/>
      <c r="K199" s="2"/>
      <c r="L199" s="2"/>
      <c r="M199" s="2"/>
      <c r="N199" s="2"/>
      <c r="O199" s="2"/>
      <c r="P199" s="2"/>
      <c r="Q199" s="2"/>
      <c r="R199" s="2"/>
      <c r="S199" s="2"/>
      <c r="T199" s="2"/>
      <c r="U199" s="2"/>
      <c r="V199" s="2"/>
      <c r="W199" s="2"/>
      <c r="X199" s="2"/>
      <c r="Y199" s="33"/>
      <c r="Z199" s="33"/>
      <c r="AA199" s="33"/>
      <c r="AB199" s="33"/>
      <c r="AC199" s="33"/>
      <c r="AD199" s="33"/>
      <c r="AE199" s="2"/>
      <c r="AF199" s="2"/>
      <c r="AG199" s="2"/>
      <c r="AH199" s="2"/>
      <c r="AI199" s="33"/>
      <c r="AJ199" s="33"/>
    </row>
    <row r="200" spans="2:36" x14ac:dyDescent="0.2">
      <c r="AD200" s="33"/>
      <c r="AE200" s="2"/>
      <c r="AF200" s="2"/>
      <c r="AG200" s="2"/>
      <c r="AH200" s="2"/>
    </row>
    <row r="201" spans="2:36" x14ac:dyDescent="0.2">
      <c r="AC201" s="255"/>
    </row>
    <row r="203" spans="2:36" x14ac:dyDescent="0.2">
      <c r="W203" s="37"/>
      <c r="X203" s="37"/>
      <c r="Y203" s="37"/>
      <c r="Z203" s="37"/>
      <c r="AA203" s="37"/>
      <c r="AB203" s="37"/>
      <c r="AC203" s="37"/>
    </row>
    <row r="204" spans="2:36" x14ac:dyDescent="0.2">
      <c r="W204" s="37"/>
      <c r="X204" s="37"/>
      <c r="Y204" s="37"/>
      <c r="Z204" s="37"/>
      <c r="AA204" s="37"/>
      <c r="AB204" s="37"/>
      <c r="AC204" s="37"/>
    </row>
    <row r="205" spans="2:36" x14ac:dyDescent="0.2">
      <c r="S205" s="254"/>
      <c r="T205" s="254"/>
    </row>
    <row r="206" spans="2:36" x14ac:dyDescent="0.2">
      <c r="T206" s="255"/>
    </row>
    <row r="208" spans="2:36" x14ac:dyDescent="0.2">
      <c r="Y208" s="37"/>
      <c r="Z208" s="37"/>
      <c r="AA208" s="37"/>
      <c r="AB208" s="37"/>
      <c r="AC208" s="37"/>
    </row>
    <row r="209" spans="22:29" x14ac:dyDescent="0.2">
      <c r="V209" s="277"/>
      <c r="W209" s="277"/>
      <c r="X209" s="277"/>
      <c r="Y209" s="277"/>
      <c r="Z209" s="277"/>
      <c r="AA209" s="277"/>
      <c r="AB209" s="277"/>
      <c r="AC209" s="277"/>
    </row>
  </sheetData>
  <phoneticPr fontId="2" type="noConversion"/>
  <pageMargins left="0.7" right="0.7" top="0.75" bottom="0.75" header="0.3" footer="0.3"/>
  <pageSetup paperSize="0" orientation="portrait" r:id="rId1"/>
  <customProperties>
    <customPr name="Qube.Worksheet.Visibility" r:id="rId2"/>
    <customPr name="QXL_SHEET_ID" r:id="rId3"/>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689-AA30-46DA-B681-142C0784DFB4}">
  <sheetPr>
    <tabColor theme="7" tint="0.59999389629810485"/>
  </sheetPr>
  <dimension ref="A1:N76"/>
  <sheetViews>
    <sheetView showGridLines="0" topLeftCell="B1" zoomScale="85" zoomScaleNormal="85" workbookViewId="0">
      <selection activeCell="B1" sqref="B1"/>
    </sheetView>
  </sheetViews>
  <sheetFormatPr defaultColWidth="9.140625" defaultRowHeight="12.75" outlineLevelCol="1" x14ac:dyDescent="0.2"/>
  <cols>
    <col min="1" max="1" width="9.140625" style="28" hidden="1" customWidth="1" outlineLevel="1"/>
    <col min="2" max="2" width="38" style="29" customWidth="1" collapsed="1"/>
    <col min="3" max="9" width="12.85546875" style="29" customWidth="1"/>
    <col min="10" max="10" width="11.140625" style="29" customWidth="1"/>
    <col min="11" max="14" width="12.85546875" style="29" customWidth="1"/>
    <col min="15" max="16384" width="9.140625" style="29"/>
  </cols>
  <sheetData>
    <row r="1" spans="1:14" x14ac:dyDescent="0.2">
      <c r="B1" s="8" t="str">
        <f>Model!B1</f>
        <v>Sigma Healthcare (SIG.AX)</v>
      </c>
      <c r="C1" s="6"/>
      <c r="D1" s="6"/>
      <c r="E1" s="6"/>
      <c r="F1" s="6"/>
      <c r="G1" s="6"/>
      <c r="H1" s="6"/>
      <c r="I1" s="6"/>
      <c r="J1" s="33"/>
      <c r="K1" s="6"/>
      <c r="L1" s="6"/>
      <c r="M1" s="6"/>
      <c r="N1" s="6"/>
    </row>
    <row r="2" spans="1:14" x14ac:dyDescent="0.2">
      <c r="B2" s="8" t="str">
        <f>Model!B2</f>
        <v>A$M</v>
      </c>
      <c r="C2" s="6"/>
      <c r="D2" s="6"/>
      <c r="E2" s="6"/>
      <c r="F2" s="6"/>
      <c r="G2" s="6"/>
      <c r="H2" s="6"/>
      <c r="I2" s="6"/>
      <c r="J2" s="33"/>
      <c r="K2" s="6"/>
      <c r="L2" s="6"/>
      <c r="M2" s="6"/>
      <c r="N2" s="6"/>
    </row>
    <row r="3" spans="1:14" x14ac:dyDescent="0.2">
      <c r="B3" s="9"/>
      <c r="C3" s="6" t="s">
        <v>18</v>
      </c>
      <c r="D3" s="6" t="s">
        <v>19</v>
      </c>
      <c r="E3" s="6" t="s">
        <v>20</v>
      </c>
      <c r="F3" s="6" t="s">
        <v>21</v>
      </c>
      <c r="G3" s="6" t="s">
        <v>87</v>
      </c>
      <c r="H3" s="6" t="s">
        <v>88</v>
      </c>
      <c r="I3" s="6" t="s">
        <v>89</v>
      </c>
      <c r="J3" s="33"/>
      <c r="K3" s="6" t="s">
        <v>110</v>
      </c>
      <c r="L3" s="6" t="s">
        <v>111</v>
      </c>
      <c r="M3" s="6" t="s">
        <v>17</v>
      </c>
      <c r="N3" s="6" t="s">
        <v>114</v>
      </c>
    </row>
    <row r="4" spans="1:14" x14ac:dyDescent="0.2">
      <c r="B4" s="10" t="s">
        <v>160</v>
      </c>
      <c r="C4" s="6"/>
      <c r="D4" s="6"/>
      <c r="E4" s="6"/>
      <c r="F4" s="6"/>
      <c r="G4" s="6"/>
      <c r="H4" s="6"/>
      <c r="I4" s="6"/>
      <c r="J4" s="33"/>
      <c r="K4" s="6"/>
      <c r="L4" s="6"/>
      <c r="M4" s="6"/>
      <c r="N4" s="6"/>
    </row>
    <row r="5" spans="1:14" x14ac:dyDescent="0.2">
      <c r="A5" s="28" t="s">
        <v>125</v>
      </c>
      <c r="B5" s="1" t="s">
        <v>292</v>
      </c>
      <c r="C5" s="7">
        <f>VLOOKUP($A5,Model!$1:$1048576,MATCH(C$3,Model!$3:$3,0),FALSE)</f>
        <v>9001.9</v>
      </c>
      <c r="D5" s="7">
        <f>VLOOKUP($A5,Model!$1:$1048576,MATCH(D$3,Model!$3:$3,0),FALSE)</f>
        <v>10268.5</v>
      </c>
      <c r="E5" s="7">
        <f>VLOOKUP($A5,Model!$1:$1048576,MATCH(E$3,Model!$3:$3,0),FALSE)</f>
        <v>11792.299976602593</v>
      </c>
      <c r="F5" s="7">
        <f>VLOOKUP($A5,Model!$1:$1048576,MATCH(F$3,Model!$3:$3,0),FALSE)</f>
        <v>13128.916202576673</v>
      </c>
      <c r="G5" s="7">
        <f>VLOOKUP($A5,Model!$1:$1048576,MATCH(G$3,Model!$3:$3,0),FALSE)</f>
        <v>14234.604647240276</v>
      </c>
      <c r="H5" s="7">
        <f>VLOOKUP($A5,Model!$1:$1048576,MATCH(H$3,Model!$3:$3,0),FALSE)</f>
        <v>15394.43127158374</v>
      </c>
      <c r="I5" s="7">
        <f>VLOOKUP($A5,Model!$1:$1048576,MATCH(I$3,Model!$3:$3,0),FALSE)</f>
        <v>16626.93626402221</v>
      </c>
      <c r="J5" s="46"/>
      <c r="K5" s="7">
        <f>VLOOKUP($A5,Model!$1:$1048576,MATCH(K$3,Model!$3:$3,0),FALSE)</f>
        <v>5154.2</v>
      </c>
      <c r="L5" s="7">
        <f>VLOOKUP($A5,Model!$1:$1048576,MATCH(L$3,Model!$3:$3,0),FALSE)</f>
        <v>5114.3</v>
      </c>
      <c r="M5" s="7">
        <f>VLOOKUP($A5,Model!$1:$1048576,MATCH(M$3,Model!$3:$3,0),FALSE)</f>
        <v>5995.6835450009585</v>
      </c>
      <c r="N5" s="7">
        <f>VLOOKUP($A5,Model!$1:$1048576,MATCH(N$3,Model!$3:$3,0),FALSE)</f>
        <v>5796.6164316016348</v>
      </c>
    </row>
    <row r="6" spans="1:14" s="28" customFormat="1" x14ac:dyDescent="0.2">
      <c r="A6" s="28" t="s">
        <v>469</v>
      </c>
      <c r="B6" s="4" t="s">
        <v>137</v>
      </c>
      <c r="C6" s="4"/>
      <c r="D6" s="161">
        <f t="shared" ref="D6:I6" si="0">D5/C5-1</f>
        <v>0.1407036292338284</v>
      </c>
      <c r="E6" s="149">
        <f t="shared" si="0"/>
        <v>0.14839557643303247</v>
      </c>
      <c r="F6" s="149">
        <f t="shared" si="0"/>
        <v>0.11334652515845889</v>
      </c>
      <c r="G6" s="149">
        <f t="shared" si="0"/>
        <v>8.4217800434022161E-2</v>
      </c>
      <c r="H6" s="149">
        <f t="shared" si="0"/>
        <v>8.1479370385487027E-2</v>
      </c>
      <c r="I6" s="149">
        <f t="shared" si="0"/>
        <v>8.0061742502532285E-2</v>
      </c>
      <c r="J6" s="151"/>
      <c r="K6" s="4"/>
      <c r="L6" s="4"/>
      <c r="M6" s="150">
        <f>M5/K5-1</f>
        <v>0.16326171762852804</v>
      </c>
      <c r="N6" s="150">
        <f>N5/L5-1</f>
        <v>0.13341345474485933</v>
      </c>
    </row>
    <row r="7" spans="1:14" x14ac:dyDescent="0.2">
      <c r="B7" s="2"/>
      <c r="C7" s="2"/>
      <c r="D7" s="2"/>
      <c r="E7" s="33"/>
      <c r="F7" s="33"/>
      <c r="G7" s="33"/>
      <c r="H7" s="33"/>
      <c r="I7" s="33"/>
      <c r="J7" s="33"/>
      <c r="K7" s="2"/>
      <c r="L7" s="2"/>
      <c r="M7" s="33"/>
      <c r="N7" s="33"/>
    </row>
    <row r="8" spans="1:14" x14ac:dyDescent="0.2">
      <c r="A8" s="28" t="s">
        <v>126</v>
      </c>
      <c r="B8" s="1" t="s">
        <v>8</v>
      </c>
      <c r="C8" s="7">
        <f>VLOOKUP($A8,Model!$1:$1048576,MATCH(C$3,Model!$3:$3,0),FALSE)</f>
        <v>6655.7</v>
      </c>
      <c r="D8" s="7">
        <f>VLOOKUP($A8,Model!$1:$1048576,MATCH(D$3,Model!$3:$3,0),FALSE)</f>
        <v>9591.2999999999993</v>
      </c>
      <c r="E8" s="7">
        <f>VLOOKUP($A8,Model!$1:$1048576,MATCH(E$3,Model!$3:$3,0),FALSE)</f>
        <v>10928.78463449656</v>
      </c>
      <c r="F8" s="7">
        <f>VLOOKUP($A8,Model!$1:$1048576,MATCH(F$3,Model!$3:$3,0),FALSE)</f>
        <v>12084.818883243226</v>
      </c>
      <c r="G8" s="7">
        <f>VLOOKUP($A8,Model!$1:$1048576,MATCH(G$3,Model!$3:$3,0),FALSE)</f>
        <v>12985.046854052593</v>
      </c>
      <c r="H8" s="7">
        <f>VLOOKUP($A8,Model!$1:$1048576,MATCH(H$3,Model!$3:$3,0),FALSE)</f>
        <v>13921.646673850775</v>
      </c>
      <c r="I8" s="7">
        <f>VLOOKUP($A8,Model!$1:$1048576,MATCH(I$3,Model!$3:$3,0),FALSE)</f>
        <v>14912.318658610697</v>
      </c>
      <c r="J8" s="46"/>
      <c r="K8" s="7">
        <f>VLOOKUP($A8,Model!$1:$1048576,MATCH(K$3,Model!$3:$3,0),FALSE)</f>
        <v>0</v>
      </c>
      <c r="L8" s="7">
        <f>VLOOKUP($A8,Model!$1:$1048576,MATCH(L$3,Model!$3:$3,0),FALSE)</f>
        <v>0</v>
      </c>
      <c r="M8" s="7">
        <f>VLOOKUP($A8,Model!$1:$1048576,MATCH(M$3,Model!$3:$3,0),FALSE)</f>
        <v>5556.6373251970563</v>
      </c>
      <c r="N8" s="7">
        <f>VLOOKUP($A8,Model!$1:$1048576,MATCH(N$3,Model!$3:$3,0),FALSE)</f>
        <v>5372.1473092995038</v>
      </c>
    </row>
    <row r="9" spans="1:14" s="28" customFormat="1" x14ac:dyDescent="0.2">
      <c r="A9" s="28" t="s">
        <v>468</v>
      </c>
      <c r="B9" s="4" t="s">
        <v>137</v>
      </c>
      <c r="C9" s="4"/>
      <c r="D9" s="161">
        <f t="shared" ref="D9" si="1">D8/C8-1</f>
        <v>0.44106555283441251</v>
      </c>
      <c r="E9" s="149">
        <f t="shared" ref="E9" si="2">E8/D8-1</f>
        <v>0.13944769056296447</v>
      </c>
      <c r="F9" s="149">
        <f t="shared" ref="F9" si="3">F8/E8-1</f>
        <v>0.10577884800636106</v>
      </c>
      <c r="G9" s="149">
        <f t="shared" ref="G9" si="4">G8/F8-1</f>
        <v>7.449246691298117E-2</v>
      </c>
      <c r="H9" s="149">
        <f t="shared" ref="H9" si="5">H8/G8-1</f>
        <v>7.2129105911225233E-2</v>
      </c>
      <c r="I9" s="149">
        <f t="shared" ref="I9" si="6">I8/H8-1</f>
        <v>7.1160546447476936E-2</v>
      </c>
      <c r="J9" s="151"/>
      <c r="K9" s="4"/>
      <c r="L9" s="4"/>
      <c r="M9" s="150"/>
      <c r="N9" s="150"/>
    </row>
    <row r="10" spans="1:14" x14ac:dyDescent="0.2">
      <c r="B10" s="2"/>
      <c r="C10" s="2"/>
      <c r="D10" s="2"/>
      <c r="E10" s="33"/>
      <c r="F10" s="33"/>
      <c r="G10" s="33"/>
      <c r="H10" s="33"/>
      <c r="I10" s="33"/>
      <c r="J10" s="33"/>
      <c r="K10" s="2"/>
      <c r="L10" s="2"/>
      <c r="M10" s="33"/>
      <c r="N10" s="33"/>
    </row>
    <row r="11" spans="1:14" x14ac:dyDescent="0.2">
      <c r="A11" s="28" t="s">
        <v>10</v>
      </c>
      <c r="B11" s="1" t="s">
        <v>127</v>
      </c>
      <c r="C11" s="7">
        <f>VLOOKUP($A11,Model!$1:$1048576,MATCH(C$3,Model!$3:$3,0),FALSE)</f>
        <v>675.1</v>
      </c>
      <c r="D11" s="7">
        <f>VLOOKUP($A11,Model!$1:$1048576,MATCH(D$3,Model!$3:$3,0),FALSE)</f>
        <v>968.5</v>
      </c>
      <c r="E11" s="7">
        <f>VLOOKUP($A11,Model!$1:$1048576,MATCH(E$3,Model!$3:$3,0),FALSE)</f>
        <v>1201.5729422797908</v>
      </c>
      <c r="F11" s="7">
        <f>VLOOKUP($A11,Model!$1:$1048576,MATCH(F$3,Model!$3:$3,0),FALSE)</f>
        <v>1424.6573479641515</v>
      </c>
      <c r="G11" s="7">
        <f>VLOOKUP($A11,Model!$1:$1048576,MATCH(G$3,Model!$3:$3,0),FALSE)</f>
        <v>1633.2645264041962</v>
      </c>
      <c r="H11" s="7">
        <f>VLOOKUP($A11,Model!$1:$1048576,MATCH(H$3,Model!$3:$3,0),FALSE)</f>
        <v>1837.3140883086987</v>
      </c>
      <c r="I11" s="7">
        <f>VLOOKUP($A11,Model!$1:$1048576,MATCH(I$3,Model!$3:$3,0),FALSE)</f>
        <v>2061.6568527359391</v>
      </c>
      <c r="J11" s="46"/>
      <c r="K11" s="7">
        <f>VLOOKUP($A11,Model!$1:$1048576,MATCH(K$3,Model!$3:$3,0),FALSE)</f>
        <v>0</v>
      </c>
      <c r="L11" s="7">
        <f>VLOOKUP($A11,Model!$1:$1048576,MATCH(L$3,Model!$3:$3,0),FALSE)</f>
        <v>0</v>
      </c>
      <c r="M11" s="7">
        <f>VLOOKUP($A11,Model!$1:$1048576,MATCH(M$3,Model!$3:$3,0),FALSE)</f>
        <v>656.17750000000001</v>
      </c>
      <c r="N11" s="7">
        <f>VLOOKUP($A11,Model!$1:$1048576,MATCH(N$3,Model!$3:$3,0),FALSE)</f>
        <v>545.39544227979081</v>
      </c>
    </row>
    <row r="12" spans="1:14" s="28" customFormat="1" x14ac:dyDescent="0.2">
      <c r="B12" s="4" t="s">
        <v>137</v>
      </c>
      <c r="C12" s="4"/>
      <c r="D12" s="161">
        <f t="shared" ref="D12" si="7">D11/C11-1</f>
        <v>0.43460228114353416</v>
      </c>
      <c r="E12" s="149">
        <f t="shared" ref="E12" si="8">E11/D11-1</f>
        <v>0.24065352842518406</v>
      </c>
      <c r="F12" s="149">
        <f t="shared" ref="F12" si="9">F11/E11-1</f>
        <v>0.18566031061010246</v>
      </c>
      <c r="G12" s="149">
        <f t="shared" ref="G12" si="10">G11/F11-1</f>
        <v>0.14642621170497327</v>
      </c>
      <c r="H12" s="149">
        <f t="shared" ref="H12" si="11">H11/G11-1</f>
        <v>0.1249335662446176</v>
      </c>
      <c r="I12" s="149">
        <f t="shared" ref="I12" si="12">I11/H11-1</f>
        <v>0.12210365438048454</v>
      </c>
      <c r="J12" s="151"/>
      <c r="K12" s="4"/>
      <c r="L12" s="4"/>
      <c r="M12" s="150"/>
      <c r="N12" s="150"/>
    </row>
    <row r="13" spans="1:14" x14ac:dyDescent="0.2">
      <c r="B13" s="2"/>
      <c r="C13" s="2"/>
      <c r="D13" s="2"/>
      <c r="E13" s="33"/>
      <c r="F13" s="33"/>
      <c r="G13" s="33"/>
      <c r="H13" s="33"/>
      <c r="I13" s="33"/>
      <c r="J13" s="33"/>
      <c r="K13" s="2"/>
      <c r="L13" s="2"/>
      <c r="M13" s="235"/>
      <c r="N13" s="235"/>
    </row>
    <row r="14" spans="1:14" x14ac:dyDescent="0.2">
      <c r="B14" s="2" t="s">
        <v>131</v>
      </c>
      <c r="C14" s="286">
        <v>-18.875</v>
      </c>
      <c r="D14" s="232">
        <v>-27.196999999999999</v>
      </c>
      <c r="E14" s="233">
        <f>D14*(1+Model!Y$16)</f>
        <v>-28.851416913946586</v>
      </c>
      <c r="F14" s="233">
        <f>E14*(1+Model!Z16)</f>
        <v>-29.940910979228484</v>
      </c>
      <c r="G14" s="233">
        <f>F14*(1+Model!AA16)</f>
        <v>-31.43392136498516</v>
      </c>
      <c r="H14" s="233">
        <f>G14*(1+Model!AB16)</f>
        <v>-32.926931750741836</v>
      </c>
      <c r="I14" s="233">
        <f>H14*(1+Model!AC16)</f>
        <v>-34.460293768545995</v>
      </c>
      <c r="J14" s="33"/>
      <c r="K14" s="2"/>
      <c r="L14" s="2"/>
      <c r="M14" s="239">
        <f>E14*0.5</f>
        <v>-14.425708456973293</v>
      </c>
      <c r="N14" s="229">
        <f>E14-M14</f>
        <v>-14.425708456973293</v>
      </c>
    </row>
    <row r="15" spans="1:14" x14ac:dyDescent="0.2">
      <c r="A15" s="28" t="s">
        <v>481</v>
      </c>
      <c r="B15" s="2" t="s">
        <v>132</v>
      </c>
      <c r="C15" s="234">
        <f>C16-C14</f>
        <v>-50.725000000000023</v>
      </c>
      <c r="D15" s="234">
        <f>D16-D14</f>
        <v>-37.902999999999992</v>
      </c>
      <c r="E15" s="235">
        <f t="shared" ref="E15:I15" si="13">E16-E14</f>
        <v>-39.503583086053418</v>
      </c>
      <c r="F15" s="235">
        <f t="shared" si="13"/>
        <v>-41.831839020771518</v>
      </c>
      <c r="G15" s="235">
        <f t="shared" si="13"/>
        <v>-43.927466135014846</v>
      </c>
      <c r="H15" s="235">
        <f t="shared" si="13"/>
        <v>-46.20252512425818</v>
      </c>
      <c r="I15" s="235">
        <f t="shared" si="13"/>
        <v>-48.625635950204028</v>
      </c>
      <c r="J15" s="33"/>
      <c r="K15" s="2"/>
      <c r="L15" s="2"/>
      <c r="M15" s="235">
        <f t="shared" ref="M15" si="14">M16-M14</f>
        <v>-19.751791543026709</v>
      </c>
      <c r="N15" s="235">
        <f t="shared" ref="N15" si="15">N16-N14</f>
        <v>-19.751791543026709</v>
      </c>
    </row>
    <row r="16" spans="1:14" x14ac:dyDescent="0.2">
      <c r="A16" s="28" t="s">
        <v>11</v>
      </c>
      <c r="B16" s="3" t="s">
        <v>11</v>
      </c>
      <c r="C16" s="236">
        <f>VLOOKUP($A16,Model!$1:$1048576,MATCH(C$3,Model!$3:$3,0),FALSE)</f>
        <v>-69.600000000000023</v>
      </c>
      <c r="D16" s="236">
        <f>VLOOKUP($A16,Model!$1:$1048576,MATCH(D$3,Model!$3:$3,0),FALSE)</f>
        <v>-65.099999999999994</v>
      </c>
      <c r="E16" s="237">
        <f>VLOOKUP($A16,Model!$1:$1048576,MATCH(E$3,Model!$3:$3,0),FALSE)</f>
        <v>-68.355000000000004</v>
      </c>
      <c r="F16" s="237">
        <f>VLOOKUP($A16,Model!$1:$1048576,MATCH(F$3,Model!$3:$3,0),FALSE)</f>
        <v>-71.772750000000002</v>
      </c>
      <c r="G16" s="237">
        <f>VLOOKUP($A16,Model!$1:$1048576,MATCH(G$3,Model!$3:$3,0),FALSE)</f>
        <v>-75.361387500000006</v>
      </c>
      <c r="H16" s="237">
        <f>VLOOKUP($A16,Model!$1:$1048576,MATCH(H$3,Model!$3:$3,0),FALSE)</f>
        <v>-79.129456875000017</v>
      </c>
      <c r="I16" s="237">
        <f>VLOOKUP($A16,Model!$1:$1048576,MATCH(I$3,Model!$3:$3,0),FALSE)</f>
        <v>-83.085929718750023</v>
      </c>
      <c r="J16" s="46"/>
      <c r="K16" s="36">
        <f>VLOOKUP($A16,Model!$1:$1048576,MATCH(K$3,Model!$3:$3,0),FALSE)</f>
        <v>0</v>
      </c>
      <c r="L16" s="36">
        <f>VLOOKUP($A16,Model!$1:$1048576,MATCH(L$3,Model!$3:$3,0),FALSE)</f>
        <v>0</v>
      </c>
      <c r="M16" s="237">
        <f>VLOOKUP($A16,Model!$1:$1048576,MATCH(M$3,Model!$3:$3,0),FALSE)</f>
        <v>-34.177500000000002</v>
      </c>
      <c r="N16" s="237">
        <f>VLOOKUP($A16,Model!$1:$1048576,MATCH(N$3,Model!$3:$3,0),FALSE)</f>
        <v>-34.177500000000002</v>
      </c>
    </row>
    <row r="17" spans="1:14" s="28" customFormat="1" x14ac:dyDescent="0.2">
      <c r="B17" s="4" t="s">
        <v>137</v>
      </c>
      <c r="C17" s="4"/>
      <c r="D17" s="161">
        <f t="shared" ref="D17" si="16">D16/C16-1</f>
        <v>-6.4655172413793482E-2</v>
      </c>
      <c r="E17" s="149">
        <f t="shared" ref="E17" si="17">E16/D16-1</f>
        <v>5.0000000000000044E-2</v>
      </c>
      <c r="F17" s="149">
        <f t="shared" ref="F17" si="18">F16/E16-1</f>
        <v>5.0000000000000044E-2</v>
      </c>
      <c r="G17" s="149">
        <f t="shared" ref="G17" si="19">G16/F16-1</f>
        <v>5.0000000000000044E-2</v>
      </c>
      <c r="H17" s="149">
        <f t="shared" ref="H17" si="20">H16/G16-1</f>
        <v>5.0000000000000044E-2</v>
      </c>
      <c r="I17" s="149">
        <f t="shared" ref="I17" si="21">I16/H16-1</f>
        <v>5.0000000000000044E-2</v>
      </c>
      <c r="J17" s="151"/>
      <c r="K17" s="4"/>
      <c r="L17" s="4"/>
      <c r="M17" s="150"/>
      <c r="N17" s="150"/>
    </row>
    <row r="18" spans="1:14" x14ac:dyDescent="0.2">
      <c r="B18" s="2"/>
      <c r="C18" s="2"/>
      <c r="D18" s="2"/>
      <c r="E18" s="33"/>
      <c r="F18" s="33"/>
      <c r="G18" s="33"/>
      <c r="H18" s="33"/>
      <c r="I18" s="33"/>
      <c r="J18" s="33"/>
      <c r="K18" s="2"/>
      <c r="L18" s="2"/>
      <c r="M18" s="33"/>
      <c r="N18" s="33"/>
    </row>
    <row r="19" spans="1:14" x14ac:dyDescent="0.2">
      <c r="A19" s="28" t="s">
        <v>12</v>
      </c>
      <c r="B19" s="1" t="s">
        <v>128</v>
      </c>
      <c r="C19" s="7">
        <f>VLOOKUP($A19,Model!$1:$1048576,MATCH(C$3,Model!$3:$3,0),FALSE)</f>
        <v>605.5</v>
      </c>
      <c r="D19" s="380">
        <f>VLOOKUP($A19,Model!$1:$1048576,MATCH(D$3,Model!$3:$3,0),FALSE)</f>
        <v>903.4</v>
      </c>
      <c r="E19" s="7">
        <f>VLOOKUP($A19,Model!$1:$1048576,MATCH(E$3,Model!$3:$3,0),FALSE)</f>
        <v>1133.2179422797908</v>
      </c>
      <c r="F19" s="7">
        <f>VLOOKUP($A19,Model!$1:$1048576,MATCH(F$3,Model!$3:$3,0),FALSE)</f>
        <v>1352.8845979641515</v>
      </c>
      <c r="G19" s="7">
        <f>VLOOKUP($A19,Model!$1:$1048576,MATCH(G$3,Model!$3:$3,0),FALSE)</f>
        <v>1557.9031389041961</v>
      </c>
      <c r="H19" s="7">
        <f>VLOOKUP($A19,Model!$1:$1048576,MATCH(H$3,Model!$3:$3,0),FALSE)</f>
        <v>1758.1846314336988</v>
      </c>
      <c r="I19" s="7">
        <f>VLOOKUP($A19,Model!$1:$1048576,MATCH(I$3,Model!$3:$3,0),FALSE)</f>
        <v>1978.570923017189</v>
      </c>
      <c r="J19" s="46"/>
      <c r="K19" s="7">
        <f>VLOOKUP($A19,Model!$1:$1048576,MATCH(K$3,Model!$3:$3,0),FALSE)</f>
        <v>0</v>
      </c>
      <c r="L19" s="7">
        <f>VLOOKUP($A19,Model!$1:$1048576,MATCH(L$3,Model!$3:$3,0),FALSE)</f>
        <v>0</v>
      </c>
      <c r="M19" s="7">
        <f>VLOOKUP($A19,Model!$1:$1048576,MATCH(M$3,Model!$3:$3,0),FALSE)</f>
        <v>622</v>
      </c>
      <c r="N19" s="7">
        <f>VLOOKUP($A19,Model!$1:$1048576,MATCH(N$3,Model!$3:$3,0),FALSE)</f>
        <v>511.2179422797908</v>
      </c>
    </row>
    <row r="20" spans="1:14" s="28" customFormat="1" x14ac:dyDescent="0.2">
      <c r="A20" s="28" t="s">
        <v>271</v>
      </c>
      <c r="B20" s="4" t="s">
        <v>137</v>
      </c>
      <c r="C20" s="4"/>
      <c r="D20" s="161">
        <f t="shared" ref="D20" si="22">D19/C19-1</f>
        <v>0.49199009083402134</v>
      </c>
      <c r="E20" s="149">
        <f t="shared" ref="E20" si="23">E19/D19-1</f>
        <v>0.25439223187933457</v>
      </c>
      <c r="F20" s="149">
        <f t="shared" ref="F20" si="24">F19/E19-1</f>
        <v>0.19384325599578722</v>
      </c>
      <c r="G20" s="149">
        <f t="shared" ref="G20" si="25">G19/F19-1</f>
        <v>0.15154178061348378</v>
      </c>
      <c r="H20" s="149">
        <f t="shared" ref="H20" si="26">H19/G19-1</f>
        <v>0.12855837280768134</v>
      </c>
      <c r="I20" s="149">
        <f t="shared" ref="I20" si="27">I19/H19-1</f>
        <v>0.12534877602915784</v>
      </c>
      <c r="J20" s="151"/>
      <c r="K20" s="4"/>
      <c r="L20" s="4"/>
      <c r="M20" s="150"/>
      <c r="N20" s="150"/>
    </row>
    <row r="21" spans="1:14" x14ac:dyDescent="0.2">
      <c r="B21" s="2"/>
      <c r="C21" s="2"/>
      <c r="D21" s="2"/>
      <c r="E21" s="33"/>
      <c r="F21" s="33"/>
      <c r="G21" s="33"/>
      <c r="H21" s="33"/>
      <c r="I21" s="33"/>
      <c r="J21" s="33"/>
      <c r="K21" s="2"/>
      <c r="L21" s="2"/>
      <c r="M21" s="33"/>
      <c r="N21" s="33"/>
    </row>
    <row r="22" spans="1:14" x14ac:dyDescent="0.2">
      <c r="B22" s="2" t="s">
        <v>329</v>
      </c>
      <c r="C22" s="238">
        <f>C24-C19</f>
        <v>-23.964000000000055</v>
      </c>
      <c r="D22" s="238">
        <f>D24-D19</f>
        <v>-135.5</v>
      </c>
      <c r="E22" s="239">
        <v>-10</v>
      </c>
      <c r="F22" s="239">
        <v>-30</v>
      </c>
      <c r="G22" s="239">
        <v>-30</v>
      </c>
      <c r="H22" s="239">
        <v>-30</v>
      </c>
      <c r="I22" s="76"/>
      <c r="J22" s="33"/>
      <c r="K22" s="2"/>
      <c r="L22" s="2"/>
      <c r="M22" s="239">
        <v>-5</v>
      </c>
      <c r="N22" s="229">
        <f>E22-M22</f>
        <v>-5</v>
      </c>
    </row>
    <row r="23" spans="1:14" x14ac:dyDescent="0.2">
      <c r="B23" s="2"/>
      <c r="C23" s="2"/>
      <c r="D23" s="2"/>
      <c r="E23" s="33"/>
      <c r="F23" s="33"/>
      <c r="G23" s="33"/>
      <c r="H23" s="33"/>
      <c r="I23" s="33"/>
      <c r="J23" s="33"/>
      <c r="K23" s="2"/>
      <c r="L23" s="2"/>
      <c r="M23" s="33"/>
      <c r="N23" s="33"/>
    </row>
    <row r="24" spans="1:14" x14ac:dyDescent="0.2">
      <c r="B24" s="1" t="s">
        <v>130</v>
      </c>
      <c r="C24" s="285">
        <f>574.121+7.415</f>
        <v>581.53599999999994</v>
      </c>
      <c r="D24" s="83">
        <v>767.9</v>
      </c>
      <c r="E24" s="7">
        <f>E19+E22</f>
        <v>1123.2179422797908</v>
      </c>
      <c r="F24" s="7">
        <f t="shared" ref="F24:I24" si="28">F19+F22</f>
        <v>1322.8845979641515</v>
      </c>
      <c r="G24" s="7">
        <f t="shared" si="28"/>
        <v>1527.9031389041961</v>
      </c>
      <c r="H24" s="7">
        <f>H19+H22</f>
        <v>1728.1846314336988</v>
      </c>
      <c r="I24" s="7">
        <f t="shared" si="28"/>
        <v>1978.570923017189</v>
      </c>
      <c r="J24" s="33"/>
      <c r="K24" s="7"/>
      <c r="L24" s="7"/>
      <c r="M24" s="7">
        <f t="shared" ref="M24:N24" si="29">M19+M22</f>
        <v>617</v>
      </c>
      <c r="N24" s="7">
        <f t="shared" si="29"/>
        <v>506.2179422797908</v>
      </c>
    </row>
    <row r="25" spans="1:14" x14ac:dyDescent="0.2">
      <c r="B25" s="2"/>
      <c r="C25" s="2"/>
      <c r="D25" s="2"/>
      <c r="E25" s="33"/>
      <c r="F25" s="33"/>
      <c r="G25" s="33"/>
      <c r="H25" s="33"/>
      <c r="I25" s="33"/>
      <c r="J25" s="33"/>
      <c r="K25" s="2"/>
      <c r="L25" s="2"/>
      <c r="M25" s="33"/>
      <c r="N25" s="33"/>
    </row>
    <row r="26" spans="1:14" x14ac:dyDescent="0.2">
      <c r="A26" s="136" t="s">
        <v>483</v>
      </c>
      <c r="B26" s="2" t="s">
        <v>133</v>
      </c>
      <c r="C26" s="232">
        <f>-49.854+44.936</f>
        <v>-4.9179999999999993</v>
      </c>
      <c r="D26" s="232">
        <f>-58.619+50.476</f>
        <v>-8.1430000000000007</v>
      </c>
      <c r="E26" s="233">
        <f>D26*(1+Model!Y$16)</f>
        <v>-8.6383456973293775</v>
      </c>
      <c r="F26" s="233">
        <f>E26*(1+Model!Z$16)</f>
        <v>-8.9645489614243328</v>
      </c>
      <c r="G26" s="233">
        <f>F26*(1+Model!AA$16)</f>
        <v>-9.4115682492581616</v>
      </c>
      <c r="H26" s="233">
        <f>G26*(1+Model!AB$16)</f>
        <v>-9.8585875370919904</v>
      </c>
      <c r="I26" s="233">
        <f>H26*(1+Model!AC$16)</f>
        <v>-10.317688427299705</v>
      </c>
      <c r="J26" s="33"/>
      <c r="K26" s="2"/>
      <c r="L26" s="2"/>
      <c r="M26" s="33"/>
      <c r="N26" s="33"/>
    </row>
    <row r="27" spans="1:14" x14ac:dyDescent="0.2">
      <c r="B27" s="2" t="s">
        <v>134</v>
      </c>
      <c r="C27" s="234">
        <f>C28-C26</f>
        <v>-2.4970000000000008</v>
      </c>
      <c r="D27" s="234">
        <f>D28-D26</f>
        <v>-15.957000000000001</v>
      </c>
      <c r="E27" s="235">
        <f t="shared" ref="E27:I27" si="30">E28-E26</f>
        <v>-41.361654302670622</v>
      </c>
      <c r="F27" s="235">
        <f t="shared" si="30"/>
        <v>-37.035451038575665</v>
      </c>
      <c r="G27" s="235">
        <f t="shared" si="30"/>
        <v>-30.58843175074184</v>
      </c>
      <c r="H27" s="235">
        <f t="shared" si="30"/>
        <v>-30.141412462908008</v>
      </c>
      <c r="I27" s="235">
        <f t="shared" si="30"/>
        <v>-29.682311572700293</v>
      </c>
      <c r="J27" s="33"/>
      <c r="K27" s="2"/>
      <c r="L27" s="2"/>
      <c r="M27" s="33"/>
      <c r="N27" s="33"/>
    </row>
    <row r="28" spans="1:14" x14ac:dyDescent="0.2">
      <c r="A28" s="28" t="s">
        <v>164</v>
      </c>
      <c r="B28" s="3" t="s">
        <v>135</v>
      </c>
      <c r="C28" s="240">
        <v>-7.415</v>
      </c>
      <c r="D28" s="240">
        <v>-24.1</v>
      </c>
      <c r="E28" s="241">
        <v>-50</v>
      </c>
      <c r="F28" s="241">
        <v>-46</v>
      </c>
      <c r="G28" s="241">
        <v>-40</v>
      </c>
      <c r="H28" s="241">
        <v>-40</v>
      </c>
      <c r="I28" s="241">
        <v>-40</v>
      </c>
      <c r="J28" s="33"/>
      <c r="K28" s="2"/>
      <c r="L28" s="2"/>
      <c r="M28" s="241">
        <f>E28*0.5</f>
        <v>-25</v>
      </c>
      <c r="N28" s="237">
        <f>E28-M28</f>
        <v>-25</v>
      </c>
    </row>
    <row r="29" spans="1:14" x14ac:dyDescent="0.2">
      <c r="B29" s="2"/>
      <c r="C29" s="2"/>
      <c r="D29" s="2"/>
      <c r="E29" s="33"/>
      <c r="F29" s="33"/>
      <c r="G29" s="33"/>
      <c r="H29" s="33"/>
      <c r="I29" s="33"/>
      <c r="J29" s="33"/>
      <c r="K29" s="2"/>
      <c r="L29" s="2"/>
      <c r="M29" s="235"/>
      <c r="N29" s="235"/>
    </row>
    <row r="30" spans="1:14" s="30" customFormat="1" x14ac:dyDescent="0.2">
      <c r="A30" s="177"/>
      <c r="B30" s="3" t="s">
        <v>136</v>
      </c>
      <c r="C30" s="86">
        <f>C19+C28</f>
        <v>598.08500000000004</v>
      </c>
      <c r="D30" s="86">
        <f>D19+D28</f>
        <v>879.3</v>
      </c>
      <c r="E30" s="75">
        <f>E19+E28</f>
        <v>1083.2179422797908</v>
      </c>
      <c r="F30" s="75">
        <f t="shared" ref="F30:I30" si="31">F19+F28</f>
        <v>1306.8845979641515</v>
      </c>
      <c r="G30" s="75">
        <f t="shared" si="31"/>
        <v>1517.9031389041961</v>
      </c>
      <c r="H30" s="75">
        <f t="shared" si="31"/>
        <v>1718.1846314336988</v>
      </c>
      <c r="I30" s="75">
        <f t="shared" si="31"/>
        <v>1938.570923017189</v>
      </c>
      <c r="J30" s="46"/>
      <c r="K30" s="3"/>
      <c r="L30" s="3"/>
      <c r="M30" s="248">
        <f t="shared" ref="M30:N30" si="32">M19+M28</f>
        <v>597</v>
      </c>
      <c r="N30" s="248">
        <f t="shared" si="32"/>
        <v>486.2179422797908</v>
      </c>
    </row>
    <row r="31" spans="1:14" s="28" customFormat="1" x14ac:dyDescent="0.2">
      <c r="B31" s="4" t="s">
        <v>137</v>
      </c>
      <c r="C31" s="4"/>
      <c r="D31" s="161"/>
      <c r="E31" s="149">
        <f t="shared" ref="E31:F31" si="33">E30/D30-1</f>
        <v>0.23190940780142255</v>
      </c>
      <c r="F31" s="149">
        <f t="shared" si="33"/>
        <v>0.20648352187891339</v>
      </c>
      <c r="G31" s="149">
        <f t="shared" ref="G31" si="34">G30/F30-1</f>
        <v>0.16146685121912574</v>
      </c>
      <c r="H31" s="149">
        <f t="shared" ref="H31" si="35">H30/G30-1</f>
        <v>0.13194616138292581</v>
      </c>
      <c r="I31" s="149">
        <f t="shared" ref="I31" si="36">I30/H30-1</f>
        <v>0.12826694381475989</v>
      </c>
      <c r="J31" s="151"/>
      <c r="K31" s="4"/>
      <c r="L31" s="4"/>
      <c r="M31" s="249"/>
      <c r="N31" s="249"/>
    </row>
    <row r="32" spans="1:14" x14ac:dyDescent="0.2">
      <c r="B32" s="2"/>
      <c r="C32" s="2"/>
      <c r="D32" s="2"/>
      <c r="E32" s="33"/>
      <c r="F32" s="33"/>
      <c r="G32" s="33"/>
      <c r="H32" s="33"/>
      <c r="I32" s="33"/>
      <c r="J32" s="33"/>
      <c r="K32" s="2"/>
      <c r="L32" s="2"/>
      <c r="M32" s="235"/>
      <c r="N32" s="235"/>
    </row>
    <row r="33" spans="1:14" s="30" customFormat="1" x14ac:dyDescent="0.2">
      <c r="A33" s="177"/>
      <c r="B33" s="3" t="s">
        <v>138</v>
      </c>
      <c r="C33" s="236">
        <f>C51</f>
        <v>-170.6</v>
      </c>
      <c r="D33" s="236">
        <f>D51</f>
        <v>-254.99699999999996</v>
      </c>
      <c r="E33" s="237">
        <f>E51</f>
        <v>-314.13320326113933</v>
      </c>
      <c r="F33" s="237">
        <f t="shared" ref="F33:I33" si="37">F51</f>
        <v>-378.9965334096039</v>
      </c>
      <c r="G33" s="237">
        <f t="shared" si="37"/>
        <v>-440.19191028221684</v>
      </c>
      <c r="H33" s="237">
        <f t="shared" si="37"/>
        <v>-498.27354311577261</v>
      </c>
      <c r="I33" s="237">
        <f t="shared" si="37"/>
        <v>-562.18556767498478</v>
      </c>
      <c r="J33" s="46"/>
      <c r="K33" s="3"/>
      <c r="L33" s="3"/>
      <c r="M33" s="237">
        <f t="shared" ref="M33:N33" si="38">M51</f>
        <v>-173.13</v>
      </c>
      <c r="N33" s="237">
        <f t="shared" si="38"/>
        <v>-141.00320326113933</v>
      </c>
    </row>
    <row r="34" spans="1:14" x14ac:dyDescent="0.2">
      <c r="B34" s="2"/>
      <c r="C34" s="2"/>
      <c r="D34" s="234"/>
      <c r="E34" s="235"/>
      <c r="F34" s="235"/>
      <c r="G34" s="235"/>
      <c r="H34" s="235"/>
      <c r="I34" s="235"/>
      <c r="J34" s="33"/>
      <c r="K34" s="2"/>
      <c r="L34" s="2"/>
      <c r="M34" s="235"/>
      <c r="N34" s="235"/>
    </row>
    <row r="35" spans="1:14" x14ac:dyDescent="0.2">
      <c r="A35" s="28" t="s">
        <v>260</v>
      </c>
      <c r="B35" s="3" t="s">
        <v>139</v>
      </c>
      <c r="C35" s="240">
        <v>-1.3560000000000001</v>
      </c>
      <c r="D35" s="240">
        <v>-4.5</v>
      </c>
      <c r="E35" s="281">
        <f>-4.5-'Ireland Model'!Y99</f>
        <v>-7.8058614413134215</v>
      </c>
      <c r="F35" s="281">
        <f>-4.5-'Ireland Model'!Z99</f>
        <v>-11.184446825174765</v>
      </c>
      <c r="G35" s="281">
        <f>-4.5-'Ireland Model'!AA99</f>
        <v>-14.100187132038569</v>
      </c>
      <c r="H35" s="281">
        <f>-4.5-'Ireland Model'!AB99</f>
        <v>-17.533168538928088</v>
      </c>
      <c r="I35" s="281">
        <f>-4.5-'Ireland Model'!AC99</f>
        <v>-20.983627628089696</v>
      </c>
      <c r="J35" s="33"/>
      <c r="K35" s="2"/>
      <c r="L35" s="2"/>
      <c r="M35" s="241">
        <f>E35*0.5</f>
        <v>-3.9029307206567108</v>
      </c>
      <c r="N35" s="237">
        <f>E35-M35</f>
        <v>-3.9029307206567108</v>
      </c>
    </row>
    <row r="36" spans="1:14" x14ac:dyDescent="0.2">
      <c r="B36" s="2"/>
      <c r="C36" s="2"/>
      <c r="D36" s="2"/>
      <c r="E36" s="33"/>
      <c r="F36" s="33"/>
      <c r="G36" s="33"/>
      <c r="H36" s="33"/>
      <c r="I36" s="33"/>
      <c r="J36" s="33"/>
      <c r="K36" s="2"/>
      <c r="L36" s="2"/>
      <c r="M36" s="33"/>
      <c r="N36" s="33"/>
    </row>
    <row r="37" spans="1:14" x14ac:dyDescent="0.2">
      <c r="A37" s="28" t="s">
        <v>16</v>
      </c>
      <c r="B37" s="1" t="s">
        <v>140</v>
      </c>
      <c r="C37" s="7">
        <f>C30+C33+C35</f>
        <v>426.12900000000002</v>
      </c>
      <c r="D37" s="7">
        <f>D30+D33+D35</f>
        <v>619.803</v>
      </c>
      <c r="E37" s="7">
        <f>E30+E33+E35</f>
        <v>761.27887757733811</v>
      </c>
      <c r="F37" s="7">
        <f t="shared" ref="F37:I37" si="39">F30+F33+F35</f>
        <v>916.70361772937281</v>
      </c>
      <c r="G37" s="7">
        <f t="shared" si="39"/>
        <v>1063.6110414899406</v>
      </c>
      <c r="H37" s="7">
        <f t="shared" si="39"/>
        <v>1202.3779197789981</v>
      </c>
      <c r="I37" s="7">
        <f t="shared" si="39"/>
        <v>1355.4017277141145</v>
      </c>
      <c r="J37" s="33"/>
      <c r="K37" s="7"/>
      <c r="L37" s="7"/>
      <c r="M37" s="7">
        <f t="shared" ref="M37:N37" si="40">M30+M33+M35</f>
        <v>419.96706927934332</v>
      </c>
      <c r="N37" s="7">
        <f t="shared" si="40"/>
        <v>341.31180829799479</v>
      </c>
    </row>
    <row r="38" spans="1:14" s="28" customFormat="1" x14ac:dyDescent="0.2">
      <c r="A38" s="28" t="s">
        <v>272</v>
      </c>
      <c r="B38" s="4" t="s">
        <v>137</v>
      </c>
      <c r="C38" s="4"/>
      <c r="D38" s="161"/>
      <c r="E38" s="149">
        <f t="shared" ref="E38:F38" si="41">E37/D37-1</f>
        <v>0.22825942691038614</v>
      </c>
      <c r="F38" s="149">
        <f t="shared" si="41"/>
        <v>0.20416268562008688</v>
      </c>
      <c r="G38" s="149">
        <f t="shared" ref="G38" si="42">G37/F37-1</f>
        <v>0.16025618413555498</v>
      </c>
      <c r="H38" s="149">
        <f t="shared" ref="H38" si="43">H37/G37-1</f>
        <v>0.13046769248904044</v>
      </c>
      <c r="I38" s="149">
        <f t="shared" ref="I38" si="44">I37/H37-1</f>
        <v>0.12726764640126009</v>
      </c>
      <c r="J38" s="151"/>
      <c r="K38" s="4"/>
      <c r="L38" s="4"/>
      <c r="M38" s="151"/>
      <c r="N38" s="151"/>
    </row>
    <row r="39" spans="1:14" x14ac:dyDescent="0.2">
      <c r="B39" s="2"/>
      <c r="C39" s="2"/>
      <c r="D39" s="2"/>
      <c r="E39" s="33"/>
      <c r="F39" s="33"/>
      <c r="G39" s="33"/>
      <c r="H39" s="33"/>
      <c r="I39" s="33"/>
      <c r="J39" s="33"/>
      <c r="K39" s="2"/>
      <c r="L39" s="2"/>
      <c r="M39" s="33"/>
      <c r="N39" s="33"/>
    </row>
    <row r="40" spans="1:14" x14ac:dyDescent="0.2">
      <c r="B40" s="2" t="s">
        <v>329</v>
      </c>
      <c r="C40" s="245">
        <f>C42-C37</f>
        <v>114.88400000000001</v>
      </c>
      <c r="D40" s="245">
        <f>D42-D37</f>
        <v>-89.90300000000002</v>
      </c>
      <c r="E40" s="246">
        <f>E52+E22</f>
        <v>-7.1</v>
      </c>
      <c r="F40" s="246">
        <f t="shared" ref="F40:I40" si="45">F52+F22</f>
        <v>-21.3</v>
      </c>
      <c r="G40" s="246">
        <f t="shared" si="45"/>
        <v>-21.3</v>
      </c>
      <c r="H40" s="246">
        <f t="shared" si="45"/>
        <v>-21.3</v>
      </c>
      <c r="I40" s="246">
        <f t="shared" si="45"/>
        <v>0</v>
      </c>
      <c r="J40" s="235"/>
      <c r="K40" s="2"/>
      <c r="L40" s="2"/>
      <c r="M40" s="235">
        <f t="shared" ref="M40:N40" si="46">M52+M22</f>
        <v>-3.55</v>
      </c>
      <c r="N40" s="235">
        <f t="shared" si="46"/>
        <v>-3.55</v>
      </c>
    </row>
    <row r="41" spans="1:14" x14ac:dyDescent="0.2">
      <c r="B41" s="2"/>
      <c r="C41" s="2"/>
      <c r="D41" s="247"/>
      <c r="E41" s="246"/>
      <c r="F41" s="246"/>
      <c r="G41" s="246"/>
      <c r="H41" s="246"/>
      <c r="I41" s="246"/>
      <c r="J41" s="33"/>
      <c r="K41" s="2"/>
      <c r="L41" s="2"/>
      <c r="M41" s="33"/>
      <c r="N41" s="33"/>
    </row>
    <row r="42" spans="1:14" x14ac:dyDescent="0.2">
      <c r="B42" s="1" t="s">
        <v>141</v>
      </c>
      <c r="C42" s="7">
        <v>541.01300000000003</v>
      </c>
      <c r="D42" s="83">
        <v>529.9</v>
      </c>
      <c r="E42" s="7">
        <f>E37+E40</f>
        <v>754.17887757733808</v>
      </c>
      <c r="F42" s="7">
        <f t="shared" ref="F42:I42" si="47">F37+F40</f>
        <v>895.40361772937285</v>
      </c>
      <c r="G42" s="7">
        <f t="shared" si="47"/>
        <v>1042.3110414899406</v>
      </c>
      <c r="H42" s="7">
        <f t="shared" si="47"/>
        <v>1181.0779197789982</v>
      </c>
      <c r="I42" s="7">
        <f t="shared" si="47"/>
        <v>1355.4017277141145</v>
      </c>
      <c r="J42" s="33"/>
      <c r="K42" s="7"/>
      <c r="L42" s="7"/>
      <c r="M42" s="7">
        <f t="shared" ref="M42:N42" si="48">M37+M40</f>
        <v>416.41706927934331</v>
      </c>
      <c r="N42" s="7">
        <f t="shared" si="48"/>
        <v>337.76180829799478</v>
      </c>
    </row>
    <row r="43" spans="1:14" s="28" customFormat="1" x14ac:dyDescent="0.2">
      <c r="B43" s="4" t="s">
        <v>137</v>
      </c>
      <c r="C43" s="4"/>
      <c r="D43" s="161"/>
      <c r="E43" s="149"/>
      <c r="F43" s="149">
        <f t="shared" ref="F43" si="49">F42/E42-1</f>
        <v>0.18725629204266947</v>
      </c>
      <c r="G43" s="149">
        <f t="shared" ref="G43" si="50">G42/F42-1</f>
        <v>0.16406838307522809</v>
      </c>
      <c r="H43" s="149">
        <f t="shared" ref="H43" si="51">H42/G42-1</f>
        <v>0.13313384658258642</v>
      </c>
      <c r="I43" s="149">
        <f t="shared" ref="I43" si="52">I42/H42-1</f>
        <v>0.14759721184842367</v>
      </c>
      <c r="J43" s="151"/>
      <c r="K43" s="4"/>
      <c r="L43" s="4"/>
      <c r="M43" s="151"/>
      <c r="N43" s="151"/>
    </row>
    <row r="44" spans="1:14" x14ac:dyDescent="0.2">
      <c r="B44" s="2"/>
      <c r="C44" s="2"/>
      <c r="D44" s="2"/>
      <c r="E44" s="33"/>
      <c r="F44" s="33"/>
      <c r="G44" s="33"/>
      <c r="H44" s="33"/>
      <c r="I44" s="33"/>
      <c r="J44" s="33"/>
      <c r="K44" s="2"/>
      <c r="L44" s="2"/>
      <c r="M44" s="33"/>
      <c r="N44" s="33"/>
    </row>
    <row r="45" spans="1:14" x14ac:dyDescent="0.2">
      <c r="A45" s="28" t="s">
        <v>355</v>
      </c>
      <c r="B45" s="2" t="s">
        <v>142</v>
      </c>
      <c r="C45" s="2"/>
      <c r="D45" s="80">
        <f>D67</f>
        <v>11540</v>
      </c>
      <c r="E45" s="81">
        <f t="shared" ref="E45:I45" si="53">E67</f>
        <v>11540</v>
      </c>
      <c r="F45" s="81">
        <f t="shared" si="53"/>
        <v>11540</v>
      </c>
      <c r="G45" s="81">
        <f t="shared" si="53"/>
        <v>11540</v>
      </c>
      <c r="H45" s="81">
        <f t="shared" si="53"/>
        <v>11540</v>
      </c>
      <c r="I45" s="81">
        <f t="shared" si="53"/>
        <v>11540</v>
      </c>
      <c r="J45" s="33"/>
      <c r="K45" s="2"/>
      <c r="L45" s="2"/>
      <c r="M45" s="81">
        <f t="shared" ref="M45:N45" si="54">M67</f>
        <v>11540</v>
      </c>
      <c r="N45" s="81">
        <f t="shared" si="54"/>
        <v>11540</v>
      </c>
    </row>
    <row r="46" spans="1:14" x14ac:dyDescent="0.2">
      <c r="B46" s="2"/>
      <c r="C46" s="2"/>
      <c r="D46" s="2"/>
      <c r="E46" s="33"/>
      <c r="F46" s="33"/>
      <c r="G46" s="33"/>
      <c r="H46" s="33"/>
      <c r="I46" s="33"/>
      <c r="J46" s="33"/>
      <c r="K46" s="2"/>
      <c r="L46" s="2"/>
      <c r="M46" s="33"/>
      <c r="N46" s="33"/>
    </row>
    <row r="47" spans="1:14" x14ac:dyDescent="0.2">
      <c r="A47" s="28" t="s">
        <v>216</v>
      </c>
      <c r="B47" s="1" t="s">
        <v>330</v>
      </c>
      <c r="C47" s="7"/>
      <c r="D47" s="82">
        <f>D37/D45</f>
        <v>5.3709098786828426E-2</v>
      </c>
      <c r="E47" s="82">
        <f>E37/E45</f>
        <v>6.59687068957832E-2</v>
      </c>
      <c r="F47" s="82">
        <f t="shared" ref="F47:H47" si="55">F37/F45</f>
        <v>7.9437055262510645E-2</v>
      </c>
      <c r="G47" s="82">
        <f t="shared" si="55"/>
        <v>9.2167334617845806E-2</v>
      </c>
      <c r="H47" s="82">
        <f t="shared" si="55"/>
        <v>0.1041921940883014</v>
      </c>
      <c r="I47" s="82">
        <f>I37/I45</f>
        <v>0.11745248940330281</v>
      </c>
      <c r="J47" s="33"/>
      <c r="K47" s="7"/>
      <c r="L47" s="7"/>
      <c r="M47" s="82">
        <f t="shared" ref="M47:N47" si="56">M37/M45</f>
        <v>3.6392293698383302E-2</v>
      </c>
      <c r="N47" s="82">
        <f t="shared" si="56"/>
        <v>2.9576413197399894E-2</v>
      </c>
    </row>
    <row r="48" spans="1:14" s="28" customFormat="1" x14ac:dyDescent="0.2">
      <c r="A48" s="28" t="s">
        <v>275</v>
      </c>
      <c r="B48" s="4" t="s">
        <v>137</v>
      </c>
      <c r="C48" s="4"/>
      <c r="D48" s="161"/>
      <c r="E48" s="149">
        <f t="shared" ref="E48" si="57">E47/D47-1</f>
        <v>0.22825942691038614</v>
      </c>
      <c r="F48" s="149">
        <f t="shared" ref="F48" si="58">F47/E47-1</f>
        <v>0.20416268562008688</v>
      </c>
      <c r="G48" s="149">
        <f t="shared" ref="G48" si="59">G47/F47-1</f>
        <v>0.16025618413555498</v>
      </c>
      <c r="H48" s="149">
        <f t="shared" ref="H48" si="60">H47/G47-1</f>
        <v>0.13046769248904044</v>
      </c>
      <c r="I48" s="149">
        <f t="shared" ref="I48" si="61">I47/H47-1</f>
        <v>0.12726764640126031</v>
      </c>
      <c r="J48" s="151"/>
      <c r="K48" s="4"/>
      <c r="L48" s="4"/>
      <c r="M48" s="151"/>
      <c r="N48" s="151"/>
    </row>
    <row r="49" spans="1:14" x14ac:dyDescent="0.2">
      <c r="B49" s="2"/>
      <c r="C49" s="2"/>
      <c r="D49" s="2"/>
      <c r="E49" s="33"/>
      <c r="F49" s="33"/>
      <c r="G49" s="33"/>
      <c r="H49" s="33"/>
      <c r="I49" s="33"/>
      <c r="J49" s="33"/>
      <c r="K49" s="2"/>
      <c r="L49" s="2"/>
      <c r="M49" s="33"/>
      <c r="N49" s="33"/>
    </row>
    <row r="50" spans="1:14" x14ac:dyDescent="0.2">
      <c r="B50" s="3" t="s">
        <v>143</v>
      </c>
      <c r="C50" s="2"/>
      <c r="D50" s="2"/>
      <c r="E50" s="33"/>
      <c r="F50" s="33"/>
      <c r="G50" s="33"/>
      <c r="H50" s="33"/>
      <c r="I50" s="33"/>
      <c r="J50" s="33"/>
      <c r="K50" s="2"/>
      <c r="L50" s="2"/>
      <c r="M50" s="33"/>
      <c r="N50" s="33"/>
    </row>
    <row r="51" spans="1:14" x14ac:dyDescent="0.2">
      <c r="A51" s="28" t="s">
        <v>15</v>
      </c>
      <c r="B51" s="3" t="s">
        <v>144</v>
      </c>
      <c r="C51" s="242">
        <v>-170.6</v>
      </c>
      <c r="D51" s="242">
        <f>D61*-D56</f>
        <v>-254.99699999999996</v>
      </c>
      <c r="E51" s="243">
        <f>E61*-E56</f>
        <v>-314.13320326113933</v>
      </c>
      <c r="F51" s="243">
        <f t="shared" ref="F51:I51" si="62">F61*-F56</f>
        <v>-378.9965334096039</v>
      </c>
      <c r="G51" s="243">
        <f t="shared" si="62"/>
        <v>-440.19191028221684</v>
      </c>
      <c r="H51" s="243">
        <f t="shared" si="62"/>
        <v>-498.27354311577261</v>
      </c>
      <c r="I51" s="243">
        <f t="shared" si="62"/>
        <v>-562.18556767498478</v>
      </c>
      <c r="J51" s="33"/>
      <c r="K51" s="2"/>
      <c r="L51" s="2"/>
      <c r="M51" s="237">
        <f>M61*-M56</f>
        <v>-173.13</v>
      </c>
      <c r="N51" s="248">
        <f>E51-M51</f>
        <v>-141.00320326113933</v>
      </c>
    </row>
    <row r="52" spans="1:14" x14ac:dyDescent="0.2">
      <c r="B52" s="2" t="s">
        <v>129</v>
      </c>
      <c r="C52" s="244"/>
      <c r="D52" s="244"/>
      <c r="E52" s="228">
        <f t="shared" ref="E52:I52" si="63">E62*-E57</f>
        <v>2.9</v>
      </c>
      <c r="F52" s="228">
        <f t="shared" si="63"/>
        <v>8.6999999999999993</v>
      </c>
      <c r="G52" s="228">
        <f t="shared" si="63"/>
        <v>8.6999999999999993</v>
      </c>
      <c r="H52" s="228">
        <f t="shared" si="63"/>
        <v>8.6999999999999993</v>
      </c>
      <c r="I52" s="228">
        <f t="shared" si="63"/>
        <v>0</v>
      </c>
      <c r="J52" s="33"/>
      <c r="K52" s="2"/>
      <c r="L52" s="2"/>
      <c r="M52" s="229">
        <f t="shared" ref="M52" si="64">M62*-M57</f>
        <v>1.45</v>
      </c>
      <c r="N52" s="235">
        <f t="shared" ref="N52:N53" si="65">E52-M52</f>
        <v>1.45</v>
      </c>
    </row>
    <row r="53" spans="1:14" x14ac:dyDescent="0.2">
      <c r="B53" s="3" t="s">
        <v>145</v>
      </c>
      <c r="C53" s="244">
        <v>-34.463999999999999</v>
      </c>
      <c r="D53" s="244"/>
      <c r="E53" s="243">
        <f>E51+E52</f>
        <v>-311.23320326113935</v>
      </c>
      <c r="F53" s="243">
        <f t="shared" ref="F53:I53" si="66">F51+F52</f>
        <v>-370.29653340960391</v>
      </c>
      <c r="G53" s="243">
        <f t="shared" si="66"/>
        <v>-431.49191028221685</v>
      </c>
      <c r="H53" s="243">
        <f t="shared" si="66"/>
        <v>-489.57354311577262</v>
      </c>
      <c r="I53" s="243">
        <f t="shared" si="66"/>
        <v>-562.18556767498478</v>
      </c>
      <c r="J53" s="33"/>
      <c r="K53" s="2"/>
      <c r="L53" s="2"/>
      <c r="M53" s="237">
        <f>M51+M52</f>
        <v>-171.68</v>
      </c>
      <c r="N53" s="248">
        <f t="shared" si="65"/>
        <v>-139.55320326113934</v>
      </c>
    </row>
    <row r="54" spans="1:14" x14ac:dyDescent="0.2">
      <c r="B54" s="2"/>
      <c r="C54" s="2"/>
      <c r="D54" s="2"/>
      <c r="E54" s="33"/>
      <c r="F54" s="33"/>
      <c r="G54" s="33"/>
      <c r="H54" s="33"/>
      <c r="I54" s="33"/>
      <c r="J54" s="33"/>
      <c r="K54" s="2"/>
      <c r="L54" s="2"/>
      <c r="M54" s="33"/>
      <c r="N54" s="33"/>
    </row>
    <row r="55" spans="1:14" x14ac:dyDescent="0.2">
      <c r="B55" s="3" t="s">
        <v>146</v>
      </c>
      <c r="C55" s="2"/>
      <c r="D55" s="2"/>
      <c r="E55" s="33"/>
      <c r="F55" s="33"/>
      <c r="G55" s="33"/>
      <c r="H55" s="33"/>
      <c r="I55" s="33"/>
      <c r="J55" s="33"/>
      <c r="K55" s="2"/>
      <c r="L55" s="2"/>
      <c r="M55" s="33"/>
      <c r="N55" s="33"/>
    </row>
    <row r="56" spans="1:14" x14ac:dyDescent="0.2">
      <c r="B56" s="3" t="s">
        <v>144</v>
      </c>
      <c r="C56" s="2"/>
      <c r="D56" s="84">
        <v>0.28999999999999998</v>
      </c>
      <c r="E56" s="251">
        <v>0.28999999999999998</v>
      </c>
      <c r="F56" s="251">
        <v>0.28999999999999998</v>
      </c>
      <c r="G56" s="251">
        <v>0.28999999999999998</v>
      </c>
      <c r="H56" s="251">
        <v>0.28999999999999998</v>
      </c>
      <c r="I56" s="251">
        <v>0.28999999999999998</v>
      </c>
      <c r="J56" s="33"/>
      <c r="K56" s="2"/>
      <c r="L56" s="2"/>
      <c r="M56" s="252">
        <v>0.28999999999999998</v>
      </c>
      <c r="N56" s="34">
        <f>N51/-N61</f>
        <v>0.28999999999999998</v>
      </c>
    </row>
    <row r="57" spans="1:14" x14ac:dyDescent="0.2">
      <c r="B57" s="2" t="s">
        <v>147</v>
      </c>
      <c r="C57" s="2"/>
      <c r="D57" s="2"/>
      <c r="E57" s="43">
        <f>E56</f>
        <v>0.28999999999999998</v>
      </c>
      <c r="F57" s="43">
        <f t="shared" ref="F57:I57" si="67">F56</f>
        <v>0.28999999999999998</v>
      </c>
      <c r="G57" s="43">
        <f t="shared" si="67"/>
        <v>0.28999999999999998</v>
      </c>
      <c r="H57" s="43">
        <f t="shared" si="67"/>
        <v>0.28999999999999998</v>
      </c>
      <c r="I57" s="43">
        <f t="shared" si="67"/>
        <v>0.28999999999999998</v>
      </c>
      <c r="J57" s="33"/>
      <c r="K57" s="2"/>
      <c r="L57" s="2"/>
      <c r="M57" s="44">
        <v>0.28999999999999998</v>
      </c>
      <c r="N57" s="34">
        <f t="shared" ref="N57:N58" si="68">N52/-N62</f>
        <v>0.28999999999999998</v>
      </c>
    </row>
    <row r="58" spans="1:14" x14ac:dyDescent="0.2">
      <c r="B58" s="3" t="s">
        <v>145</v>
      </c>
      <c r="C58" s="2"/>
      <c r="D58" s="2"/>
      <c r="E58" s="34">
        <f>E53/-E63</f>
        <v>0.29000000000000004</v>
      </c>
      <c r="F58" s="34">
        <f t="shared" ref="F58:I58" si="69">F53/-F63</f>
        <v>0.28999999999999998</v>
      </c>
      <c r="G58" s="34">
        <f t="shared" si="69"/>
        <v>0.28999999999999998</v>
      </c>
      <c r="H58" s="34">
        <f t="shared" si="69"/>
        <v>0.28999999999999998</v>
      </c>
      <c r="I58" s="34">
        <f t="shared" si="69"/>
        <v>0.28999999999999998</v>
      </c>
      <c r="J58" s="33"/>
      <c r="K58" s="2"/>
      <c r="L58" s="2"/>
      <c r="M58" s="34">
        <f>M53/-M63</f>
        <v>0.29000000000000004</v>
      </c>
      <c r="N58" s="34">
        <f t="shared" si="68"/>
        <v>0.29000000000000004</v>
      </c>
    </row>
    <row r="59" spans="1:14" x14ac:dyDescent="0.2">
      <c r="B59" s="2"/>
      <c r="C59" s="2"/>
      <c r="D59" s="2"/>
      <c r="E59" s="33"/>
      <c r="F59" s="33"/>
      <c r="G59" s="33"/>
      <c r="H59" s="33"/>
      <c r="I59" s="33"/>
      <c r="J59" s="33"/>
      <c r="K59" s="2"/>
      <c r="L59" s="2"/>
      <c r="M59" s="33"/>
      <c r="N59" s="33"/>
    </row>
    <row r="60" spans="1:14" x14ac:dyDescent="0.2">
      <c r="B60" s="3" t="s">
        <v>14</v>
      </c>
      <c r="C60" s="2"/>
      <c r="D60" s="2"/>
      <c r="E60" s="33"/>
      <c r="F60" s="33"/>
      <c r="G60" s="33"/>
      <c r="H60" s="33"/>
      <c r="I60" s="33"/>
      <c r="J60" s="33"/>
      <c r="K60" s="2"/>
      <c r="L60" s="2"/>
      <c r="M60" s="33"/>
      <c r="N60" s="33"/>
    </row>
    <row r="61" spans="1:14" x14ac:dyDescent="0.2">
      <c r="A61" s="28" t="s">
        <v>14</v>
      </c>
      <c r="B61" s="3" t="s">
        <v>136</v>
      </c>
      <c r="C61" s="2"/>
      <c r="D61" s="36">
        <f>D30</f>
        <v>879.3</v>
      </c>
      <c r="E61" s="35">
        <f>E30</f>
        <v>1083.2179422797908</v>
      </c>
      <c r="F61" s="35">
        <f t="shared" ref="F61:I61" si="70">F30</f>
        <v>1306.8845979641515</v>
      </c>
      <c r="G61" s="35">
        <f t="shared" si="70"/>
        <v>1517.9031389041961</v>
      </c>
      <c r="H61" s="35">
        <f t="shared" si="70"/>
        <v>1718.1846314336988</v>
      </c>
      <c r="I61" s="35">
        <f t="shared" si="70"/>
        <v>1938.570923017189</v>
      </c>
      <c r="J61" s="33"/>
      <c r="K61" s="2"/>
      <c r="L61" s="2"/>
      <c r="M61" s="35">
        <f>M30</f>
        <v>597</v>
      </c>
      <c r="N61" s="42">
        <f>E61-M61</f>
        <v>486.2179422797908</v>
      </c>
    </row>
    <row r="62" spans="1:14" x14ac:dyDescent="0.2">
      <c r="B62" s="2" t="s">
        <v>147</v>
      </c>
      <c r="C62" s="2"/>
      <c r="D62" s="2"/>
      <c r="E62" s="230">
        <f>E22</f>
        <v>-10</v>
      </c>
      <c r="F62" s="230">
        <f t="shared" ref="F62:I62" si="71">F22</f>
        <v>-30</v>
      </c>
      <c r="G62" s="230">
        <f t="shared" si="71"/>
        <v>-30</v>
      </c>
      <c r="H62" s="230">
        <f t="shared" si="71"/>
        <v>-30</v>
      </c>
      <c r="I62" s="230">
        <f t="shared" si="71"/>
        <v>0</v>
      </c>
      <c r="J62" s="33"/>
      <c r="K62" s="2"/>
      <c r="L62" s="2"/>
      <c r="M62" s="229">
        <f>M22</f>
        <v>-5</v>
      </c>
      <c r="N62" s="235">
        <f t="shared" ref="N62:N63" si="72">E62-M62</f>
        <v>-5</v>
      </c>
    </row>
    <row r="63" spans="1:14" x14ac:dyDescent="0.2">
      <c r="B63" s="3" t="s">
        <v>148</v>
      </c>
      <c r="C63" s="2"/>
      <c r="D63" s="2"/>
      <c r="E63" s="35">
        <f>E61+E62</f>
        <v>1073.2179422797908</v>
      </c>
      <c r="F63" s="35">
        <f t="shared" ref="F63:I63" si="73">F61+F62</f>
        <v>1276.8845979641515</v>
      </c>
      <c r="G63" s="35">
        <f t="shared" si="73"/>
        <v>1487.9031389041961</v>
      </c>
      <c r="H63" s="35">
        <f t="shared" si="73"/>
        <v>1688.1846314336988</v>
      </c>
      <c r="I63" s="35">
        <f t="shared" si="73"/>
        <v>1938.570923017189</v>
      </c>
      <c r="J63" s="33"/>
      <c r="K63" s="2"/>
      <c r="L63" s="2"/>
      <c r="M63" s="35">
        <f>M61+M62</f>
        <v>592</v>
      </c>
      <c r="N63" s="42">
        <f t="shared" si="72"/>
        <v>481.2179422797908</v>
      </c>
    </row>
    <row r="64" spans="1:14" x14ac:dyDescent="0.2">
      <c r="B64" s="2"/>
      <c r="C64" s="2"/>
      <c r="D64" s="2"/>
      <c r="E64" s="33"/>
      <c r="F64" s="33"/>
      <c r="G64" s="33"/>
      <c r="H64" s="33"/>
      <c r="I64" s="33"/>
      <c r="J64" s="33"/>
      <c r="K64" s="2"/>
      <c r="L64" s="2"/>
      <c r="M64" s="33"/>
      <c r="N64" s="33"/>
    </row>
    <row r="65" spans="1:14" x14ac:dyDescent="0.2">
      <c r="A65" s="28" t="s">
        <v>467</v>
      </c>
      <c r="B65" s="3" t="s">
        <v>149</v>
      </c>
      <c r="C65" s="2"/>
      <c r="D65" s="77">
        <v>11540</v>
      </c>
      <c r="E65" s="53">
        <f>D65</f>
        <v>11540</v>
      </c>
      <c r="F65" s="53">
        <f t="shared" ref="F65:I65" si="74">E65</f>
        <v>11540</v>
      </c>
      <c r="G65" s="53">
        <f t="shared" si="74"/>
        <v>11540</v>
      </c>
      <c r="H65" s="53">
        <f t="shared" si="74"/>
        <v>11540</v>
      </c>
      <c r="I65" s="53">
        <f t="shared" si="74"/>
        <v>11540</v>
      </c>
      <c r="J65" s="33"/>
      <c r="K65" s="2"/>
      <c r="L65" s="2"/>
      <c r="M65" s="53">
        <f>E65</f>
        <v>11540</v>
      </c>
      <c r="N65" s="53">
        <f>E65</f>
        <v>11540</v>
      </c>
    </row>
    <row r="66" spans="1:14" x14ac:dyDescent="0.2">
      <c r="B66" s="2" t="s">
        <v>150</v>
      </c>
      <c r="C66" s="2"/>
      <c r="D66" s="77">
        <v>10477.795</v>
      </c>
      <c r="E66" s="76">
        <f>E67</f>
        <v>11540</v>
      </c>
      <c r="F66" s="76">
        <f t="shared" ref="F66:I66" si="75">F67-(E67-E66)</f>
        <v>11540</v>
      </c>
      <c r="G66" s="76">
        <f t="shared" si="75"/>
        <v>11540</v>
      </c>
      <c r="H66" s="76">
        <f t="shared" si="75"/>
        <v>11540</v>
      </c>
      <c r="I66" s="76">
        <f t="shared" si="75"/>
        <v>11540</v>
      </c>
      <c r="J66" s="33"/>
      <c r="K66" s="2"/>
      <c r="L66" s="2"/>
      <c r="M66" s="53">
        <f>E66</f>
        <v>11540</v>
      </c>
      <c r="N66" s="53">
        <f>E66</f>
        <v>11540</v>
      </c>
    </row>
    <row r="67" spans="1:14" x14ac:dyDescent="0.2">
      <c r="B67" s="2" t="s">
        <v>151</v>
      </c>
      <c r="C67" s="2"/>
      <c r="D67" s="77">
        <f>D65</f>
        <v>11540</v>
      </c>
      <c r="E67" s="76">
        <f>D65</f>
        <v>11540</v>
      </c>
      <c r="F67" s="76">
        <f t="shared" ref="F67:I67" si="76">E65</f>
        <v>11540</v>
      </c>
      <c r="G67" s="76">
        <f t="shared" si="76"/>
        <v>11540</v>
      </c>
      <c r="H67" s="76">
        <f t="shared" si="76"/>
        <v>11540</v>
      </c>
      <c r="I67" s="76">
        <f t="shared" si="76"/>
        <v>11540</v>
      </c>
      <c r="J67" s="33"/>
      <c r="K67" s="2"/>
      <c r="L67" s="2"/>
      <c r="M67" s="53">
        <f>E67</f>
        <v>11540</v>
      </c>
      <c r="N67" s="53">
        <f>E67</f>
        <v>11540</v>
      </c>
    </row>
    <row r="68" spans="1:14" x14ac:dyDescent="0.2">
      <c r="B68" s="2"/>
      <c r="C68" s="2"/>
      <c r="D68" s="2"/>
      <c r="E68" s="33"/>
      <c r="F68" s="33"/>
      <c r="G68" s="33"/>
      <c r="H68" s="33"/>
      <c r="I68" s="33"/>
      <c r="J68" s="33"/>
      <c r="K68" s="2"/>
      <c r="L68" s="2"/>
      <c r="M68" s="33"/>
      <c r="N68" s="33"/>
    </row>
    <row r="69" spans="1:14" x14ac:dyDescent="0.2">
      <c r="B69" s="2" t="s">
        <v>152</v>
      </c>
      <c r="C69" s="2"/>
      <c r="D69" s="2"/>
      <c r="E69" s="78">
        <f>E72*E47</f>
        <v>4.6178094827048238E-2</v>
      </c>
      <c r="F69" s="78">
        <f t="shared" ref="F69:I69" si="77">F72*F47</f>
        <v>5.5605938683757447E-2</v>
      </c>
      <c r="G69" s="78">
        <f t="shared" si="77"/>
        <v>6.4517134232492057E-2</v>
      </c>
      <c r="H69" s="78">
        <f t="shared" si="77"/>
        <v>7.2934535861810978E-2</v>
      </c>
      <c r="I69" s="78">
        <f t="shared" si="77"/>
        <v>8.2216742582311972E-2</v>
      </c>
      <c r="J69" s="33"/>
      <c r="K69" s="2"/>
      <c r="L69" s="2"/>
      <c r="M69" s="78">
        <f>M72*M47</f>
        <v>2.5474605588868309E-2</v>
      </c>
      <c r="N69" s="58">
        <f>E69-M69</f>
        <v>2.0703489238179929E-2</v>
      </c>
    </row>
    <row r="70" spans="1:14" x14ac:dyDescent="0.2">
      <c r="B70" s="2" t="s">
        <v>153</v>
      </c>
      <c r="C70" s="2"/>
      <c r="D70" s="2"/>
      <c r="E70" s="47">
        <v>0</v>
      </c>
      <c r="F70" s="47">
        <v>0</v>
      </c>
      <c r="G70" s="47">
        <v>0</v>
      </c>
      <c r="H70" s="47">
        <v>0</v>
      </c>
      <c r="I70" s="47">
        <v>0</v>
      </c>
      <c r="J70" s="33"/>
      <c r="K70" s="2"/>
      <c r="L70" s="2"/>
      <c r="M70" s="47">
        <v>0</v>
      </c>
      <c r="N70" s="58">
        <f t="shared" ref="N70:N71" si="78">E70-M70</f>
        <v>0</v>
      </c>
    </row>
    <row r="71" spans="1:14" x14ac:dyDescent="0.2">
      <c r="A71" s="28" t="s">
        <v>264</v>
      </c>
      <c r="B71" s="3" t="s">
        <v>154</v>
      </c>
      <c r="C71" s="65"/>
      <c r="D71" s="65"/>
      <c r="E71" s="79">
        <f>SUM(E69:E70)</f>
        <v>4.6178094827048238E-2</v>
      </c>
      <c r="F71" s="79">
        <f t="shared" ref="F71:I71" si="79">SUM(F69:F70)</f>
        <v>5.5605938683757447E-2</v>
      </c>
      <c r="G71" s="79">
        <f t="shared" si="79"/>
        <v>6.4517134232492057E-2</v>
      </c>
      <c r="H71" s="79">
        <f t="shared" si="79"/>
        <v>7.2934535861810978E-2</v>
      </c>
      <c r="I71" s="79">
        <f t="shared" si="79"/>
        <v>8.2216742582311972E-2</v>
      </c>
      <c r="J71" s="33"/>
      <c r="K71" s="2"/>
      <c r="L71" s="2"/>
      <c r="M71" s="79">
        <f>SUM(M69:M70)</f>
        <v>2.5474605588868309E-2</v>
      </c>
      <c r="N71" s="87">
        <f t="shared" si="78"/>
        <v>2.0703489238179929E-2</v>
      </c>
    </row>
    <row r="72" spans="1:14" x14ac:dyDescent="0.2">
      <c r="A72" s="28" t="s">
        <v>285</v>
      </c>
      <c r="B72" s="2" t="s">
        <v>155</v>
      </c>
      <c r="C72" s="2"/>
      <c r="D72" s="2"/>
      <c r="E72" s="56">
        <v>0.7</v>
      </c>
      <c r="F72" s="56">
        <v>0.7</v>
      </c>
      <c r="G72" s="56">
        <v>0.7</v>
      </c>
      <c r="H72" s="56">
        <v>0.7</v>
      </c>
      <c r="I72" s="56">
        <v>0.7</v>
      </c>
      <c r="J72" s="33"/>
      <c r="K72" s="2"/>
      <c r="L72" s="2"/>
      <c r="M72" s="56">
        <v>0.7</v>
      </c>
      <c r="N72" s="85">
        <f>N71/N47</f>
        <v>0.70000000000000007</v>
      </c>
    </row>
    <row r="73" spans="1:14" x14ac:dyDescent="0.2">
      <c r="B73" s="2"/>
      <c r="C73" s="2"/>
      <c r="D73" s="2"/>
      <c r="E73" s="33"/>
      <c r="F73" s="33"/>
      <c r="G73" s="33"/>
      <c r="H73" s="33"/>
      <c r="I73" s="33"/>
      <c r="J73" s="33"/>
      <c r="K73" s="2"/>
      <c r="L73" s="2"/>
      <c r="M73" s="33"/>
      <c r="N73" s="33"/>
    </row>
    <row r="74" spans="1:14" x14ac:dyDescent="0.2">
      <c r="B74" s="17" t="s">
        <v>156</v>
      </c>
      <c r="C74" s="2"/>
      <c r="D74" s="2"/>
      <c r="E74" s="33"/>
      <c r="F74" s="33"/>
      <c r="G74" s="33"/>
      <c r="H74" s="33"/>
      <c r="I74" s="33"/>
      <c r="J74" s="33"/>
      <c r="K74" s="2"/>
      <c r="L74" s="2"/>
      <c r="M74" s="33"/>
      <c r="N74" s="33"/>
    </row>
    <row r="75" spans="1:14" x14ac:dyDescent="0.2">
      <c r="B75" s="5" t="s">
        <v>157</v>
      </c>
      <c r="C75" s="2"/>
      <c r="D75" s="70">
        <v>1</v>
      </c>
      <c r="E75" s="56">
        <v>1</v>
      </c>
      <c r="F75" s="56">
        <v>1</v>
      </c>
      <c r="G75" s="56">
        <v>1</v>
      </c>
      <c r="H75" s="56">
        <v>1</v>
      </c>
      <c r="I75" s="56">
        <v>1</v>
      </c>
      <c r="J75" s="33"/>
      <c r="K75" s="2"/>
      <c r="L75" s="2"/>
      <c r="M75" s="33"/>
      <c r="N75" s="33"/>
    </row>
    <row r="76" spans="1:14" x14ac:dyDescent="0.2">
      <c r="B76" s="5" t="s">
        <v>158</v>
      </c>
      <c r="C76" s="77">
        <v>161.63999999999999</v>
      </c>
      <c r="D76" s="77">
        <v>186.453</v>
      </c>
      <c r="E76" s="33"/>
      <c r="F76" s="33"/>
      <c r="G76" s="33"/>
      <c r="H76" s="33"/>
      <c r="I76" s="33"/>
      <c r="J76" s="33"/>
      <c r="K76" s="2"/>
      <c r="L76" s="2"/>
      <c r="M76" s="33"/>
      <c r="N76" s="33"/>
    </row>
  </sheetData>
  <pageMargins left="0.7" right="0.7" top="0.75" bottom="0.75" header="0.3" footer="0.3"/>
  <customProperties>
    <customPr name="Qube.Worksheet.Visibility" r:id="rId1"/>
    <customPr name="QXL_SHEET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69E1-DBD3-4191-819A-3BD992004B71}">
  <sheetPr>
    <tabColor theme="7" tint="0.59999389629810485"/>
  </sheetPr>
  <dimension ref="A1:I58"/>
  <sheetViews>
    <sheetView showGridLines="0" topLeftCell="B1" workbookViewId="0">
      <selection activeCell="B1" sqref="B1"/>
    </sheetView>
  </sheetViews>
  <sheetFormatPr defaultColWidth="9.140625" defaultRowHeight="12.75" outlineLevelCol="1" x14ac:dyDescent="0.2"/>
  <cols>
    <col min="1" max="1" width="21.5703125" style="28" hidden="1" customWidth="1" outlineLevel="1"/>
    <col min="2" max="2" width="75.28515625" style="29" customWidth="1" collapsed="1"/>
    <col min="3" max="9" width="14.7109375" style="29" customWidth="1"/>
    <col min="10" max="16384" width="9.140625" style="29"/>
  </cols>
  <sheetData>
    <row r="1" spans="1:9" x14ac:dyDescent="0.2">
      <c r="B1" s="128" t="str">
        <f>Model!B1</f>
        <v>Sigma Healthcare (SIG.AX)</v>
      </c>
      <c r="C1" s="6"/>
      <c r="D1" s="6"/>
      <c r="E1" s="6"/>
      <c r="F1" s="6"/>
      <c r="G1" s="6"/>
      <c r="H1" s="6"/>
      <c r="I1" s="6"/>
    </row>
    <row r="2" spans="1:9" x14ac:dyDescent="0.2">
      <c r="B2" s="128" t="str">
        <f>Model!B2</f>
        <v>A$M</v>
      </c>
      <c r="C2" s="6"/>
      <c r="D2" s="6"/>
      <c r="E2" s="6"/>
      <c r="F2" s="6"/>
      <c r="G2" s="6"/>
      <c r="H2" s="6"/>
      <c r="I2" s="6"/>
    </row>
    <row r="3" spans="1:9" x14ac:dyDescent="0.2">
      <c r="B3" s="11"/>
      <c r="C3" s="6" t="s">
        <v>18</v>
      </c>
      <c r="D3" s="6" t="s">
        <v>19</v>
      </c>
      <c r="E3" s="6" t="s">
        <v>20</v>
      </c>
      <c r="F3" s="6" t="s">
        <v>21</v>
      </c>
      <c r="G3" s="6" t="s">
        <v>87</v>
      </c>
      <c r="H3" s="6" t="s">
        <v>88</v>
      </c>
      <c r="I3" s="6" t="s">
        <v>89</v>
      </c>
    </row>
    <row r="4" spans="1:9" x14ac:dyDescent="0.2">
      <c r="B4" s="10" t="s">
        <v>166</v>
      </c>
      <c r="C4" s="6"/>
      <c r="D4" s="6"/>
      <c r="E4" s="6"/>
      <c r="F4" s="6"/>
      <c r="G4" s="6"/>
      <c r="H4" s="6"/>
      <c r="I4" s="6"/>
    </row>
    <row r="5" spans="1:9" x14ac:dyDescent="0.2">
      <c r="B5" s="17" t="s">
        <v>331</v>
      </c>
      <c r="C5" s="12"/>
      <c r="D5" s="12"/>
      <c r="E5" s="33"/>
      <c r="F5" s="33"/>
      <c r="G5" s="33"/>
      <c r="H5" s="33"/>
      <c r="I5" s="33"/>
    </row>
    <row r="6" spans="1:9" x14ac:dyDescent="0.2">
      <c r="A6" s="28" t="s">
        <v>12</v>
      </c>
      <c r="B6" s="5" t="s">
        <v>12</v>
      </c>
      <c r="C6" s="20">
        <f>VLOOKUP($A6,PL!$1:$1048576,MATCH(C$3,PL!$3:$3,0),FALSE)</f>
        <v>605.5</v>
      </c>
      <c r="D6" s="20">
        <f>VLOOKUP($A6,PL!$1:$1048576,MATCH(D$3,PL!$3:$3,0),FALSE)</f>
        <v>903.4</v>
      </c>
      <c r="E6" s="54">
        <f>VLOOKUP($A6,PL!$1:$1048576,MATCH(E$3,PL!$3:$3,0),FALSE)</f>
        <v>1133.2179422797908</v>
      </c>
      <c r="F6" s="54">
        <f>VLOOKUP($A6,PL!$1:$1048576,MATCH(F$3,PL!$3:$3,0),FALSE)</f>
        <v>1352.8845979641515</v>
      </c>
      <c r="G6" s="54">
        <f>VLOOKUP($A6,PL!$1:$1048576,MATCH(G$3,PL!$3:$3,0),FALSE)</f>
        <v>1557.9031389041961</v>
      </c>
      <c r="H6" s="54">
        <f>VLOOKUP($A6,PL!$1:$1048576,MATCH(H$3,PL!$3:$3,0),FALSE)</f>
        <v>1758.1846314336988</v>
      </c>
      <c r="I6" s="54">
        <f>VLOOKUP($A6,PL!$1:$1048576,MATCH(I$3,PL!$3:$3,0),FALSE)</f>
        <v>1978.570923017189</v>
      </c>
    </row>
    <row r="7" spans="1:9" x14ac:dyDescent="0.2">
      <c r="A7" s="28" t="s">
        <v>11</v>
      </c>
      <c r="B7" s="5" t="s">
        <v>161</v>
      </c>
      <c r="C7" s="20">
        <f>-VLOOKUP($A7,PL!$1:$1048576,MATCH(C$3,PL!$3:$3,0),FALSE)</f>
        <v>69.600000000000023</v>
      </c>
      <c r="D7" s="20">
        <f>-VLOOKUP($A7,PL!$1:$1048576,MATCH(D$3,PL!$3:$3,0),FALSE)</f>
        <v>65.099999999999994</v>
      </c>
      <c r="E7" s="54">
        <f>-VLOOKUP($A7,PL!$1:$1048576,MATCH(E$3,PL!$3:$3,0),FALSE)</f>
        <v>68.355000000000004</v>
      </c>
      <c r="F7" s="54">
        <f>-VLOOKUP($A7,PL!$1:$1048576,MATCH(F$3,PL!$3:$3,0),FALSE)</f>
        <v>71.772750000000002</v>
      </c>
      <c r="G7" s="54">
        <f>-VLOOKUP($A7,PL!$1:$1048576,MATCH(G$3,PL!$3:$3,0),FALSE)</f>
        <v>75.361387500000006</v>
      </c>
      <c r="H7" s="54">
        <f>-VLOOKUP($A7,PL!$1:$1048576,MATCH(H$3,PL!$3:$3,0),FALSE)</f>
        <v>79.129456875000017</v>
      </c>
      <c r="I7" s="54">
        <f>-VLOOKUP($A7,PL!$1:$1048576,MATCH(I$3,PL!$3:$3,0),FALSE)</f>
        <v>83.085929718750023</v>
      </c>
    </row>
    <row r="8" spans="1:9" x14ac:dyDescent="0.2">
      <c r="A8" s="28" t="s">
        <v>183</v>
      </c>
      <c r="B8" s="5" t="s">
        <v>162</v>
      </c>
      <c r="C8" s="20">
        <f>VLOOKUP($A8,BS!$1:$1048576,MATCH(C$3,BS!$3:$3,0),FALSE)</f>
        <v>0</v>
      </c>
      <c r="D8" s="20">
        <f>VLOOKUP($A8,BS!$1:$1048576,MATCH(D$3,BS!$3:$3,0),FALSE)</f>
        <v>-722.21999999999969</v>
      </c>
      <c r="E8" s="228">
        <f>VLOOKUP($A8,BS!$1:$1048576,MATCH(E$3,BS!$3:$3,0),FALSE)</f>
        <v>-89.661210597610079</v>
      </c>
      <c r="F8" s="228">
        <f>VLOOKUP($A8,BS!$1:$1048576,MATCH(F$3,BS!$3:$3,0),FALSE)</f>
        <v>-32.014300934568382</v>
      </c>
      <c r="G8" s="228">
        <f>VLOOKUP($A8,BS!$1:$1048576,MATCH(G$3,BS!$3:$3,0),FALSE)</f>
        <v>-46.141236799300032</v>
      </c>
      <c r="H8" s="228">
        <f>VLOOKUP($A8,BS!$1:$1048576,MATCH(H$3,BS!$3:$3,0),FALSE)</f>
        <v>-40.287066480413841</v>
      </c>
      <c r="I8" s="228">
        <f>VLOOKUP($A8,BS!$1:$1048576,MATCH(I$3,BS!$3:$3,0),FALSE)</f>
        <v>-35.309846637790088</v>
      </c>
    </row>
    <row r="9" spans="1:9" x14ac:dyDescent="0.2">
      <c r="A9" s="28" t="s">
        <v>15</v>
      </c>
      <c r="B9" s="5" t="s">
        <v>163</v>
      </c>
      <c r="C9" s="20">
        <f>VLOOKUP($A9,PL!$1:$1048576,MATCH(C$3,PL!$3:$3,0),FALSE)</f>
        <v>-170.6</v>
      </c>
      <c r="D9" s="20">
        <f>VLOOKUP($A9,PL!$1:$1048576,MATCH(D$3,PL!$3:$3,0),FALSE)</f>
        <v>-254.99699999999996</v>
      </c>
      <c r="E9" s="228">
        <f>VLOOKUP($A9,PL!$1:$1048576,MATCH(E$3,PL!$3:$3,0),FALSE)</f>
        <v>-314.13320326113933</v>
      </c>
      <c r="F9" s="228">
        <f>VLOOKUP($A9,PL!$1:$1048576,MATCH(F$3,PL!$3:$3,0),FALSE)</f>
        <v>-378.9965334096039</v>
      </c>
      <c r="G9" s="228">
        <f>VLOOKUP($A9,PL!$1:$1048576,MATCH(G$3,PL!$3:$3,0),FALSE)</f>
        <v>-440.19191028221684</v>
      </c>
      <c r="H9" s="228">
        <f>VLOOKUP($A9,PL!$1:$1048576,MATCH(H$3,PL!$3:$3,0),FALSE)</f>
        <v>-498.27354311577261</v>
      </c>
      <c r="I9" s="228">
        <f>VLOOKUP($A9,PL!$1:$1048576,MATCH(I$3,PL!$3:$3,0),FALSE)</f>
        <v>-562.18556767498478</v>
      </c>
    </row>
    <row r="10" spans="1:9" x14ac:dyDescent="0.2">
      <c r="A10" s="28" t="s">
        <v>164</v>
      </c>
      <c r="B10" s="5" t="s">
        <v>164</v>
      </c>
      <c r="C10" s="20">
        <f>VLOOKUP($A10,PL!$1:$1048576,MATCH(C$3,PL!$3:$3,0),FALSE)</f>
        <v>-7.415</v>
      </c>
      <c r="D10" s="20">
        <f>VLOOKUP($A10,PL!$1:$1048576,MATCH(D$3,PL!$3:$3,0),FALSE)</f>
        <v>-24.1</v>
      </c>
      <c r="E10" s="228">
        <f>VLOOKUP($A10,PL!$1:$1048576,MATCH(E$3,PL!$3:$3,0),FALSE)</f>
        <v>-50</v>
      </c>
      <c r="F10" s="228">
        <f>VLOOKUP($A10,PL!$1:$1048576,MATCH(F$3,PL!$3:$3,0),FALSE)</f>
        <v>-46</v>
      </c>
      <c r="G10" s="228">
        <f>VLOOKUP($A10,PL!$1:$1048576,MATCH(G$3,PL!$3:$3,0),FALSE)</f>
        <v>-40</v>
      </c>
      <c r="H10" s="228">
        <f>VLOOKUP($A10,PL!$1:$1048576,MATCH(H$3,PL!$3:$3,0),FALSE)</f>
        <v>-40</v>
      </c>
      <c r="I10" s="228">
        <f>VLOOKUP($A10,PL!$1:$1048576,MATCH(I$3,PL!$3:$3,0),FALSE)</f>
        <v>-40</v>
      </c>
    </row>
    <row r="11" spans="1:9" x14ac:dyDescent="0.2">
      <c r="A11" s="28" t="s">
        <v>5</v>
      </c>
      <c r="B11" s="5" t="s">
        <v>5</v>
      </c>
      <c r="C11" s="12"/>
      <c r="D11" s="20">
        <f>D12-SUM(D6:D10)</f>
        <v>631.64499999999987</v>
      </c>
      <c r="E11" s="228">
        <f>PL!E40</f>
        <v>-7.1</v>
      </c>
      <c r="F11" s="228">
        <f>PL!F40</f>
        <v>-21.3</v>
      </c>
      <c r="G11" s="228">
        <f>PL!G40</f>
        <v>-21.3</v>
      </c>
      <c r="H11" s="228">
        <f>PL!H40</f>
        <v>-21.3</v>
      </c>
      <c r="I11" s="228">
        <f>PL!I40</f>
        <v>0</v>
      </c>
    </row>
    <row r="12" spans="1:9" x14ac:dyDescent="0.2">
      <c r="A12" s="28" t="s">
        <v>184</v>
      </c>
      <c r="B12" s="1" t="s">
        <v>165</v>
      </c>
      <c r="C12" s="7">
        <f>C20</f>
        <v>273.17700000000013</v>
      </c>
      <c r="D12" s="7">
        <f>D20</f>
        <v>598.8280000000002</v>
      </c>
      <c r="E12" s="7">
        <f>SUM(E6:E11)</f>
        <v>740.67852842104139</v>
      </c>
      <c r="F12" s="7">
        <f t="shared" ref="F12:I12" si="0">SUM(F6:F11)</f>
        <v>946.34651361997931</v>
      </c>
      <c r="G12" s="7">
        <f t="shared" si="0"/>
        <v>1085.6313793226793</v>
      </c>
      <c r="H12" s="7">
        <f t="shared" si="0"/>
        <v>1237.4534787125124</v>
      </c>
      <c r="I12" s="7">
        <f t="shared" si="0"/>
        <v>1424.1614384231643</v>
      </c>
    </row>
    <row r="13" spans="1:9" x14ac:dyDescent="0.2">
      <c r="B13" s="5"/>
      <c r="C13" s="12"/>
      <c r="D13" s="12"/>
      <c r="E13" s="33"/>
      <c r="F13" s="33"/>
      <c r="G13" s="33"/>
      <c r="H13" s="33"/>
      <c r="I13" s="33"/>
    </row>
    <row r="14" spans="1:9" x14ac:dyDescent="0.2">
      <c r="B14" s="5" t="s">
        <v>46</v>
      </c>
      <c r="C14" s="12">
        <v>3291.3240000000001</v>
      </c>
      <c r="D14" s="12">
        <v>6448.08</v>
      </c>
      <c r="E14" s="33"/>
      <c r="F14" s="33"/>
      <c r="G14" s="33"/>
      <c r="H14" s="33"/>
      <c r="I14" s="33"/>
    </row>
    <row r="15" spans="1:9" x14ac:dyDescent="0.2">
      <c r="B15" s="5" t="s">
        <v>47</v>
      </c>
      <c r="C15" s="12">
        <v>-2928.7429999999999</v>
      </c>
      <c r="D15" s="12">
        <v>-5731.4139999999998</v>
      </c>
      <c r="E15" s="33"/>
      <c r="F15" s="33"/>
      <c r="G15" s="33"/>
      <c r="H15" s="33"/>
      <c r="I15" s="33"/>
    </row>
    <row r="16" spans="1:9" x14ac:dyDescent="0.2">
      <c r="B16" s="5" t="s">
        <v>48</v>
      </c>
      <c r="C16" s="12">
        <v>-64.227000000000004</v>
      </c>
      <c r="D16" s="12">
        <v>-91.715000000000003</v>
      </c>
      <c r="E16" s="33"/>
      <c r="F16" s="33"/>
      <c r="G16" s="33"/>
      <c r="H16" s="33"/>
      <c r="I16" s="33"/>
    </row>
    <row r="17" spans="1:9" x14ac:dyDescent="0.2">
      <c r="B17" s="5" t="s">
        <v>49</v>
      </c>
      <c r="C17" s="12">
        <v>56.811999999999998</v>
      </c>
      <c r="D17" s="12">
        <v>67.566000000000003</v>
      </c>
      <c r="E17" s="33"/>
      <c r="F17" s="33"/>
      <c r="G17" s="33"/>
      <c r="H17" s="33"/>
      <c r="I17" s="33"/>
    </row>
    <row r="18" spans="1:9" x14ac:dyDescent="0.2">
      <c r="B18" s="5" t="s">
        <v>50</v>
      </c>
      <c r="C18" s="12">
        <v>-81.989000000000004</v>
      </c>
      <c r="D18" s="12">
        <v>-93.688999999999993</v>
      </c>
      <c r="E18" s="33"/>
      <c r="F18" s="33"/>
      <c r="G18" s="33"/>
      <c r="H18" s="33"/>
      <c r="I18" s="33"/>
    </row>
    <row r="19" spans="1:9" x14ac:dyDescent="0.2">
      <c r="B19" s="5"/>
      <c r="C19" s="12"/>
      <c r="D19" s="12"/>
      <c r="E19" s="33"/>
      <c r="F19" s="33"/>
      <c r="G19" s="33"/>
      <c r="H19" s="33"/>
      <c r="I19" s="33"/>
    </row>
    <row r="20" spans="1:9" x14ac:dyDescent="0.2">
      <c r="B20" s="1" t="s">
        <v>332</v>
      </c>
      <c r="C20" s="7">
        <f>SUM(C14:C18)</f>
        <v>273.17700000000013</v>
      </c>
      <c r="D20" s="7">
        <f>SUM(D14:D18)</f>
        <v>598.8280000000002</v>
      </c>
      <c r="E20" s="7">
        <f>E12</f>
        <v>740.67852842104139</v>
      </c>
      <c r="F20" s="7">
        <f>F12</f>
        <v>946.34651361997931</v>
      </c>
      <c r="G20" s="7">
        <f>G12</f>
        <v>1085.6313793226793</v>
      </c>
      <c r="H20" s="7">
        <f>H12</f>
        <v>1237.4534787125124</v>
      </c>
      <c r="I20" s="7">
        <f>I12</f>
        <v>1424.1614384231643</v>
      </c>
    </row>
    <row r="21" spans="1:9" x14ac:dyDescent="0.2">
      <c r="B21" s="5"/>
      <c r="C21" s="12"/>
      <c r="D21" s="12"/>
      <c r="E21" s="54"/>
      <c r="F21" s="54"/>
      <c r="G21" s="54"/>
      <c r="H21" s="54"/>
      <c r="I21" s="54"/>
    </row>
    <row r="22" spans="1:9" x14ac:dyDescent="0.2">
      <c r="A22" s="28" t="s">
        <v>185</v>
      </c>
      <c r="B22" s="5" t="s">
        <v>51</v>
      </c>
      <c r="C22" s="12">
        <v>-32.838000000000001</v>
      </c>
      <c r="D22" s="12">
        <v>-52.561999999999998</v>
      </c>
      <c r="E22" s="47">
        <v>-60</v>
      </c>
      <c r="F22" s="47">
        <v>-65</v>
      </c>
      <c r="G22" s="47">
        <v>-70</v>
      </c>
      <c r="H22" s="47">
        <v>-75</v>
      </c>
      <c r="I22" s="47">
        <v>-80</v>
      </c>
    </row>
    <row r="23" spans="1:9" x14ac:dyDescent="0.2">
      <c r="B23" s="5" t="s">
        <v>52</v>
      </c>
      <c r="C23" s="12">
        <v>-2.8740000000000001</v>
      </c>
      <c r="D23" s="12">
        <v>0</v>
      </c>
      <c r="E23" s="47">
        <v>0</v>
      </c>
      <c r="F23" s="47">
        <v>0</v>
      </c>
      <c r="G23" s="47">
        <v>0</v>
      </c>
      <c r="H23" s="47">
        <v>0</v>
      </c>
      <c r="I23" s="47">
        <v>0</v>
      </c>
    </row>
    <row r="24" spans="1:9" x14ac:dyDescent="0.2">
      <c r="B24" s="5" t="s">
        <v>53</v>
      </c>
      <c r="C24" s="12">
        <v>0</v>
      </c>
      <c r="D24" s="12">
        <v>-2.762</v>
      </c>
      <c r="E24" s="47">
        <v>0</v>
      </c>
      <c r="F24" s="47">
        <v>0</v>
      </c>
      <c r="G24" s="47">
        <v>0</v>
      </c>
      <c r="H24" s="47">
        <v>0</v>
      </c>
      <c r="I24" s="47">
        <v>0</v>
      </c>
    </row>
    <row r="25" spans="1:9" x14ac:dyDescent="0.2">
      <c r="B25" s="5" t="s">
        <v>60</v>
      </c>
      <c r="C25" s="12">
        <v>0</v>
      </c>
      <c r="D25" s="12">
        <v>158.35900000000001</v>
      </c>
      <c r="E25" s="47">
        <v>0</v>
      </c>
      <c r="F25" s="47">
        <v>0</v>
      </c>
      <c r="G25" s="47">
        <v>0</v>
      </c>
      <c r="H25" s="47">
        <v>0</v>
      </c>
      <c r="I25" s="47">
        <v>0</v>
      </c>
    </row>
    <row r="26" spans="1:9" x14ac:dyDescent="0.2">
      <c r="B26" s="5" t="s">
        <v>54</v>
      </c>
      <c r="C26" s="12">
        <v>0</v>
      </c>
      <c r="D26" s="12">
        <v>-3.988</v>
      </c>
      <c r="E26" s="47">
        <v>0</v>
      </c>
      <c r="F26" s="47">
        <v>0</v>
      </c>
      <c r="G26" s="47">
        <v>0</v>
      </c>
      <c r="H26" s="47">
        <v>0</v>
      </c>
      <c r="I26" s="47">
        <v>0</v>
      </c>
    </row>
    <row r="27" spans="1:9" x14ac:dyDescent="0.2">
      <c r="B27" s="5" t="s">
        <v>55</v>
      </c>
      <c r="C27" s="12">
        <v>-8.5</v>
      </c>
      <c r="D27" s="12">
        <v>-5</v>
      </c>
      <c r="E27" s="47">
        <v>0</v>
      </c>
      <c r="F27" s="47">
        <v>0</v>
      </c>
      <c r="G27" s="47">
        <v>0</v>
      </c>
      <c r="H27" s="47">
        <v>0</v>
      </c>
      <c r="I27" s="47">
        <v>0</v>
      </c>
    </row>
    <row r="28" spans="1:9" x14ac:dyDescent="0.2">
      <c r="B28" s="5" t="s">
        <v>56</v>
      </c>
      <c r="C28" s="12">
        <v>-10.071999999999999</v>
      </c>
      <c r="D28" s="12">
        <v>-26.946000000000002</v>
      </c>
      <c r="E28" s="174">
        <f>D28</f>
        <v>-26.946000000000002</v>
      </c>
      <c r="F28" s="174">
        <f t="shared" ref="F28" si="1">E28</f>
        <v>-26.946000000000002</v>
      </c>
      <c r="G28" s="174">
        <f t="shared" ref="G28:I28" si="2">F28</f>
        <v>-26.946000000000002</v>
      </c>
      <c r="H28" s="174">
        <f t="shared" si="2"/>
        <v>-26.946000000000002</v>
      </c>
      <c r="I28" s="174">
        <f t="shared" si="2"/>
        <v>-26.946000000000002</v>
      </c>
    </row>
    <row r="29" spans="1:9" x14ac:dyDescent="0.2">
      <c r="B29" s="5" t="s">
        <v>70</v>
      </c>
      <c r="C29" s="12">
        <v>0</v>
      </c>
      <c r="D29" s="12">
        <v>15.795</v>
      </c>
      <c r="E29" s="174">
        <f>D29</f>
        <v>15.795</v>
      </c>
      <c r="F29" s="174">
        <f t="shared" ref="F29" si="3">E29</f>
        <v>15.795</v>
      </c>
      <c r="G29" s="174">
        <f t="shared" ref="G29:I29" si="4">F29</f>
        <v>15.795</v>
      </c>
      <c r="H29" s="174">
        <f t="shared" si="4"/>
        <v>15.795</v>
      </c>
      <c r="I29" s="174">
        <f t="shared" si="4"/>
        <v>15.795</v>
      </c>
    </row>
    <row r="30" spans="1:9" x14ac:dyDescent="0.2">
      <c r="A30" s="28" t="s">
        <v>187</v>
      </c>
      <c r="B30" s="5" t="s">
        <v>57</v>
      </c>
      <c r="C30" s="12">
        <v>3.9740000000000002</v>
      </c>
      <c r="D30" s="12">
        <v>55.756</v>
      </c>
      <c r="E30" s="47">
        <v>0</v>
      </c>
      <c r="F30" s="47">
        <v>0</v>
      </c>
      <c r="G30" s="47">
        <v>0</v>
      </c>
      <c r="H30" s="47">
        <v>0</v>
      </c>
      <c r="I30" s="47">
        <v>0</v>
      </c>
    </row>
    <row r="31" spans="1:9" x14ac:dyDescent="0.2">
      <c r="B31" s="5" t="s">
        <v>58</v>
      </c>
      <c r="C31" s="12">
        <v>0.121</v>
      </c>
      <c r="D31" s="12">
        <v>0.153</v>
      </c>
      <c r="E31" s="47">
        <v>0</v>
      </c>
      <c r="F31" s="47">
        <v>0</v>
      </c>
      <c r="G31" s="47">
        <v>0</v>
      </c>
      <c r="H31" s="47">
        <v>0</v>
      </c>
      <c r="I31" s="47">
        <v>0</v>
      </c>
    </row>
    <row r="32" spans="1:9" x14ac:dyDescent="0.2">
      <c r="A32" s="28" t="s">
        <v>414</v>
      </c>
      <c r="B32" s="5" t="s">
        <v>59</v>
      </c>
      <c r="C32" s="12">
        <v>109.47799999999999</v>
      </c>
      <c r="D32" s="12">
        <v>127.661</v>
      </c>
      <c r="E32" s="54">
        <f>D32*(1+Model!Y$16)</f>
        <v>135.42672848664688</v>
      </c>
      <c r="F32" s="54">
        <f>E32*(1+Model!Z$16)</f>
        <v>140.54074480712165</v>
      </c>
      <c r="G32" s="54">
        <f>F32*(1+Model!AA$16)</f>
        <v>147.54884124629081</v>
      </c>
      <c r="H32" s="54">
        <f>G32*(1+Model!AB$16)</f>
        <v>154.55693768545996</v>
      </c>
      <c r="I32" s="54">
        <f>H32*(1+Model!AC$16)</f>
        <v>161.75444213649854</v>
      </c>
    </row>
    <row r="33" spans="1:9" x14ac:dyDescent="0.2">
      <c r="B33" s="5"/>
      <c r="C33" s="12"/>
      <c r="D33" s="12"/>
      <c r="E33" s="54"/>
      <c r="F33" s="54"/>
      <c r="G33" s="54"/>
      <c r="H33" s="54"/>
      <c r="I33" s="54"/>
    </row>
    <row r="34" spans="1:9" x14ac:dyDescent="0.2">
      <c r="B34" s="1" t="s">
        <v>333</v>
      </c>
      <c r="C34" s="7">
        <f>SUM(C22:C32)</f>
        <v>59.288999999999994</v>
      </c>
      <c r="D34" s="7">
        <f>SUM(D22:D32)</f>
        <v>266.46600000000001</v>
      </c>
      <c r="E34" s="7">
        <f>SUM(E22:E32)</f>
        <v>64.275728486646884</v>
      </c>
      <c r="F34" s="7">
        <f t="shared" ref="F34:I34" si="5">SUM(F22:F32)</f>
        <v>64.389744807121659</v>
      </c>
      <c r="G34" s="7">
        <f t="shared" si="5"/>
        <v>66.39784124629081</v>
      </c>
      <c r="H34" s="7">
        <f t="shared" si="5"/>
        <v>68.405937685459961</v>
      </c>
      <c r="I34" s="7">
        <f t="shared" si="5"/>
        <v>70.603442136498543</v>
      </c>
    </row>
    <row r="35" spans="1:9" x14ac:dyDescent="0.2">
      <c r="B35" s="5"/>
      <c r="C35" s="12"/>
      <c r="D35" s="12"/>
      <c r="E35" s="47"/>
      <c r="F35" s="47"/>
      <c r="G35" s="47"/>
      <c r="H35" s="47"/>
      <c r="I35" s="47"/>
    </row>
    <row r="36" spans="1:9" x14ac:dyDescent="0.2">
      <c r="B36" s="5" t="s">
        <v>61</v>
      </c>
      <c r="C36" s="12">
        <v>0</v>
      </c>
      <c r="D36" s="12">
        <v>7.1820000000000004</v>
      </c>
      <c r="E36" s="47">
        <v>0</v>
      </c>
      <c r="F36" s="47">
        <v>0</v>
      </c>
      <c r="G36" s="47">
        <v>0</v>
      </c>
      <c r="H36" s="47">
        <v>0</v>
      </c>
      <c r="I36" s="47">
        <v>0</v>
      </c>
    </row>
    <row r="37" spans="1:9" x14ac:dyDescent="0.2">
      <c r="B37" s="5" t="s">
        <v>69</v>
      </c>
      <c r="C37" s="12">
        <v>0</v>
      </c>
      <c r="D37" s="12">
        <v>-6.4160000000000004</v>
      </c>
      <c r="E37" s="47">
        <v>0</v>
      </c>
      <c r="F37" s="47">
        <v>0</v>
      </c>
      <c r="G37" s="47">
        <v>0</v>
      </c>
      <c r="H37" s="47">
        <v>0</v>
      </c>
      <c r="I37" s="47">
        <v>0</v>
      </c>
    </row>
    <row r="38" spans="1:9" x14ac:dyDescent="0.2">
      <c r="B38" s="5" t="s">
        <v>62</v>
      </c>
      <c r="C38" s="12">
        <v>-778.03899999999999</v>
      </c>
      <c r="D38" s="12">
        <v>-2678.9160000000002</v>
      </c>
      <c r="E38" s="47">
        <v>0</v>
      </c>
      <c r="F38" s="47">
        <v>0</v>
      </c>
      <c r="G38" s="47">
        <v>0</v>
      </c>
      <c r="H38" s="47">
        <v>0</v>
      </c>
      <c r="I38" s="47">
        <v>0</v>
      </c>
    </row>
    <row r="39" spans="1:9" x14ac:dyDescent="0.2">
      <c r="B39" s="5" t="s">
        <v>63</v>
      </c>
      <c r="C39" s="12">
        <v>855.91899999999998</v>
      </c>
      <c r="D39" s="12">
        <v>3002.8029999999999</v>
      </c>
      <c r="E39" s="47">
        <v>0</v>
      </c>
      <c r="F39" s="47">
        <v>0</v>
      </c>
      <c r="G39" s="47">
        <v>0</v>
      </c>
      <c r="H39" s="47">
        <v>0</v>
      </c>
      <c r="I39" s="47">
        <v>0</v>
      </c>
    </row>
    <row r="40" spans="1:9" x14ac:dyDescent="0.2">
      <c r="A40" s="28" t="s">
        <v>186</v>
      </c>
      <c r="B40" s="5" t="s">
        <v>64</v>
      </c>
      <c r="C40" s="12">
        <v>-124.95699999999999</v>
      </c>
      <c r="D40" s="12">
        <v>-139.78399999999999</v>
      </c>
      <c r="E40" s="230">
        <f>D40*(1+Model!Y$16)</f>
        <v>-148.28718100890205</v>
      </c>
      <c r="F40" s="230">
        <f>E40*(1+Model!Z$16)</f>
        <v>-153.88683679525221</v>
      </c>
      <c r="G40" s="230">
        <f>F40*(1+Model!AA$16)</f>
        <v>-161.56043916913944</v>
      </c>
      <c r="H40" s="230">
        <f>G40*(1+Model!AB$16)</f>
        <v>-169.23404154302671</v>
      </c>
      <c r="I40" s="230">
        <f>H40*(1+Model!AC$16)</f>
        <v>-177.11503857566765</v>
      </c>
    </row>
    <row r="41" spans="1:9" x14ac:dyDescent="0.2">
      <c r="A41" s="28" t="s">
        <v>417</v>
      </c>
      <c r="B41" s="5" t="s">
        <v>65</v>
      </c>
      <c r="C41" s="12">
        <v>-217.70099999999999</v>
      </c>
      <c r="D41" s="12">
        <v>-486.036</v>
      </c>
      <c r="E41" s="230">
        <f>PL!E71*-PL!E45</f>
        <v>-532.89521430413663</v>
      </c>
      <c r="F41" s="230">
        <f>PL!F71*-PL!F45</f>
        <v>-641.69253241056094</v>
      </c>
      <c r="G41" s="230">
        <f>PL!G71*-PL!G45</f>
        <v>-744.5277290429583</v>
      </c>
      <c r="H41" s="230">
        <f>PL!H71*-PL!H45</f>
        <v>-841.66454384529868</v>
      </c>
      <c r="I41" s="230">
        <f>PL!I71*-PL!I45</f>
        <v>-948.78120939988014</v>
      </c>
    </row>
    <row r="42" spans="1:9" x14ac:dyDescent="0.2">
      <c r="B42" s="5" t="s">
        <v>66</v>
      </c>
      <c r="C42" s="12">
        <v>0</v>
      </c>
      <c r="D42" s="12">
        <v>-700</v>
      </c>
      <c r="E42" s="47">
        <v>0</v>
      </c>
      <c r="F42" s="47">
        <v>0</v>
      </c>
      <c r="G42" s="47">
        <v>0</v>
      </c>
      <c r="H42" s="47">
        <v>0</v>
      </c>
      <c r="I42" s="47">
        <v>0</v>
      </c>
    </row>
    <row r="43" spans="1:9" x14ac:dyDescent="0.2">
      <c r="B43" s="5" t="s">
        <v>67</v>
      </c>
      <c r="C43" s="12">
        <v>-0.41</v>
      </c>
      <c r="D43" s="12">
        <v>0</v>
      </c>
      <c r="E43" s="47">
        <v>0</v>
      </c>
      <c r="F43" s="47">
        <v>0</v>
      </c>
      <c r="G43" s="47">
        <v>0</v>
      </c>
      <c r="H43" s="47">
        <v>0</v>
      </c>
      <c r="I43" s="47">
        <v>0</v>
      </c>
    </row>
    <row r="44" spans="1:9" x14ac:dyDescent="0.2">
      <c r="B44" s="5" t="s">
        <v>68</v>
      </c>
      <c r="C44" s="12">
        <v>0</v>
      </c>
      <c r="D44" s="12">
        <v>4.2000000000000003E-2</v>
      </c>
      <c r="E44" s="47">
        <v>0</v>
      </c>
      <c r="F44" s="47">
        <v>0</v>
      </c>
      <c r="G44" s="47">
        <v>0</v>
      </c>
      <c r="H44" s="47">
        <v>0</v>
      </c>
      <c r="I44" s="47">
        <v>0</v>
      </c>
    </row>
    <row r="45" spans="1:9" x14ac:dyDescent="0.2">
      <c r="B45" s="5"/>
      <c r="C45" s="12"/>
      <c r="D45" s="12"/>
      <c r="E45" s="47"/>
      <c r="F45" s="47"/>
      <c r="G45" s="47"/>
      <c r="H45" s="47"/>
      <c r="I45" s="47"/>
    </row>
    <row r="46" spans="1:9" x14ac:dyDescent="0.2">
      <c r="B46" s="1" t="s">
        <v>334</v>
      </c>
      <c r="C46" s="7">
        <f>SUM(C36:C44)</f>
        <v>-265.18800000000005</v>
      </c>
      <c r="D46" s="7">
        <f>SUM(D36:D44)</f>
        <v>-1001.1250000000001</v>
      </c>
      <c r="E46" s="7">
        <f>SUM(E36:E44)</f>
        <v>-681.18239531303868</v>
      </c>
      <c r="F46" s="7">
        <f t="shared" ref="F46:I46" si="6">SUM(F36:F44)</f>
        <v>-795.57936920581312</v>
      </c>
      <c r="G46" s="7">
        <f t="shared" si="6"/>
        <v>-906.0881682120978</v>
      </c>
      <c r="H46" s="7">
        <f t="shared" si="6"/>
        <v>-1010.8985853883254</v>
      </c>
      <c r="I46" s="7">
        <f t="shared" si="6"/>
        <v>-1125.8962479755478</v>
      </c>
    </row>
    <row r="47" spans="1:9" x14ac:dyDescent="0.2">
      <c r="B47" s="5"/>
      <c r="C47" s="12"/>
      <c r="D47" s="12"/>
      <c r="E47" s="33"/>
      <c r="F47" s="33"/>
      <c r="G47" s="33"/>
      <c r="H47" s="33"/>
      <c r="I47" s="33"/>
    </row>
    <row r="48" spans="1:9" x14ac:dyDescent="0.2">
      <c r="B48" s="1" t="s">
        <v>335</v>
      </c>
      <c r="C48" s="7">
        <v>206.64699999999999</v>
      </c>
      <c r="D48" s="7">
        <v>273.12400000000002</v>
      </c>
      <c r="E48" s="7">
        <f>D51</f>
        <v>138.77400000000011</v>
      </c>
      <c r="F48" s="7">
        <f>E51</f>
        <v>262.54586159464975</v>
      </c>
      <c r="G48" s="7">
        <f t="shared" ref="G48:I48" si="7">F51</f>
        <v>477.70275081593763</v>
      </c>
      <c r="H48" s="7">
        <f t="shared" si="7"/>
        <v>723.64380317281007</v>
      </c>
      <c r="I48" s="7">
        <f t="shared" si="7"/>
        <v>1018.6046341824571</v>
      </c>
    </row>
    <row r="49" spans="1:9" x14ac:dyDescent="0.2">
      <c r="B49" s="5" t="s">
        <v>336</v>
      </c>
      <c r="C49" s="20">
        <f t="shared" ref="C49:I49" si="8">C12+C34+C46</f>
        <v>67.278000000000077</v>
      </c>
      <c r="D49" s="20">
        <f t="shared" si="8"/>
        <v>-135.8309999999999</v>
      </c>
      <c r="E49" s="13">
        <f t="shared" si="8"/>
        <v>123.77186159464964</v>
      </c>
      <c r="F49" s="13">
        <f t="shared" si="8"/>
        <v>215.15688922128788</v>
      </c>
      <c r="G49" s="13">
        <f t="shared" si="8"/>
        <v>245.94105235687243</v>
      </c>
      <c r="H49" s="13">
        <f t="shared" si="8"/>
        <v>294.96083100964699</v>
      </c>
      <c r="I49" s="13">
        <f t="shared" si="8"/>
        <v>368.86863258411518</v>
      </c>
    </row>
    <row r="50" spans="1:9" x14ac:dyDescent="0.2">
      <c r="B50" s="5" t="s">
        <v>71</v>
      </c>
      <c r="C50" s="12">
        <v>-0.80100000000000005</v>
      </c>
      <c r="D50" s="12">
        <v>1.4810000000000001</v>
      </c>
      <c r="E50" s="47">
        <v>0</v>
      </c>
      <c r="F50" s="47">
        <v>0</v>
      </c>
      <c r="G50" s="47">
        <v>0</v>
      </c>
      <c r="H50" s="47">
        <v>0</v>
      </c>
      <c r="I50" s="47">
        <v>0</v>
      </c>
    </row>
    <row r="51" spans="1:9" x14ac:dyDescent="0.2">
      <c r="B51" s="1" t="s">
        <v>72</v>
      </c>
      <c r="C51" s="7">
        <f t="shared" ref="C51:I51" si="9">SUM(C48:C50)</f>
        <v>273.12400000000008</v>
      </c>
      <c r="D51" s="7">
        <f t="shared" si="9"/>
        <v>138.77400000000011</v>
      </c>
      <c r="E51" s="7">
        <f t="shared" si="9"/>
        <v>262.54586159464975</v>
      </c>
      <c r="F51" s="7">
        <f t="shared" si="9"/>
        <v>477.70275081593763</v>
      </c>
      <c r="G51" s="7">
        <f t="shared" si="9"/>
        <v>723.64380317281007</v>
      </c>
      <c r="H51" s="7">
        <f t="shared" si="9"/>
        <v>1018.6046341824571</v>
      </c>
      <c r="I51" s="7">
        <f t="shared" si="9"/>
        <v>1387.4732667665721</v>
      </c>
    </row>
    <row r="52" spans="1:9" x14ac:dyDescent="0.2">
      <c r="B52" s="3"/>
      <c r="C52" s="3"/>
      <c r="D52" s="3"/>
      <c r="E52" s="46"/>
      <c r="F52" s="46"/>
      <c r="G52" s="46"/>
      <c r="H52" s="46"/>
      <c r="I52" s="46"/>
    </row>
    <row r="53" spans="1:9" x14ac:dyDescent="0.2">
      <c r="A53" s="28" t="s">
        <v>188</v>
      </c>
      <c r="B53" s="3" t="s">
        <v>188</v>
      </c>
      <c r="C53" s="86">
        <f>C26+C27</f>
        <v>-8.5</v>
      </c>
      <c r="D53" s="86">
        <f t="shared" ref="D53:I53" si="10">D26+D27</f>
        <v>-8.9879999999999995</v>
      </c>
      <c r="E53" s="75">
        <f t="shared" si="10"/>
        <v>0</v>
      </c>
      <c r="F53" s="75">
        <f t="shared" si="10"/>
        <v>0</v>
      </c>
      <c r="G53" s="75">
        <f t="shared" si="10"/>
        <v>0</v>
      </c>
      <c r="H53" s="75">
        <f t="shared" si="10"/>
        <v>0</v>
      </c>
      <c r="I53" s="75">
        <f t="shared" si="10"/>
        <v>0</v>
      </c>
    </row>
    <row r="54" spans="1:9" x14ac:dyDescent="0.2">
      <c r="B54" s="3"/>
      <c r="C54" s="86"/>
      <c r="D54" s="86"/>
      <c r="E54" s="75"/>
      <c r="F54" s="75"/>
      <c r="G54" s="75"/>
      <c r="H54" s="75"/>
      <c r="I54" s="75"/>
    </row>
    <row r="55" spans="1:9" x14ac:dyDescent="0.2">
      <c r="A55" s="28" t="s">
        <v>430</v>
      </c>
      <c r="B55" s="3" t="s">
        <v>283</v>
      </c>
      <c r="C55" s="86">
        <f>C46-C38-C39-C40-C41-C42</f>
        <v>-0.41000000000011028</v>
      </c>
      <c r="D55" s="86">
        <f>D46-D38-D39-D40-D41-D42</f>
        <v>0.80800000000044747</v>
      </c>
      <c r="E55" s="75">
        <f t="shared" ref="E55:I55" si="11">E46-E38-E39-E40-E41-E42</f>
        <v>0</v>
      </c>
      <c r="F55" s="75">
        <f t="shared" si="11"/>
        <v>0</v>
      </c>
      <c r="G55" s="75">
        <f t="shared" si="11"/>
        <v>0</v>
      </c>
      <c r="H55" s="75">
        <f t="shared" si="11"/>
        <v>0</v>
      </c>
      <c r="I55" s="75">
        <f t="shared" si="11"/>
        <v>0</v>
      </c>
    </row>
    <row r="56" spans="1:9" x14ac:dyDescent="0.2">
      <c r="B56" s="3"/>
      <c r="C56" s="86"/>
      <c r="D56" s="86"/>
      <c r="E56" s="75"/>
      <c r="F56" s="75"/>
      <c r="G56" s="75"/>
      <c r="H56" s="75"/>
      <c r="I56" s="75"/>
    </row>
    <row r="57" spans="1:9" x14ac:dyDescent="0.2">
      <c r="A57" s="28" t="s">
        <v>477</v>
      </c>
      <c r="B57" s="3" t="s">
        <v>475</v>
      </c>
      <c r="C57" s="86">
        <f>C40+C32</f>
        <v>-15.478999999999999</v>
      </c>
      <c r="D57" s="86">
        <f t="shared" ref="D57:I57" si="12">D40+D32</f>
        <v>-12.12299999999999</v>
      </c>
      <c r="E57" s="75">
        <f t="shared" si="12"/>
        <v>-12.860452522255173</v>
      </c>
      <c r="F57" s="75">
        <f t="shared" si="12"/>
        <v>-13.346091988130553</v>
      </c>
      <c r="G57" s="75">
        <f t="shared" si="12"/>
        <v>-14.011597922848637</v>
      </c>
      <c r="H57" s="75">
        <f t="shared" si="12"/>
        <v>-14.677103857566749</v>
      </c>
      <c r="I57" s="75">
        <f t="shared" si="12"/>
        <v>-15.360596439169115</v>
      </c>
    </row>
    <row r="58" spans="1:9" x14ac:dyDescent="0.2">
      <c r="A58" s="28" t="s">
        <v>479</v>
      </c>
      <c r="B58" s="29" t="s">
        <v>478</v>
      </c>
      <c r="C58" s="168">
        <f>C28+C29</f>
        <v>-10.071999999999999</v>
      </c>
      <c r="D58" s="168">
        <f t="shared" ref="D58:I58" si="13">D28+D29</f>
        <v>-11.151000000000002</v>
      </c>
      <c r="E58" s="168">
        <f t="shared" si="13"/>
        <v>-11.151000000000002</v>
      </c>
      <c r="F58" s="168">
        <f t="shared" si="13"/>
        <v>-11.151000000000002</v>
      </c>
      <c r="G58" s="168">
        <f t="shared" si="13"/>
        <v>-11.151000000000002</v>
      </c>
      <c r="H58" s="168">
        <f t="shared" si="13"/>
        <v>-11.151000000000002</v>
      </c>
      <c r="I58" s="168">
        <f t="shared" si="13"/>
        <v>-11.151000000000002</v>
      </c>
    </row>
  </sheetData>
  <pageMargins left="0.7" right="0.7" top="0.75" bottom="0.75" header="0.3" footer="0.3"/>
  <customProperties>
    <customPr name="Qube.Worksheet.Visibility" r:id="rId1"/>
    <customPr name="QXL_SHEET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F2E8-232C-412C-995C-40A305872951}">
  <sheetPr>
    <tabColor theme="7" tint="0.59999389629810485"/>
  </sheetPr>
  <dimension ref="A1:L89"/>
  <sheetViews>
    <sheetView showGridLines="0" topLeftCell="B1" workbookViewId="0">
      <selection activeCell="B1" sqref="B1"/>
    </sheetView>
  </sheetViews>
  <sheetFormatPr defaultColWidth="9.140625" defaultRowHeight="12.75" outlineLevelCol="1" x14ac:dyDescent="0.2"/>
  <cols>
    <col min="1" max="1" width="9.140625" style="28" hidden="1" customWidth="1" outlineLevel="1"/>
    <col min="2" max="2" width="61" style="29" bestFit="1" customWidth="1" collapsed="1"/>
    <col min="3" max="9" width="14.7109375" style="138" customWidth="1"/>
    <col min="10" max="16384" width="9.140625" style="29"/>
  </cols>
  <sheetData>
    <row r="1" spans="1:12" x14ac:dyDescent="0.2">
      <c r="B1" s="8" t="str">
        <f>Model!B1</f>
        <v>Sigma Healthcare (SIG.AX)</v>
      </c>
      <c r="C1" s="6"/>
      <c r="D1" s="6"/>
      <c r="E1" s="6"/>
      <c r="F1" s="6"/>
      <c r="G1" s="6"/>
      <c r="H1" s="6"/>
      <c r="I1" s="6"/>
      <c r="J1" s="6"/>
      <c r="K1" s="6"/>
    </row>
    <row r="2" spans="1:12" x14ac:dyDescent="0.2">
      <c r="B2" s="8" t="str">
        <f>Model!B2</f>
        <v>A$M</v>
      </c>
      <c r="C2" s="6"/>
      <c r="D2" s="6"/>
      <c r="E2" s="6"/>
      <c r="F2" s="6"/>
      <c r="G2" s="6"/>
      <c r="H2" s="6"/>
      <c r="I2" s="6"/>
      <c r="J2" s="6"/>
      <c r="K2" s="6"/>
    </row>
    <row r="3" spans="1:12" x14ac:dyDescent="0.2">
      <c r="B3" s="9"/>
      <c r="C3" s="6" t="s">
        <v>18</v>
      </c>
      <c r="D3" s="6" t="s">
        <v>19</v>
      </c>
      <c r="E3" s="6" t="s">
        <v>20</v>
      </c>
      <c r="F3" s="6" t="s">
        <v>21</v>
      </c>
      <c r="G3" s="6" t="s">
        <v>87</v>
      </c>
      <c r="H3" s="6" t="s">
        <v>88</v>
      </c>
      <c r="I3" s="6" t="s">
        <v>89</v>
      </c>
      <c r="J3" s="6"/>
      <c r="K3" s="6"/>
    </row>
    <row r="4" spans="1:12" x14ac:dyDescent="0.2">
      <c r="B4" s="10" t="s">
        <v>167</v>
      </c>
      <c r="C4" s="6"/>
      <c r="D4" s="6"/>
      <c r="E4" s="6"/>
      <c r="F4" s="6"/>
      <c r="G4" s="6"/>
      <c r="H4" s="6"/>
      <c r="I4" s="6"/>
      <c r="J4" s="6"/>
      <c r="K4" s="6"/>
    </row>
    <row r="5" spans="1:12" x14ac:dyDescent="0.2">
      <c r="B5" s="17" t="s">
        <v>337</v>
      </c>
      <c r="C5" s="12"/>
      <c r="D5" s="12"/>
      <c r="E5" s="13"/>
      <c r="F5" s="13"/>
      <c r="G5" s="13"/>
      <c r="H5" s="13"/>
      <c r="I5" s="13"/>
      <c r="J5" s="13"/>
      <c r="K5" s="13"/>
    </row>
    <row r="6" spans="1:12" x14ac:dyDescent="0.2">
      <c r="A6" s="28" t="s">
        <v>22</v>
      </c>
      <c r="B6" s="5" t="s">
        <v>22</v>
      </c>
      <c r="C6" s="12">
        <v>273.12400000000002</v>
      </c>
      <c r="D6" s="12">
        <v>138.774</v>
      </c>
      <c r="E6" s="13">
        <f>CF!E51</f>
        <v>262.54586159464975</v>
      </c>
      <c r="F6" s="13">
        <f>CF!F51</f>
        <v>477.70275081593763</v>
      </c>
      <c r="G6" s="13">
        <f>CF!G51</f>
        <v>723.64380317281007</v>
      </c>
      <c r="H6" s="13">
        <f>CF!H51</f>
        <v>1018.6046341824571</v>
      </c>
      <c r="I6" s="13">
        <f>CF!I51</f>
        <v>1387.4732667665721</v>
      </c>
      <c r="J6" s="13"/>
      <c r="K6" s="13"/>
      <c r="L6" s="168"/>
    </row>
    <row r="7" spans="1:12" x14ac:dyDescent="0.2">
      <c r="A7" s="28" t="s">
        <v>237</v>
      </c>
      <c r="B7" s="5" t="s">
        <v>23</v>
      </c>
      <c r="C7" s="12">
        <v>695.01199999999994</v>
      </c>
      <c r="D7" s="12">
        <v>1575.136</v>
      </c>
      <c r="E7" s="13">
        <f>E61</f>
        <v>1709.8834966073759</v>
      </c>
      <c r="F7" s="13">
        <f t="shared" ref="F7:I7" si="0">F61</f>
        <v>1838.0482683607343</v>
      </c>
      <c r="G7" s="13">
        <f t="shared" si="0"/>
        <v>1992.8446506136388</v>
      </c>
      <c r="H7" s="13">
        <f t="shared" si="0"/>
        <v>2155.2203780217237</v>
      </c>
      <c r="I7" s="13">
        <f t="shared" si="0"/>
        <v>2327.7710769631094</v>
      </c>
      <c r="J7" s="13"/>
      <c r="K7" s="13"/>
      <c r="L7" s="168"/>
    </row>
    <row r="8" spans="1:12" x14ac:dyDescent="0.2">
      <c r="A8" s="28" t="s">
        <v>24</v>
      </c>
      <c r="B8" s="5" t="s">
        <v>24</v>
      </c>
      <c r="C8" s="12">
        <v>599.90300000000002</v>
      </c>
      <c r="D8" s="12">
        <v>1019.778</v>
      </c>
      <c r="E8" s="13">
        <f>E65</f>
        <v>1171.1085441437249</v>
      </c>
      <c r="F8" s="13">
        <f t="shared" ref="F8:I8" si="1">F65</f>
        <v>1247.247039244784</v>
      </c>
      <c r="G8" s="13">
        <f t="shared" si="1"/>
        <v>1281.1144182516248</v>
      </c>
      <c r="H8" s="13">
        <f t="shared" si="1"/>
        <v>1308.526658084618</v>
      </c>
      <c r="I8" s="13">
        <f t="shared" si="1"/>
        <v>1330.1549011217769</v>
      </c>
      <c r="J8" s="13"/>
      <c r="K8" s="13"/>
      <c r="L8" s="168"/>
    </row>
    <row r="9" spans="1:12" x14ac:dyDescent="0.2">
      <c r="B9" s="5" t="s">
        <v>25</v>
      </c>
      <c r="C9" s="12">
        <v>3.8079999999999998</v>
      </c>
      <c r="D9" s="12">
        <v>0.51200000000000001</v>
      </c>
      <c r="E9" s="14">
        <f>D9</f>
        <v>0.51200000000000001</v>
      </c>
      <c r="F9" s="14">
        <f>E9</f>
        <v>0.51200000000000001</v>
      </c>
      <c r="G9" s="14">
        <f t="shared" ref="G9:I11" si="2">F9</f>
        <v>0.51200000000000001</v>
      </c>
      <c r="H9" s="14">
        <f t="shared" si="2"/>
        <v>0.51200000000000001</v>
      </c>
      <c r="I9" s="14">
        <f t="shared" si="2"/>
        <v>0.51200000000000001</v>
      </c>
      <c r="J9" s="14"/>
      <c r="K9" s="14"/>
      <c r="L9" s="168"/>
    </row>
    <row r="10" spans="1:12" x14ac:dyDescent="0.2">
      <c r="A10" s="28" t="s">
        <v>424</v>
      </c>
      <c r="B10" s="5" t="s">
        <v>26</v>
      </c>
      <c r="C10" s="12">
        <v>118.628</v>
      </c>
      <c r="D10" s="12">
        <v>139.65600000000001</v>
      </c>
      <c r="E10" s="14">
        <f t="shared" ref="E10:F11" si="3">D10</f>
        <v>139.65600000000001</v>
      </c>
      <c r="F10" s="14">
        <f t="shared" si="3"/>
        <v>139.65600000000001</v>
      </c>
      <c r="G10" s="14">
        <f t="shared" si="2"/>
        <v>139.65600000000001</v>
      </c>
      <c r="H10" s="14">
        <f t="shared" si="2"/>
        <v>139.65600000000001</v>
      </c>
      <c r="I10" s="14">
        <f t="shared" si="2"/>
        <v>139.65600000000001</v>
      </c>
      <c r="J10" s="14"/>
      <c r="K10" s="14"/>
      <c r="L10" s="168"/>
    </row>
    <row r="11" spans="1:12" x14ac:dyDescent="0.2">
      <c r="A11" s="28" t="s">
        <v>420</v>
      </c>
      <c r="B11" s="5" t="s">
        <v>27</v>
      </c>
      <c r="C11" s="12">
        <v>26.143999999999998</v>
      </c>
      <c r="D11" s="12">
        <v>34.573</v>
      </c>
      <c r="E11" s="14">
        <f t="shared" si="3"/>
        <v>34.573</v>
      </c>
      <c r="F11" s="14">
        <f t="shared" si="3"/>
        <v>34.573</v>
      </c>
      <c r="G11" s="14">
        <f t="shared" si="2"/>
        <v>34.573</v>
      </c>
      <c r="H11" s="14">
        <f t="shared" si="2"/>
        <v>34.573</v>
      </c>
      <c r="I11" s="14">
        <f t="shared" si="2"/>
        <v>34.573</v>
      </c>
      <c r="J11" s="14"/>
      <c r="K11" s="14"/>
      <c r="L11" s="168"/>
    </row>
    <row r="12" spans="1:12" x14ac:dyDescent="0.2">
      <c r="B12" s="5"/>
      <c r="C12" s="12"/>
      <c r="D12" s="12"/>
      <c r="E12" s="14"/>
      <c r="F12" s="14"/>
      <c r="G12" s="14"/>
      <c r="H12" s="14"/>
      <c r="I12" s="14"/>
      <c r="J12" s="14"/>
      <c r="K12" s="14"/>
      <c r="L12" s="168"/>
    </row>
    <row r="13" spans="1:12" x14ac:dyDescent="0.2">
      <c r="A13" s="28" t="s">
        <v>240</v>
      </c>
      <c r="B13" s="1" t="s">
        <v>339</v>
      </c>
      <c r="C13" s="7">
        <f>SUM(C6:C11)</f>
        <v>1716.6189999999999</v>
      </c>
      <c r="D13" s="7">
        <f>SUM(D6:D11)</f>
        <v>2908.4290000000001</v>
      </c>
      <c r="E13" s="7">
        <f t="shared" ref="E13:F13" si="4">SUM(E6:E11)</f>
        <v>3318.2789023457508</v>
      </c>
      <c r="F13" s="7">
        <f t="shared" si="4"/>
        <v>3737.7390584214559</v>
      </c>
      <c r="G13" s="7">
        <f t="shared" ref="G13:I13" si="5">SUM(G6:G11)</f>
        <v>4172.3438720380746</v>
      </c>
      <c r="H13" s="7">
        <f t="shared" si="5"/>
        <v>4657.0926702887991</v>
      </c>
      <c r="I13" s="7">
        <f t="shared" si="5"/>
        <v>5220.1402448514582</v>
      </c>
      <c r="J13" s="7"/>
      <c r="K13" s="7"/>
      <c r="L13" s="168"/>
    </row>
    <row r="14" spans="1:12" x14ac:dyDescent="0.2">
      <c r="B14" s="5"/>
      <c r="C14" s="12"/>
      <c r="D14" s="12"/>
      <c r="E14" s="14"/>
      <c r="F14" s="14"/>
      <c r="G14" s="169"/>
      <c r="H14" s="169"/>
      <c r="I14" s="169"/>
      <c r="J14" s="33"/>
      <c r="K14" s="33"/>
      <c r="L14" s="168"/>
    </row>
    <row r="15" spans="1:12" x14ac:dyDescent="0.2">
      <c r="B15" s="5" t="s">
        <v>28</v>
      </c>
      <c r="C15" s="12">
        <v>45.02</v>
      </c>
      <c r="D15" s="12">
        <v>43.098999999999997</v>
      </c>
      <c r="E15" s="14">
        <f>D15</f>
        <v>43.098999999999997</v>
      </c>
      <c r="F15" s="14">
        <f>E15</f>
        <v>43.098999999999997</v>
      </c>
      <c r="G15" s="14">
        <f t="shared" ref="G15:I18" si="6">F15</f>
        <v>43.098999999999997</v>
      </c>
      <c r="H15" s="14">
        <f t="shared" si="6"/>
        <v>43.098999999999997</v>
      </c>
      <c r="I15" s="14">
        <f t="shared" si="6"/>
        <v>43.098999999999997</v>
      </c>
      <c r="J15" s="33"/>
      <c r="K15" s="33"/>
      <c r="L15" s="168"/>
    </row>
    <row r="16" spans="1:12" x14ac:dyDescent="0.2">
      <c r="B16" s="5" t="s">
        <v>25</v>
      </c>
      <c r="C16" s="12">
        <v>9.6929999999999996</v>
      </c>
      <c r="D16" s="12">
        <v>22.948</v>
      </c>
      <c r="E16" s="14">
        <f t="shared" ref="E16:F16" si="7">D16</f>
        <v>22.948</v>
      </c>
      <c r="F16" s="14">
        <f t="shared" si="7"/>
        <v>22.948</v>
      </c>
      <c r="G16" s="14">
        <f t="shared" si="6"/>
        <v>22.948</v>
      </c>
      <c r="H16" s="14">
        <f t="shared" si="6"/>
        <v>22.948</v>
      </c>
      <c r="I16" s="14">
        <f t="shared" si="6"/>
        <v>22.948</v>
      </c>
      <c r="J16" s="33"/>
      <c r="K16" s="33"/>
      <c r="L16" s="168"/>
    </row>
    <row r="17" spans="1:12" x14ac:dyDescent="0.2">
      <c r="B17" s="5" t="s">
        <v>29</v>
      </c>
      <c r="C17" s="12">
        <v>59.454000000000001</v>
      </c>
      <c r="D17" s="12">
        <v>31.986000000000001</v>
      </c>
      <c r="E17" s="13">
        <f>D17-CF!E28-CF!E29</f>
        <v>43.137</v>
      </c>
      <c r="F17" s="13">
        <f>E17-CF!F28-CF!F29</f>
        <v>54.287999999999997</v>
      </c>
      <c r="G17" s="13">
        <f>F17-CF!G28-CF!G29</f>
        <v>65.438999999999993</v>
      </c>
      <c r="H17" s="13">
        <f>G17-CF!H28-CF!H29</f>
        <v>76.589999999999989</v>
      </c>
      <c r="I17" s="13">
        <f>H17-CF!I28-CF!I29</f>
        <v>87.740999999999985</v>
      </c>
      <c r="J17" s="33"/>
      <c r="K17" s="33"/>
      <c r="L17" s="168"/>
    </row>
    <row r="18" spans="1:12" x14ac:dyDescent="0.2">
      <c r="B18" s="5" t="s">
        <v>30</v>
      </c>
      <c r="C18" s="12">
        <v>2.262</v>
      </c>
      <c r="D18" s="12">
        <v>4.7080000000000002</v>
      </c>
      <c r="E18" s="14">
        <f t="shared" ref="E18:F18" si="8">D18</f>
        <v>4.7080000000000002</v>
      </c>
      <c r="F18" s="14">
        <f t="shared" si="8"/>
        <v>4.7080000000000002</v>
      </c>
      <c r="G18" s="14">
        <f t="shared" si="6"/>
        <v>4.7080000000000002</v>
      </c>
      <c r="H18" s="14">
        <f t="shared" si="6"/>
        <v>4.7080000000000002</v>
      </c>
      <c r="I18" s="14">
        <f t="shared" si="6"/>
        <v>4.7080000000000002</v>
      </c>
      <c r="J18" s="33"/>
      <c r="K18" s="33"/>
      <c r="L18" s="168"/>
    </row>
    <row r="19" spans="1:12" x14ac:dyDescent="0.2">
      <c r="A19" s="28" t="s">
        <v>31</v>
      </c>
      <c r="B19" s="5" t="s">
        <v>31</v>
      </c>
      <c r="C19" s="12">
        <v>73.064999999999998</v>
      </c>
      <c r="D19" s="12">
        <v>320.43799999999999</v>
      </c>
      <c r="E19" s="13">
        <f>D19-CF!E22+PL!E15</f>
        <v>340.93441691394656</v>
      </c>
      <c r="F19" s="13">
        <f>E19-CF!F22+PL!F15</f>
        <v>364.10257789317507</v>
      </c>
      <c r="G19" s="13">
        <f>F19-CF!G22+PL!G15</f>
        <v>390.1751117581602</v>
      </c>
      <c r="H19" s="13">
        <f>G19-CF!H22+PL!H15</f>
        <v>418.97258663390204</v>
      </c>
      <c r="I19" s="13">
        <f>H19-CF!I22+PL!I15</f>
        <v>450.34695068369803</v>
      </c>
      <c r="J19" s="33"/>
      <c r="K19" s="33"/>
      <c r="L19" s="168"/>
    </row>
    <row r="20" spans="1:12" x14ac:dyDescent="0.2">
      <c r="A20" s="28" t="s">
        <v>422</v>
      </c>
      <c r="B20" s="5" t="s">
        <v>45</v>
      </c>
      <c r="C20" s="12">
        <v>113.02</v>
      </c>
      <c r="D20" s="12">
        <v>238.72900000000001</v>
      </c>
      <c r="E20" s="13">
        <f>D20+PL!E14+BS!E81</f>
        <v>359.87758308605339</v>
      </c>
      <c r="F20" s="13">
        <f>E20+PL!F14+BS!F81</f>
        <v>485.60100777116054</v>
      </c>
      <c r="G20" s="13">
        <f>F20+PL!G14+BS!G81</f>
        <v>617.59365983274881</v>
      </c>
      <c r="H20" s="13">
        <f>G20+PL!H14+BS!H81</f>
        <v>755.85553927081821</v>
      </c>
      <c r="I20" s="13">
        <f>H20+PL!I14+BS!I81</f>
        <v>900.55608466311139</v>
      </c>
      <c r="J20" s="33"/>
      <c r="K20" s="33"/>
      <c r="L20" s="168"/>
    </row>
    <row r="21" spans="1:12" x14ac:dyDescent="0.2">
      <c r="A21" s="28" t="s">
        <v>243</v>
      </c>
      <c r="B21" s="5" t="s">
        <v>32</v>
      </c>
      <c r="C21" s="12">
        <v>13.3</v>
      </c>
      <c r="D21" s="12">
        <v>3860.4810000000002</v>
      </c>
      <c r="E21" s="14">
        <f t="shared" ref="E21:F24" si="9">D21</f>
        <v>3860.4810000000002</v>
      </c>
      <c r="F21" s="14">
        <f t="shared" si="9"/>
        <v>3860.4810000000002</v>
      </c>
      <c r="G21" s="14">
        <f t="shared" ref="G21:G24" si="10">F21</f>
        <v>3860.4810000000002</v>
      </c>
      <c r="H21" s="14">
        <f t="shared" ref="H21:H24" si="11">G21</f>
        <v>3860.4810000000002</v>
      </c>
      <c r="I21" s="14">
        <f t="shared" ref="I21:I24" si="12">H21</f>
        <v>3860.4810000000002</v>
      </c>
      <c r="J21" s="33"/>
      <c r="K21" s="33"/>
      <c r="L21" s="168"/>
    </row>
    <row r="22" spans="1:12" x14ac:dyDescent="0.2">
      <c r="B22" s="5" t="s">
        <v>33</v>
      </c>
      <c r="C22" s="12">
        <v>87.331999999999994</v>
      </c>
      <c r="D22" s="12">
        <v>28.535</v>
      </c>
      <c r="E22" s="14">
        <f t="shared" si="9"/>
        <v>28.535</v>
      </c>
      <c r="F22" s="14">
        <f t="shared" si="9"/>
        <v>28.535</v>
      </c>
      <c r="G22" s="14">
        <f t="shared" si="10"/>
        <v>28.535</v>
      </c>
      <c r="H22" s="14">
        <f t="shared" si="11"/>
        <v>28.535</v>
      </c>
      <c r="I22" s="14">
        <f t="shared" si="12"/>
        <v>28.535</v>
      </c>
      <c r="J22" s="33"/>
      <c r="K22" s="33"/>
      <c r="L22" s="168"/>
    </row>
    <row r="23" spans="1:12" x14ac:dyDescent="0.2">
      <c r="A23" s="28" t="s">
        <v>423</v>
      </c>
      <c r="B23" s="5" t="s">
        <v>26</v>
      </c>
      <c r="C23" s="12">
        <v>741.82299999999998</v>
      </c>
      <c r="D23" s="12">
        <v>821.66800000000001</v>
      </c>
      <c r="E23" s="13">
        <f>D23-CF!E32</f>
        <v>686.24127151335313</v>
      </c>
      <c r="F23" s="13">
        <f>E23-CF!F32</f>
        <v>545.70052670623147</v>
      </c>
      <c r="G23" s="13">
        <f>F23-CF!G32</f>
        <v>398.15168545994067</v>
      </c>
      <c r="H23" s="13">
        <f>G23-CF!H32</f>
        <v>243.59474777448071</v>
      </c>
      <c r="I23" s="13">
        <f>H23-CF!I32</f>
        <v>81.840305637982169</v>
      </c>
      <c r="J23" s="33"/>
      <c r="K23" s="33"/>
      <c r="L23" s="168"/>
    </row>
    <row r="24" spans="1:12" x14ac:dyDescent="0.2">
      <c r="A24" s="28" t="s">
        <v>425</v>
      </c>
      <c r="B24" s="5" t="s">
        <v>27</v>
      </c>
      <c r="C24" s="12">
        <v>0</v>
      </c>
      <c r="D24" s="12">
        <v>6.7809999999999997</v>
      </c>
      <c r="E24" s="14">
        <f t="shared" si="9"/>
        <v>6.7809999999999997</v>
      </c>
      <c r="F24" s="14">
        <f t="shared" si="9"/>
        <v>6.7809999999999997</v>
      </c>
      <c r="G24" s="14">
        <f t="shared" si="10"/>
        <v>6.7809999999999997</v>
      </c>
      <c r="H24" s="14">
        <f t="shared" si="11"/>
        <v>6.7809999999999997</v>
      </c>
      <c r="I24" s="14">
        <f t="shared" si="12"/>
        <v>6.7809999999999997</v>
      </c>
      <c r="J24" s="33"/>
      <c r="K24" s="33"/>
      <c r="L24" s="168"/>
    </row>
    <row r="25" spans="1:12" x14ac:dyDescent="0.2">
      <c r="B25" s="5"/>
      <c r="C25" s="12"/>
      <c r="D25" s="12"/>
      <c r="E25" s="14"/>
      <c r="F25" s="14"/>
      <c r="G25" s="14"/>
      <c r="H25" s="14"/>
      <c r="I25" s="14"/>
      <c r="J25" s="33"/>
      <c r="K25" s="33"/>
      <c r="L25" s="168"/>
    </row>
    <row r="26" spans="1:12" x14ac:dyDescent="0.2">
      <c r="A26" s="28" t="s">
        <v>245</v>
      </c>
      <c r="B26" s="1" t="s">
        <v>340</v>
      </c>
      <c r="C26" s="7">
        <f>SUM(C15:C24)</f>
        <v>1144.9690000000001</v>
      </c>
      <c r="D26" s="7">
        <f>SUM(D15:D24)</f>
        <v>5379.3729999999996</v>
      </c>
      <c r="E26" s="7">
        <f t="shared" ref="E26" si="13">SUM(E15:E24)</f>
        <v>5396.7422715133534</v>
      </c>
      <c r="F26" s="7">
        <f t="shared" ref="F26:I26" si="14">SUM(F15:F24)</f>
        <v>5416.2441123705667</v>
      </c>
      <c r="G26" s="7">
        <f t="shared" si="14"/>
        <v>5437.91145705085</v>
      </c>
      <c r="H26" s="7">
        <f t="shared" si="14"/>
        <v>5461.5648736792009</v>
      </c>
      <c r="I26" s="7">
        <f t="shared" si="14"/>
        <v>5487.0363409847914</v>
      </c>
      <c r="J26" s="7"/>
      <c r="K26" s="7"/>
      <c r="L26" s="168"/>
    </row>
    <row r="27" spans="1:12" x14ac:dyDescent="0.2">
      <c r="B27" s="5"/>
      <c r="C27" s="12"/>
      <c r="D27" s="12"/>
      <c r="E27" s="169"/>
      <c r="F27" s="169"/>
      <c r="G27" s="169"/>
      <c r="H27" s="169"/>
      <c r="I27" s="169"/>
      <c r="J27" s="33"/>
      <c r="K27" s="33"/>
      <c r="L27" s="168"/>
    </row>
    <row r="28" spans="1:12" x14ac:dyDescent="0.2">
      <c r="B28" s="1" t="s">
        <v>341</v>
      </c>
      <c r="C28" s="7">
        <f>C13+C26</f>
        <v>2861.5879999999997</v>
      </c>
      <c r="D28" s="7">
        <f>D13+D26</f>
        <v>8287.8019999999997</v>
      </c>
      <c r="E28" s="7">
        <f t="shared" ref="E28" si="15">E13+E26</f>
        <v>8715.0211738591042</v>
      </c>
      <c r="F28" s="7">
        <f t="shared" ref="F28:I28" si="16">F13+F26</f>
        <v>9153.9831707920221</v>
      </c>
      <c r="G28" s="7">
        <f t="shared" si="16"/>
        <v>9610.2553290889246</v>
      </c>
      <c r="H28" s="7">
        <f t="shared" si="16"/>
        <v>10118.657543968</v>
      </c>
      <c r="I28" s="7">
        <f t="shared" si="16"/>
        <v>10707.176585836249</v>
      </c>
      <c r="J28" s="7"/>
      <c r="K28" s="7"/>
      <c r="L28" s="168"/>
    </row>
    <row r="29" spans="1:12" x14ac:dyDescent="0.2">
      <c r="B29" s="5"/>
      <c r="C29" s="12"/>
      <c r="D29" s="12"/>
      <c r="E29" s="14"/>
      <c r="F29" s="14"/>
      <c r="G29" s="14"/>
      <c r="H29" s="14"/>
      <c r="I29" s="14"/>
      <c r="J29" s="33"/>
      <c r="K29" s="33"/>
      <c r="L29" s="168"/>
    </row>
    <row r="30" spans="1:12" x14ac:dyDescent="0.2">
      <c r="B30" s="17" t="s">
        <v>338</v>
      </c>
      <c r="C30" s="12"/>
      <c r="D30" s="12"/>
      <c r="E30" s="14"/>
      <c r="F30" s="14"/>
      <c r="G30" s="14"/>
      <c r="H30" s="14"/>
      <c r="I30" s="14"/>
      <c r="J30" s="33"/>
      <c r="K30" s="33"/>
      <c r="L30" s="168"/>
    </row>
    <row r="31" spans="1:12" x14ac:dyDescent="0.2">
      <c r="A31" s="28" t="s">
        <v>247</v>
      </c>
      <c r="B31" s="5" t="s">
        <v>34</v>
      </c>
      <c r="C31" s="12">
        <v>745.82399999999996</v>
      </c>
      <c r="D31" s="12">
        <v>1323.6030000000001</v>
      </c>
      <c r="E31" s="14">
        <f>E69</f>
        <v>1520.0198301534911</v>
      </c>
      <c r="F31" s="14">
        <f t="shared" ref="F31:I31" si="17">F69</f>
        <v>1692.3087960733401</v>
      </c>
      <c r="G31" s="14">
        <f t="shared" si="17"/>
        <v>1834.8313205337852</v>
      </c>
      <c r="H31" s="14">
        <f t="shared" si="17"/>
        <v>1984.3322212944495</v>
      </c>
      <c r="I31" s="14">
        <f t="shared" si="17"/>
        <v>2143.201316635204</v>
      </c>
      <c r="J31" s="33"/>
      <c r="K31" s="33"/>
      <c r="L31" s="168"/>
    </row>
    <row r="32" spans="1:12" x14ac:dyDescent="0.2">
      <c r="B32" s="5" t="s">
        <v>35</v>
      </c>
      <c r="C32" s="12">
        <v>20.010999999999999</v>
      </c>
      <c r="D32" s="12">
        <v>16.462</v>
      </c>
      <c r="E32" s="14">
        <f t="shared" ref="E32:E36" si="18">D32</f>
        <v>16.462</v>
      </c>
      <c r="F32" s="14">
        <f t="shared" ref="F32:F36" si="19">E32</f>
        <v>16.462</v>
      </c>
      <c r="G32" s="14">
        <f t="shared" ref="G32:G36" si="20">F32</f>
        <v>16.462</v>
      </c>
      <c r="H32" s="14">
        <f t="shared" ref="H32:H36" si="21">G32</f>
        <v>16.462</v>
      </c>
      <c r="I32" s="14">
        <f t="shared" ref="I32:I36" si="22">H32</f>
        <v>16.462</v>
      </c>
      <c r="J32" s="33"/>
      <c r="K32" s="33"/>
      <c r="L32" s="168"/>
    </row>
    <row r="33" spans="1:12" x14ac:dyDescent="0.2">
      <c r="A33" s="28" t="s">
        <v>426</v>
      </c>
      <c r="B33" s="5" t="s">
        <v>36</v>
      </c>
      <c r="C33" s="12">
        <v>32.776000000000003</v>
      </c>
      <c r="D33" s="12">
        <v>35.643000000000001</v>
      </c>
      <c r="E33" s="14">
        <f t="shared" si="18"/>
        <v>35.643000000000001</v>
      </c>
      <c r="F33" s="14">
        <f t="shared" si="19"/>
        <v>35.643000000000001</v>
      </c>
      <c r="G33" s="14">
        <f t="shared" si="20"/>
        <v>35.643000000000001</v>
      </c>
      <c r="H33" s="14">
        <f t="shared" si="21"/>
        <v>35.643000000000001</v>
      </c>
      <c r="I33" s="14">
        <f t="shared" si="22"/>
        <v>35.643000000000001</v>
      </c>
      <c r="J33" s="33"/>
      <c r="K33" s="33"/>
      <c r="L33" s="168"/>
    </row>
    <row r="34" spans="1:12" x14ac:dyDescent="0.2">
      <c r="A34" s="28" t="s">
        <v>427</v>
      </c>
      <c r="B34" s="5" t="s">
        <v>37</v>
      </c>
      <c r="C34" s="12">
        <v>131.32499999999999</v>
      </c>
      <c r="D34" s="12">
        <v>157.97499999999999</v>
      </c>
      <c r="E34" s="14">
        <f t="shared" si="18"/>
        <v>157.97499999999999</v>
      </c>
      <c r="F34" s="14">
        <f t="shared" si="19"/>
        <v>157.97499999999999</v>
      </c>
      <c r="G34" s="14">
        <f t="shared" si="20"/>
        <v>157.97499999999999</v>
      </c>
      <c r="H34" s="14">
        <f t="shared" si="21"/>
        <v>157.97499999999999</v>
      </c>
      <c r="I34" s="14">
        <f t="shared" si="22"/>
        <v>157.97499999999999</v>
      </c>
      <c r="J34" s="33"/>
      <c r="K34" s="33"/>
      <c r="L34" s="168"/>
    </row>
    <row r="35" spans="1:12" x14ac:dyDescent="0.2">
      <c r="B35" s="5" t="s">
        <v>38</v>
      </c>
      <c r="C35" s="12">
        <v>2.7770000000000001</v>
      </c>
      <c r="D35" s="12">
        <v>124.90600000000001</v>
      </c>
      <c r="E35" s="14">
        <f t="shared" si="18"/>
        <v>124.90600000000001</v>
      </c>
      <c r="F35" s="14">
        <f t="shared" si="19"/>
        <v>124.90600000000001</v>
      </c>
      <c r="G35" s="14">
        <f t="shared" si="20"/>
        <v>124.90600000000001</v>
      </c>
      <c r="H35" s="14">
        <f t="shared" si="21"/>
        <v>124.90600000000001</v>
      </c>
      <c r="I35" s="14">
        <f t="shared" si="22"/>
        <v>124.90600000000001</v>
      </c>
      <c r="J35" s="33"/>
      <c r="K35" s="33"/>
      <c r="L35" s="168"/>
    </row>
    <row r="36" spans="1:12" x14ac:dyDescent="0.2">
      <c r="B36" s="5" t="s">
        <v>39</v>
      </c>
      <c r="C36" s="12">
        <v>25.896999999999998</v>
      </c>
      <c r="D36" s="12">
        <v>44.276000000000003</v>
      </c>
      <c r="E36" s="14">
        <f t="shared" si="18"/>
        <v>44.276000000000003</v>
      </c>
      <c r="F36" s="14">
        <f t="shared" si="19"/>
        <v>44.276000000000003</v>
      </c>
      <c r="G36" s="14">
        <f t="shared" si="20"/>
        <v>44.276000000000003</v>
      </c>
      <c r="H36" s="14">
        <f t="shared" si="21"/>
        <v>44.276000000000003</v>
      </c>
      <c r="I36" s="14">
        <f t="shared" si="22"/>
        <v>44.276000000000003</v>
      </c>
      <c r="J36" s="33"/>
      <c r="K36" s="33"/>
      <c r="L36" s="168"/>
    </row>
    <row r="37" spans="1:12" x14ac:dyDescent="0.2">
      <c r="B37" s="5"/>
      <c r="C37" s="12"/>
      <c r="D37" s="12"/>
      <c r="E37" s="14"/>
      <c r="F37" s="14"/>
      <c r="G37" s="14"/>
      <c r="H37" s="14"/>
      <c r="I37" s="14"/>
      <c r="J37" s="33"/>
      <c r="K37" s="33"/>
      <c r="L37" s="168"/>
    </row>
    <row r="38" spans="1:12" x14ac:dyDescent="0.2">
      <c r="A38" s="28" t="s">
        <v>249</v>
      </c>
      <c r="B38" s="1" t="s">
        <v>342</v>
      </c>
      <c r="C38" s="7">
        <f>SUM(C31:C36)</f>
        <v>958.61</v>
      </c>
      <c r="D38" s="7">
        <f>SUM(D31:D36)</f>
        <v>1702.865</v>
      </c>
      <c r="E38" s="7">
        <f t="shared" ref="E38" si="23">SUM(E31:E36)</f>
        <v>1899.281830153491</v>
      </c>
      <c r="F38" s="7">
        <f t="shared" ref="F38:I38" si="24">SUM(F31:F36)</f>
        <v>2071.5707960733398</v>
      </c>
      <c r="G38" s="7">
        <f t="shared" si="24"/>
        <v>2214.0933205337851</v>
      </c>
      <c r="H38" s="7">
        <f t="shared" si="24"/>
        <v>2363.5942212944492</v>
      </c>
      <c r="I38" s="7">
        <f t="shared" si="24"/>
        <v>2522.4633166352037</v>
      </c>
      <c r="J38" s="7"/>
      <c r="K38" s="7"/>
      <c r="L38" s="168"/>
    </row>
    <row r="39" spans="1:12" x14ac:dyDescent="0.2">
      <c r="B39" s="5"/>
      <c r="C39" s="12"/>
      <c r="D39" s="12"/>
      <c r="E39" s="14"/>
      <c r="F39" s="14"/>
      <c r="G39" s="14"/>
      <c r="H39" s="14"/>
      <c r="I39" s="14"/>
      <c r="J39" s="33"/>
      <c r="K39" s="33"/>
      <c r="L39" s="168"/>
    </row>
    <row r="40" spans="1:12" x14ac:dyDescent="0.2">
      <c r="A40" s="28" t="s">
        <v>428</v>
      </c>
      <c r="B40" s="5" t="s">
        <v>35</v>
      </c>
      <c r="C40" s="12">
        <v>14.77</v>
      </c>
      <c r="D40" s="12">
        <v>17.103999999999999</v>
      </c>
      <c r="E40" s="14">
        <f t="shared" ref="E40" si="25">D40</f>
        <v>17.103999999999999</v>
      </c>
      <c r="F40" s="14">
        <f t="shared" ref="F40" si="26">E40</f>
        <v>17.103999999999999</v>
      </c>
      <c r="G40" s="14">
        <f t="shared" ref="G40" si="27">F40</f>
        <v>17.103999999999999</v>
      </c>
      <c r="H40" s="14">
        <f t="shared" ref="H40" si="28">G40</f>
        <v>17.103999999999999</v>
      </c>
      <c r="I40" s="14">
        <f t="shared" ref="I40" si="29">H40</f>
        <v>17.103999999999999</v>
      </c>
      <c r="J40" s="33"/>
      <c r="K40" s="33"/>
      <c r="L40" s="168"/>
    </row>
    <row r="41" spans="1:12" x14ac:dyDescent="0.2">
      <c r="A41" s="28" t="s">
        <v>251</v>
      </c>
      <c r="B41" s="5" t="s">
        <v>36</v>
      </c>
      <c r="C41" s="12">
        <v>300</v>
      </c>
      <c r="D41" s="12">
        <v>855.29200000000003</v>
      </c>
      <c r="E41" s="13">
        <f>D41+CF!E38+CF!E39</f>
        <v>855.29200000000003</v>
      </c>
      <c r="F41" s="13">
        <f>E41+CF!F38+CF!F39</f>
        <v>855.29200000000003</v>
      </c>
      <c r="G41" s="13">
        <f>F41+CF!G38+CF!G39</f>
        <v>855.29200000000003</v>
      </c>
      <c r="H41" s="13">
        <f>G41+CF!H38+CF!H39</f>
        <v>855.29200000000003</v>
      </c>
      <c r="I41" s="13">
        <f>H41+CF!I38+CF!I39</f>
        <v>855.29200000000003</v>
      </c>
      <c r="J41" s="33"/>
      <c r="K41" s="33"/>
      <c r="L41" s="168"/>
    </row>
    <row r="42" spans="1:12" x14ac:dyDescent="0.2">
      <c r="A42" s="28" t="s">
        <v>423</v>
      </c>
      <c r="B42" s="5" t="s">
        <v>37</v>
      </c>
      <c r="C42" s="12">
        <v>849.59799999999996</v>
      </c>
      <c r="D42" s="12">
        <v>1021.846</v>
      </c>
      <c r="E42" s="13">
        <f>D42+CF!E40+E81</f>
        <v>1023.558818991098</v>
      </c>
      <c r="F42" s="13">
        <f>E42+CF!F40+F81</f>
        <v>1025.3363178601815</v>
      </c>
      <c r="G42" s="13">
        <f>F42+CF!G40+G81</f>
        <v>1027.2024521176154</v>
      </c>
      <c r="H42" s="13">
        <f>G42+CF!H40+H81</f>
        <v>1029.1572217633998</v>
      </c>
      <c r="I42" s="13">
        <f>H42+CF!I40+I81</f>
        <v>1031.2030223485713</v>
      </c>
      <c r="J42" s="33"/>
      <c r="K42" s="33"/>
      <c r="L42" s="168"/>
    </row>
    <row r="43" spans="1:12" x14ac:dyDescent="0.2">
      <c r="B43" s="5" t="s">
        <v>39</v>
      </c>
      <c r="C43" s="12">
        <v>21.712</v>
      </c>
      <c r="D43" s="12">
        <v>30.1</v>
      </c>
      <c r="E43" s="14">
        <f t="shared" ref="E43" si="30">D43</f>
        <v>30.1</v>
      </c>
      <c r="F43" s="14">
        <f t="shared" ref="F43" si="31">E43</f>
        <v>30.1</v>
      </c>
      <c r="G43" s="14">
        <f t="shared" ref="G43" si="32">F43</f>
        <v>30.1</v>
      </c>
      <c r="H43" s="14">
        <f t="shared" ref="H43" si="33">G43</f>
        <v>30.1</v>
      </c>
      <c r="I43" s="14">
        <f t="shared" ref="I43" si="34">H43</f>
        <v>30.1</v>
      </c>
      <c r="J43" s="33"/>
      <c r="K43" s="33"/>
      <c r="L43" s="168"/>
    </row>
    <row r="44" spans="1:12" x14ac:dyDescent="0.2">
      <c r="B44" s="5"/>
      <c r="C44" s="12"/>
      <c r="D44" s="12"/>
      <c r="E44" s="14"/>
      <c r="F44" s="14"/>
      <c r="G44" s="14"/>
      <c r="H44" s="14"/>
      <c r="I44" s="14"/>
      <c r="J44" s="33"/>
      <c r="K44" s="33"/>
      <c r="L44" s="168"/>
    </row>
    <row r="45" spans="1:12" x14ac:dyDescent="0.2">
      <c r="A45" s="28" t="s">
        <v>254</v>
      </c>
      <c r="B45" s="1" t="s">
        <v>343</v>
      </c>
      <c r="C45" s="7">
        <f>SUM(C40:C43)</f>
        <v>1186.08</v>
      </c>
      <c r="D45" s="7">
        <f>SUM(D40:D43)</f>
        <v>1924.3420000000001</v>
      </c>
      <c r="E45" s="7">
        <f t="shared" ref="E45" si="35">SUM(E40:E43)</f>
        <v>1926.0548189910978</v>
      </c>
      <c r="F45" s="7">
        <f t="shared" ref="F45:I45" si="36">SUM(F40:F43)</f>
        <v>1927.8323178601813</v>
      </c>
      <c r="G45" s="7">
        <f t="shared" si="36"/>
        <v>1929.6984521176155</v>
      </c>
      <c r="H45" s="7">
        <f t="shared" si="36"/>
        <v>1931.6532217633999</v>
      </c>
      <c r="I45" s="7">
        <f t="shared" si="36"/>
        <v>1933.6990223485714</v>
      </c>
      <c r="J45" s="7"/>
      <c r="K45" s="7"/>
      <c r="L45" s="168"/>
    </row>
    <row r="46" spans="1:12" x14ac:dyDescent="0.2">
      <c r="B46" s="5"/>
      <c r="C46" s="12"/>
      <c r="D46" s="12"/>
      <c r="E46" s="14"/>
      <c r="F46" s="14"/>
      <c r="G46" s="14"/>
      <c r="H46" s="14"/>
      <c r="I46" s="14"/>
      <c r="J46" s="33"/>
      <c r="K46" s="33"/>
      <c r="L46" s="168"/>
    </row>
    <row r="47" spans="1:12" x14ac:dyDescent="0.2">
      <c r="B47" s="1" t="s">
        <v>344</v>
      </c>
      <c r="C47" s="7">
        <f>C38+C45</f>
        <v>2144.69</v>
      </c>
      <c r="D47" s="7">
        <f>D38+D45</f>
        <v>3627.2070000000003</v>
      </c>
      <c r="E47" s="7">
        <f t="shared" ref="E47" si="37">E38+E45</f>
        <v>3825.3366491445886</v>
      </c>
      <c r="F47" s="7">
        <f t="shared" ref="F47:I47" si="38">F38+F45</f>
        <v>3999.4031139335211</v>
      </c>
      <c r="G47" s="7">
        <f t="shared" si="38"/>
        <v>4143.7917726514006</v>
      </c>
      <c r="H47" s="7">
        <f t="shared" si="38"/>
        <v>4295.2474430578495</v>
      </c>
      <c r="I47" s="7">
        <f t="shared" si="38"/>
        <v>4456.162338983775</v>
      </c>
      <c r="J47" s="7"/>
      <c r="K47" s="7"/>
      <c r="L47" s="168"/>
    </row>
    <row r="48" spans="1:12" x14ac:dyDescent="0.2">
      <c r="B48" s="5"/>
      <c r="C48" s="12"/>
      <c r="D48" s="12"/>
      <c r="E48" s="169"/>
      <c r="F48" s="169"/>
      <c r="G48" s="169"/>
      <c r="H48" s="169"/>
      <c r="I48" s="169"/>
      <c r="J48" s="33"/>
      <c r="K48" s="33"/>
      <c r="L48" s="168"/>
    </row>
    <row r="49" spans="1:12" x14ac:dyDescent="0.2">
      <c r="B49" s="1" t="s">
        <v>345</v>
      </c>
      <c r="C49" s="7">
        <f>C28-C47</f>
        <v>716.89799999999968</v>
      </c>
      <c r="D49" s="7">
        <f>D28-D47</f>
        <v>4660.5949999999993</v>
      </c>
      <c r="E49" s="7">
        <f t="shared" ref="E49" si="39">E28-E47</f>
        <v>4889.6845247145156</v>
      </c>
      <c r="F49" s="7">
        <f t="shared" ref="F49:I49" si="40">F28-F47</f>
        <v>5154.5800568585009</v>
      </c>
      <c r="G49" s="7">
        <f t="shared" si="40"/>
        <v>5466.4635564375239</v>
      </c>
      <c r="H49" s="7">
        <f t="shared" si="40"/>
        <v>5823.4101009101505</v>
      </c>
      <c r="I49" s="7">
        <f t="shared" si="40"/>
        <v>6251.0142468524737</v>
      </c>
      <c r="J49" s="7"/>
      <c r="K49" s="7"/>
      <c r="L49" s="168"/>
    </row>
    <row r="50" spans="1:12" x14ac:dyDescent="0.2">
      <c r="B50" s="5"/>
      <c r="C50" s="12"/>
      <c r="D50" s="12"/>
      <c r="E50" s="14"/>
      <c r="F50" s="14"/>
      <c r="G50" s="14"/>
      <c r="H50" s="14"/>
      <c r="I50" s="14"/>
      <c r="J50" s="33"/>
      <c r="K50" s="33"/>
      <c r="L50" s="168"/>
    </row>
    <row r="51" spans="1:12" x14ac:dyDescent="0.2">
      <c r="A51" s="28" t="s">
        <v>256</v>
      </c>
      <c r="B51" s="5" t="s">
        <v>40</v>
      </c>
      <c r="C51" s="12">
        <v>553.69899999999996</v>
      </c>
      <c r="D51" s="12">
        <v>4403.299</v>
      </c>
      <c r="E51" s="14">
        <f>D51+CF!E36</f>
        <v>4403.299</v>
      </c>
      <c r="F51" s="14">
        <f>E51+CF!F36</f>
        <v>4403.299</v>
      </c>
      <c r="G51" s="14">
        <f>F51+CF!G36</f>
        <v>4403.299</v>
      </c>
      <c r="H51" s="14">
        <f>G51+CF!H36</f>
        <v>4403.299</v>
      </c>
      <c r="I51" s="14">
        <f>H51+CF!I36</f>
        <v>4403.299</v>
      </c>
      <c r="J51" s="33"/>
      <c r="K51" s="33"/>
      <c r="L51" s="168"/>
    </row>
    <row r="52" spans="1:12" x14ac:dyDescent="0.2">
      <c r="A52" s="28" t="s">
        <v>41</v>
      </c>
      <c r="B52" s="5" t="s">
        <v>41</v>
      </c>
      <c r="C52" s="12">
        <v>-54.186999999999998</v>
      </c>
      <c r="D52" s="12">
        <v>-6.0229999999999997</v>
      </c>
      <c r="E52" s="14">
        <f t="shared" ref="E52" si="41">D52</f>
        <v>-6.0229999999999997</v>
      </c>
      <c r="F52" s="14">
        <f t="shared" ref="F52" si="42">E52</f>
        <v>-6.0229999999999997</v>
      </c>
      <c r="G52" s="14">
        <f t="shared" ref="G52" si="43">F52</f>
        <v>-6.0229999999999997</v>
      </c>
      <c r="H52" s="14">
        <f t="shared" ref="H52" si="44">G52</f>
        <v>-6.0229999999999997</v>
      </c>
      <c r="I52" s="14">
        <f t="shared" ref="I52" si="45">H52</f>
        <v>-6.0229999999999997</v>
      </c>
      <c r="J52" s="33"/>
      <c r="K52" s="33"/>
      <c r="L52" s="168"/>
    </row>
    <row r="53" spans="1:12" x14ac:dyDescent="0.2">
      <c r="A53" s="28" t="s">
        <v>258</v>
      </c>
      <c r="B53" s="5" t="s">
        <v>42</v>
      </c>
      <c r="C53" s="12">
        <v>222.90600000000001</v>
      </c>
      <c r="D53" s="12">
        <v>273.26299999999998</v>
      </c>
      <c r="E53" s="13">
        <f>D53+PL!E42+CF!E41</f>
        <v>494.54666327320149</v>
      </c>
      <c r="F53" s="13">
        <f>E53+PL!F42+CF!F41</f>
        <v>748.25774859201329</v>
      </c>
      <c r="G53" s="13">
        <f>F53+PL!G42+CF!G41</f>
        <v>1046.0410610389956</v>
      </c>
      <c r="H53" s="13">
        <f>G53+PL!H42+CF!H41</f>
        <v>1385.454436972695</v>
      </c>
      <c r="I53" s="13">
        <f>H53+PL!I42+CF!I41</f>
        <v>1792.0749552869293</v>
      </c>
      <c r="J53" s="33"/>
      <c r="K53" s="33"/>
      <c r="L53" s="168"/>
    </row>
    <row r="54" spans="1:12" x14ac:dyDescent="0.2">
      <c r="B54" s="17" t="s">
        <v>43</v>
      </c>
      <c r="C54" s="18">
        <f>SUM(C51:C53)</f>
        <v>722.41799999999989</v>
      </c>
      <c r="D54" s="18">
        <f>SUM(D51:D53)</f>
        <v>4670.5389999999998</v>
      </c>
      <c r="E54" s="19">
        <f t="shared" ref="E54" si="46">SUM(E51:E53)</f>
        <v>4891.8226632732012</v>
      </c>
      <c r="F54" s="19">
        <f t="shared" ref="F54:I54" si="47">SUM(F51:F53)</f>
        <v>5145.5337485920136</v>
      </c>
      <c r="G54" s="19">
        <f t="shared" si="47"/>
        <v>5443.3170610389952</v>
      </c>
      <c r="H54" s="19">
        <f t="shared" si="47"/>
        <v>5782.7304369726953</v>
      </c>
      <c r="I54" s="19">
        <f t="shared" si="47"/>
        <v>6189.3509552869291</v>
      </c>
      <c r="J54" s="33"/>
      <c r="K54" s="33"/>
      <c r="L54" s="168"/>
    </row>
    <row r="55" spans="1:12" x14ac:dyDescent="0.2">
      <c r="A55" s="28" t="s">
        <v>260</v>
      </c>
      <c r="B55" s="5" t="s">
        <v>44</v>
      </c>
      <c r="C55" s="12">
        <v>-5.5270000000000001</v>
      </c>
      <c r="D55" s="12">
        <v>-9.9440000000000008</v>
      </c>
      <c r="E55" s="13">
        <f>D55-PL!E35</f>
        <v>-2.1381385586865793</v>
      </c>
      <c r="F55" s="13">
        <f>E55-PL!F35</f>
        <v>9.046308266488186</v>
      </c>
      <c r="G55" s="13">
        <f>F55-PL!G35</f>
        <v>23.146495398526753</v>
      </c>
      <c r="H55" s="13">
        <f>G55-PL!H35</f>
        <v>40.679663937454841</v>
      </c>
      <c r="I55" s="13">
        <f>H55-PL!I35</f>
        <v>61.66329156554454</v>
      </c>
      <c r="J55" s="33"/>
      <c r="K55" s="33"/>
      <c r="L55" s="168"/>
    </row>
    <row r="56" spans="1:12" x14ac:dyDescent="0.2">
      <c r="B56" s="5"/>
      <c r="C56" s="12"/>
      <c r="D56" s="12"/>
      <c r="E56" s="13"/>
      <c r="F56" s="13"/>
      <c r="G56" s="13"/>
      <c r="H56" s="13"/>
      <c r="I56" s="13"/>
      <c r="J56" s="33"/>
      <c r="K56" s="33"/>
      <c r="L56" s="168"/>
    </row>
    <row r="57" spans="1:12" x14ac:dyDescent="0.2">
      <c r="A57" s="28" t="s">
        <v>421</v>
      </c>
      <c r="B57" s="1" t="s">
        <v>263</v>
      </c>
      <c r="C57" s="7">
        <f>SUM(C54:C55)</f>
        <v>716.89099999999985</v>
      </c>
      <c r="D57" s="7">
        <f>SUM(D54:D55)</f>
        <v>4660.5949999999993</v>
      </c>
      <c r="E57" s="7">
        <f t="shared" ref="E57" si="48">SUM(E54:E55)</f>
        <v>4889.6845247145147</v>
      </c>
      <c r="F57" s="7">
        <f t="shared" ref="F57:I57" si="49">SUM(F54:F55)</f>
        <v>5154.5800568585018</v>
      </c>
      <c r="G57" s="7">
        <f t="shared" si="49"/>
        <v>5466.4635564375221</v>
      </c>
      <c r="H57" s="7">
        <f t="shared" si="49"/>
        <v>5823.4101009101505</v>
      </c>
      <c r="I57" s="7">
        <f t="shared" si="49"/>
        <v>6251.0142468524737</v>
      </c>
      <c r="J57" s="7"/>
      <c r="K57" s="7"/>
      <c r="L57" s="168"/>
    </row>
    <row r="58" spans="1:12" x14ac:dyDescent="0.2">
      <c r="B58" s="15" t="s">
        <v>168</v>
      </c>
      <c r="C58" s="16">
        <f>C28-C47-C57</f>
        <v>6.999999999834472E-3</v>
      </c>
      <c r="D58" s="16">
        <f t="shared" ref="D58:E58" si="50">D28-D47-D57</f>
        <v>0</v>
      </c>
      <c r="E58" s="26">
        <f t="shared" si="50"/>
        <v>0</v>
      </c>
      <c r="F58" s="26">
        <f t="shared" ref="F58" si="51">F28-F47-F57</f>
        <v>0</v>
      </c>
      <c r="G58" s="26">
        <f t="shared" ref="G58" si="52">G28-G47-G57</f>
        <v>0</v>
      </c>
      <c r="H58" s="26">
        <f t="shared" ref="H58" si="53">H28-H47-H57</f>
        <v>0</v>
      </c>
      <c r="I58" s="26">
        <f t="shared" ref="I58" si="54">I28-I47-I57</f>
        <v>0</v>
      </c>
      <c r="J58" s="33"/>
      <c r="K58" s="33"/>
      <c r="L58" s="168"/>
    </row>
    <row r="59" spans="1:12" x14ac:dyDescent="0.2">
      <c r="B59" s="15"/>
      <c r="C59" s="20"/>
      <c r="D59" s="20"/>
      <c r="E59" s="26"/>
      <c r="F59" s="26"/>
      <c r="G59" s="26"/>
      <c r="H59" s="26"/>
      <c r="I59" s="26"/>
      <c r="J59" s="33"/>
      <c r="K59" s="33"/>
    </row>
    <row r="60" spans="1:12" x14ac:dyDescent="0.2">
      <c r="B60" s="3" t="s">
        <v>169</v>
      </c>
      <c r="C60" s="20"/>
      <c r="D60" s="20"/>
      <c r="E60" s="169"/>
      <c r="F60" s="169"/>
      <c r="G60" s="169"/>
      <c r="H60" s="169"/>
      <c r="I60" s="169"/>
      <c r="J60" s="33"/>
      <c r="K60" s="33"/>
    </row>
    <row r="61" spans="1:12" x14ac:dyDescent="0.2">
      <c r="B61" s="3" t="s">
        <v>170</v>
      </c>
      <c r="C61" s="27">
        <f>C7</f>
        <v>695.01199999999994</v>
      </c>
      <c r="D61" s="27">
        <f>D7</f>
        <v>1575.136</v>
      </c>
      <c r="E61" s="170">
        <f>PL!E$5*E62</f>
        <v>1709.8834966073759</v>
      </c>
      <c r="F61" s="170">
        <f>PL!F$5*F62</f>
        <v>1838.0482683607343</v>
      </c>
      <c r="G61" s="170">
        <f>PL!G$5*G62</f>
        <v>1992.8446506136388</v>
      </c>
      <c r="H61" s="170">
        <f>PL!H$5*H62</f>
        <v>2155.2203780217237</v>
      </c>
      <c r="I61" s="170">
        <f>PL!I$5*I62</f>
        <v>2327.7710769631094</v>
      </c>
      <c r="J61" s="33"/>
      <c r="K61" s="33"/>
    </row>
    <row r="62" spans="1:12" x14ac:dyDescent="0.2">
      <c r="B62" s="4" t="s">
        <v>182</v>
      </c>
      <c r="C62" s="21">
        <f>C61/PL!C5</f>
        <v>7.7207256245903633E-2</v>
      </c>
      <c r="D62" s="21">
        <f>D61/PL!D5</f>
        <v>0.15339494570774698</v>
      </c>
      <c r="E62" s="171">
        <v>0.14499999999999999</v>
      </c>
      <c r="F62" s="171">
        <v>0.14000000000000001</v>
      </c>
      <c r="G62" s="171">
        <f t="shared" ref="G62:I62" si="55">F62</f>
        <v>0.14000000000000001</v>
      </c>
      <c r="H62" s="171">
        <f t="shared" si="55"/>
        <v>0.14000000000000001</v>
      </c>
      <c r="I62" s="171">
        <f t="shared" si="55"/>
        <v>0.14000000000000001</v>
      </c>
      <c r="J62" s="33"/>
      <c r="K62" s="33"/>
    </row>
    <row r="63" spans="1:12" x14ac:dyDescent="0.2">
      <c r="B63" s="2" t="s">
        <v>172</v>
      </c>
      <c r="C63" s="22"/>
      <c r="D63" s="22"/>
      <c r="E63" s="169"/>
      <c r="F63" s="169"/>
      <c r="G63" s="169"/>
      <c r="H63" s="169"/>
      <c r="I63" s="169"/>
      <c r="J63" s="33"/>
      <c r="K63" s="33"/>
    </row>
    <row r="64" spans="1:12" x14ac:dyDescent="0.2">
      <c r="B64" s="2"/>
      <c r="C64" s="23"/>
      <c r="D64" s="23"/>
      <c r="E64" s="169"/>
      <c r="F64" s="169"/>
      <c r="G64" s="169"/>
      <c r="H64" s="169"/>
      <c r="I64" s="169"/>
      <c r="J64" s="33"/>
      <c r="K64" s="33"/>
    </row>
    <row r="65" spans="1:11" x14ac:dyDescent="0.2">
      <c r="B65" s="3" t="s">
        <v>173</v>
      </c>
      <c r="C65" s="27">
        <f>C8</f>
        <v>599.90300000000002</v>
      </c>
      <c r="D65" s="27">
        <f>D8</f>
        <v>1019.778</v>
      </c>
      <c r="E65" s="170">
        <f>PL!E$5*E66</f>
        <v>1171.1085441437249</v>
      </c>
      <c r="F65" s="170">
        <f>PL!F$5*F66</f>
        <v>1247.247039244784</v>
      </c>
      <c r="G65" s="170">
        <f>PL!G$5*G66</f>
        <v>1281.1144182516248</v>
      </c>
      <c r="H65" s="170">
        <f>PL!H$5*H66</f>
        <v>1308.526658084618</v>
      </c>
      <c r="I65" s="170">
        <f>PL!I$5*I66</f>
        <v>1330.1549011217769</v>
      </c>
      <c r="J65" s="33"/>
      <c r="K65" s="33"/>
    </row>
    <row r="66" spans="1:11" x14ac:dyDescent="0.2">
      <c r="B66" s="4" t="s">
        <v>182</v>
      </c>
      <c r="C66" s="21">
        <f>C65/PL!C$5</f>
        <v>6.6641820060209522E-2</v>
      </c>
      <c r="D66" s="21">
        <f>D65/PL!D$5</f>
        <v>9.9311291814773342E-2</v>
      </c>
      <c r="E66" s="171">
        <f>D66</f>
        <v>9.9311291814773342E-2</v>
      </c>
      <c r="F66" s="171">
        <v>9.5000000000000001E-2</v>
      </c>
      <c r="G66" s="171">
        <v>0.09</v>
      </c>
      <c r="H66" s="171">
        <v>8.5000000000000006E-2</v>
      </c>
      <c r="I66" s="171">
        <v>0.08</v>
      </c>
      <c r="J66" s="33"/>
      <c r="K66" s="33"/>
    </row>
    <row r="67" spans="1:11" x14ac:dyDescent="0.2">
      <c r="B67" s="2" t="s">
        <v>174</v>
      </c>
      <c r="C67" s="22"/>
      <c r="D67" s="22"/>
      <c r="E67" s="169"/>
      <c r="F67" s="169"/>
      <c r="G67" s="169"/>
      <c r="H67" s="169"/>
      <c r="I67" s="169"/>
      <c r="J67" s="33"/>
      <c r="K67" s="33"/>
    </row>
    <row r="68" spans="1:11" x14ac:dyDescent="0.2">
      <c r="B68" s="2"/>
      <c r="C68" s="23"/>
      <c r="D68" s="23"/>
      <c r="E68" s="169"/>
      <c r="F68" s="169"/>
      <c r="G68" s="169"/>
      <c r="H68" s="169"/>
      <c r="I68" s="169"/>
      <c r="J68" s="33"/>
      <c r="K68" s="33"/>
    </row>
    <row r="69" spans="1:11" x14ac:dyDescent="0.2">
      <c r="B69" s="3" t="s">
        <v>175</v>
      </c>
      <c r="C69" s="27">
        <f>C31</f>
        <v>745.82399999999996</v>
      </c>
      <c r="D69" s="27">
        <f>D31</f>
        <v>1323.6030000000001</v>
      </c>
      <c r="E69" s="170">
        <f>PL!E$5*E70</f>
        <v>1520.0198301534911</v>
      </c>
      <c r="F69" s="170">
        <f>PL!F$5*F70</f>
        <v>1692.3087960733401</v>
      </c>
      <c r="G69" s="170">
        <f>PL!G$5*G70</f>
        <v>1834.8313205337852</v>
      </c>
      <c r="H69" s="170">
        <f>PL!H$5*H70</f>
        <v>1984.3322212944495</v>
      </c>
      <c r="I69" s="170">
        <f>PL!I$5*I70</f>
        <v>2143.201316635204</v>
      </c>
      <c r="J69" s="33"/>
      <c r="K69" s="33"/>
    </row>
    <row r="70" spans="1:11" x14ac:dyDescent="0.2">
      <c r="B70" s="4" t="s">
        <v>182</v>
      </c>
      <c r="C70" s="21">
        <f>C69/PL!C$5</f>
        <v>8.285184238882902E-2</v>
      </c>
      <c r="D70" s="21">
        <f>D69/PL!D$5</f>
        <v>0.12889935238837222</v>
      </c>
      <c r="E70" s="171">
        <f>D70</f>
        <v>0.12889935238837222</v>
      </c>
      <c r="F70" s="171">
        <f t="shared" ref="F70:I70" si="56">E70</f>
        <v>0.12889935238837222</v>
      </c>
      <c r="G70" s="171">
        <f t="shared" si="56"/>
        <v>0.12889935238837222</v>
      </c>
      <c r="H70" s="171">
        <f t="shared" si="56"/>
        <v>0.12889935238837222</v>
      </c>
      <c r="I70" s="171">
        <f t="shared" si="56"/>
        <v>0.12889935238837222</v>
      </c>
      <c r="J70" s="33"/>
      <c r="K70" s="33"/>
    </row>
    <row r="71" spans="1:11" x14ac:dyDescent="0.2">
      <c r="B71" s="2" t="s">
        <v>176</v>
      </c>
      <c r="C71" s="22"/>
      <c r="D71" s="22"/>
      <c r="E71" s="169"/>
      <c r="F71" s="169"/>
      <c r="G71" s="169"/>
      <c r="H71" s="169"/>
      <c r="I71" s="169"/>
      <c r="J71" s="33"/>
      <c r="K71" s="33"/>
    </row>
    <row r="72" spans="1:11" x14ac:dyDescent="0.2">
      <c r="B72" s="2"/>
      <c r="C72" s="23"/>
      <c r="D72" s="23"/>
      <c r="E72" s="169"/>
      <c r="F72" s="169"/>
      <c r="G72" s="169"/>
      <c r="H72" s="169"/>
      <c r="I72" s="169"/>
      <c r="J72" s="33"/>
      <c r="K72" s="33"/>
    </row>
    <row r="73" spans="1:11" x14ac:dyDescent="0.2">
      <c r="B73" s="3" t="s">
        <v>177</v>
      </c>
      <c r="C73" s="24">
        <f>C61+C65-C69</f>
        <v>549.09100000000001</v>
      </c>
      <c r="D73" s="24">
        <f>D61+D65-D69</f>
        <v>1271.3109999999997</v>
      </c>
      <c r="E73" s="170">
        <f>E61+E65-E69</f>
        <v>1360.9722105976098</v>
      </c>
      <c r="F73" s="170">
        <f t="shared" ref="F73:I73" si="57">F61+F65-F69</f>
        <v>1392.9865115321782</v>
      </c>
      <c r="G73" s="170">
        <f t="shared" si="57"/>
        <v>1439.1277483314782</v>
      </c>
      <c r="H73" s="170">
        <f t="shared" si="57"/>
        <v>1479.414814811892</v>
      </c>
      <c r="I73" s="170">
        <f t="shared" si="57"/>
        <v>1514.7246614496821</v>
      </c>
      <c r="J73" s="33"/>
      <c r="K73" s="33"/>
    </row>
    <row r="74" spans="1:11" x14ac:dyDescent="0.2">
      <c r="A74" s="28" t="s">
        <v>183</v>
      </c>
      <c r="B74" s="2" t="s">
        <v>162</v>
      </c>
      <c r="C74" s="25"/>
      <c r="D74" s="224">
        <f t="shared" ref="D74" si="58">-(D73-C73)</f>
        <v>-722.21999999999969</v>
      </c>
      <c r="E74" s="225">
        <f t="shared" ref="E74" si="59">-(E73-D73)</f>
        <v>-89.661210597610079</v>
      </c>
      <c r="F74" s="225">
        <f t="shared" ref="F74" si="60">-(F73-E73)</f>
        <v>-32.014300934568382</v>
      </c>
      <c r="G74" s="225">
        <f t="shared" ref="G74" si="61">-(G73-F73)</f>
        <v>-46.141236799300032</v>
      </c>
      <c r="H74" s="225">
        <f t="shared" ref="H74" si="62">-(H73-G73)</f>
        <v>-40.287066480413841</v>
      </c>
      <c r="I74" s="225">
        <f t="shared" ref="I74" si="63">-(I73-H73)</f>
        <v>-35.309846637790088</v>
      </c>
      <c r="J74" s="33"/>
      <c r="K74" s="33"/>
    </row>
    <row r="75" spans="1:11" x14ac:dyDescent="0.2">
      <c r="B75" s="2"/>
      <c r="C75" s="25"/>
      <c r="D75" s="25"/>
      <c r="E75" s="271">
        <f>E74/D73</f>
        <v>-7.0526575006123679E-2</v>
      </c>
      <c r="F75" s="271">
        <f t="shared" ref="F75:I75" si="64">F74/E73</f>
        <v>-2.35231114090939E-2</v>
      </c>
      <c r="G75" s="271">
        <f t="shared" si="64"/>
        <v>-3.31239652482695E-2</v>
      </c>
      <c r="H75" s="271">
        <f t="shared" si="64"/>
        <v>-2.7994086367330896E-2</v>
      </c>
      <c r="I75" s="271">
        <f t="shared" si="64"/>
        <v>-2.3867441561533736E-2</v>
      </c>
      <c r="J75" s="33"/>
      <c r="K75" s="33"/>
    </row>
    <row r="76" spans="1:11" x14ac:dyDescent="0.2">
      <c r="B76" s="2" t="s">
        <v>22</v>
      </c>
      <c r="C76" s="25"/>
      <c r="D76" s="25">
        <f>D6</f>
        <v>138.774</v>
      </c>
      <c r="E76" s="172">
        <f>E6</f>
        <v>262.54586159464975</v>
      </c>
      <c r="F76" s="172">
        <f>F6</f>
        <v>477.70275081593763</v>
      </c>
      <c r="G76" s="172">
        <f t="shared" ref="G76:I76" si="65">G6</f>
        <v>723.64380317281007</v>
      </c>
      <c r="H76" s="172">
        <f t="shared" si="65"/>
        <v>1018.6046341824571</v>
      </c>
      <c r="I76" s="172">
        <f t="shared" si="65"/>
        <v>1387.4732667665721</v>
      </c>
      <c r="J76" s="33"/>
      <c r="K76" s="33"/>
    </row>
    <row r="77" spans="1:11" x14ac:dyDescent="0.2">
      <c r="B77" s="2" t="s">
        <v>36</v>
      </c>
      <c r="C77" s="25"/>
      <c r="D77" s="25">
        <f>D41+D33</f>
        <v>890.93500000000006</v>
      </c>
      <c r="E77" s="172">
        <f>E41+E33</f>
        <v>890.93500000000006</v>
      </c>
      <c r="F77" s="172">
        <f>F41+F33</f>
        <v>890.93500000000006</v>
      </c>
      <c r="G77" s="172">
        <f t="shared" ref="G77:H77" si="66">G41+G33</f>
        <v>890.93500000000006</v>
      </c>
      <c r="H77" s="172">
        <f t="shared" si="66"/>
        <v>890.93500000000006</v>
      </c>
      <c r="I77" s="172">
        <f>I41+I33</f>
        <v>890.93500000000006</v>
      </c>
      <c r="J77" s="33"/>
      <c r="K77" s="33"/>
    </row>
    <row r="78" spans="1:11" x14ac:dyDescent="0.2">
      <c r="A78" s="28" t="s">
        <v>179</v>
      </c>
      <c r="B78" s="3" t="s">
        <v>179</v>
      </c>
      <c r="C78" s="25"/>
      <c r="D78" s="24">
        <f>D77-D76</f>
        <v>752.16100000000006</v>
      </c>
      <c r="E78" s="170">
        <f t="shared" ref="E78:F78" si="67">E77-E76</f>
        <v>628.38913840535031</v>
      </c>
      <c r="F78" s="170">
        <f t="shared" si="67"/>
        <v>413.23224918406243</v>
      </c>
      <c r="G78" s="170">
        <f t="shared" ref="G78:I78" si="68">G77-G76</f>
        <v>167.29119682718999</v>
      </c>
      <c r="H78" s="170">
        <f t="shared" si="68"/>
        <v>-127.669634182457</v>
      </c>
      <c r="I78" s="170">
        <f t="shared" si="68"/>
        <v>-496.53826676657206</v>
      </c>
      <c r="J78" s="33"/>
      <c r="K78" s="33"/>
    </row>
    <row r="79" spans="1:11" x14ac:dyDescent="0.2">
      <c r="A79" s="28" t="s">
        <v>418</v>
      </c>
      <c r="B79" s="2" t="s">
        <v>180</v>
      </c>
      <c r="C79" s="25"/>
      <c r="D79" s="25"/>
      <c r="E79" s="231">
        <f>E78-D78</f>
        <v>-123.77186159464975</v>
      </c>
      <c r="F79" s="231">
        <f t="shared" ref="F79:I79" si="69">F78-E78</f>
        <v>-215.15688922128788</v>
      </c>
      <c r="G79" s="231">
        <f t="shared" si="69"/>
        <v>-245.94105235687243</v>
      </c>
      <c r="H79" s="231">
        <f t="shared" si="69"/>
        <v>-294.96083100964699</v>
      </c>
      <c r="I79" s="231">
        <f t="shared" si="69"/>
        <v>-368.86863258411506</v>
      </c>
      <c r="J79" s="33"/>
      <c r="K79" s="33"/>
    </row>
    <row r="80" spans="1:11" x14ac:dyDescent="0.2">
      <c r="B80" s="2"/>
      <c r="C80" s="25"/>
      <c r="D80" s="25"/>
      <c r="E80" s="169"/>
      <c r="F80" s="169"/>
      <c r="G80" s="169"/>
      <c r="H80" s="169"/>
      <c r="I80" s="169"/>
      <c r="J80" s="33"/>
      <c r="K80" s="33"/>
    </row>
    <row r="81" spans="2:11" x14ac:dyDescent="0.2">
      <c r="B81" s="3" t="s">
        <v>181</v>
      </c>
      <c r="C81" s="25"/>
      <c r="D81" s="25"/>
      <c r="E81" s="14">
        <v>150</v>
      </c>
      <c r="F81" s="14">
        <f>E81*(1+Model!Z16)</f>
        <v>155.66433566433565</v>
      </c>
      <c r="G81" s="14">
        <f>F81*(1+Model!AA16)</f>
        <v>163.42657342657341</v>
      </c>
      <c r="H81" s="14">
        <f>G81*(1+Model!AB16)</f>
        <v>171.1888111888112</v>
      </c>
      <c r="I81" s="14">
        <f>H81*(1+Model!AC16)</f>
        <v>179.16083916083917</v>
      </c>
      <c r="J81" s="33"/>
      <c r="K81" s="33"/>
    </row>
    <row r="82" spans="2:11" x14ac:dyDescent="0.2">
      <c r="B82" s="2"/>
      <c r="C82" s="25"/>
      <c r="D82" s="25"/>
      <c r="E82" s="169"/>
      <c r="F82" s="169"/>
      <c r="G82" s="169"/>
      <c r="H82" s="169"/>
      <c r="I82" s="169"/>
      <c r="J82" s="33"/>
      <c r="K82" s="33"/>
    </row>
    <row r="83" spans="2:11" x14ac:dyDescent="0.2">
      <c r="B83" s="2" t="s">
        <v>189</v>
      </c>
      <c r="C83" s="25"/>
      <c r="D83" s="25"/>
      <c r="E83" s="169"/>
      <c r="F83" s="169"/>
      <c r="G83" s="169"/>
      <c r="H83" s="169"/>
      <c r="I83" s="169"/>
      <c r="J83" s="33"/>
      <c r="K83" s="33"/>
    </row>
    <row r="84" spans="2:11" x14ac:dyDescent="0.2">
      <c r="B84" s="2" t="s">
        <v>190</v>
      </c>
      <c r="C84" s="25"/>
      <c r="D84" s="25"/>
      <c r="E84" s="225">
        <f>PL!E26+CF!E40</f>
        <v>-156.92552670623144</v>
      </c>
      <c r="F84" s="225">
        <f>PL!F26+CF!F40</f>
        <v>-162.85138575667654</v>
      </c>
      <c r="G84" s="225">
        <f>PL!G26+CF!G40</f>
        <v>-170.9720074183976</v>
      </c>
      <c r="H84" s="225">
        <f>PL!H26+CF!H40</f>
        <v>-179.09262908011868</v>
      </c>
      <c r="I84" s="225">
        <f>PL!I26+CF!I40</f>
        <v>-187.43272700296737</v>
      </c>
      <c r="J84" s="33"/>
      <c r="K84" s="33"/>
    </row>
    <row r="85" spans="2:11" x14ac:dyDescent="0.2">
      <c r="B85" s="2" t="s">
        <v>191</v>
      </c>
      <c r="C85" s="25"/>
      <c r="D85" s="25"/>
      <c r="E85" s="225">
        <f>PL!E27</f>
        <v>-41.361654302670622</v>
      </c>
      <c r="F85" s="225">
        <f>PL!F27</f>
        <v>-37.035451038575665</v>
      </c>
      <c r="G85" s="225">
        <f>PL!G27</f>
        <v>-30.58843175074184</v>
      </c>
      <c r="H85" s="225">
        <f>PL!H27</f>
        <v>-30.141412462908008</v>
      </c>
      <c r="I85" s="225">
        <f>PL!I27</f>
        <v>-29.682311572700293</v>
      </c>
      <c r="J85" s="33"/>
      <c r="K85" s="33"/>
    </row>
    <row r="86" spans="2:11" x14ac:dyDescent="0.2">
      <c r="B86" s="2" t="s">
        <v>192</v>
      </c>
      <c r="C86" s="25"/>
      <c r="D86" s="25"/>
      <c r="E86" s="226">
        <f>E84+E85</f>
        <v>-198.28718100890205</v>
      </c>
      <c r="F86" s="226">
        <f t="shared" ref="F86:I86" si="70">F84+F85</f>
        <v>-199.88683679525221</v>
      </c>
      <c r="G86" s="226">
        <f t="shared" si="70"/>
        <v>-201.56043916913944</v>
      </c>
      <c r="H86" s="226">
        <f t="shared" si="70"/>
        <v>-209.23404154302671</v>
      </c>
      <c r="I86" s="226">
        <f t="shared" si="70"/>
        <v>-217.11503857566765</v>
      </c>
      <c r="J86" s="33"/>
      <c r="K86" s="33"/>
    </row>
    <row r="87" spans="2:11" x14ac:dyDescent="0.2">
      <c r="B87" s="2" t="s">
        <v>193</v>
      </c>
      <c r="C87" s="25"/>
      <c r="D87" s="25"/>
      <c r="E87" s="173">
        <f>PL!E19-BS!E84</f>
        <v>1290.1434689860223</v>
      </c>
      <c r="F87" s="173">
        <f>PL!F19-BS!F84</f>
        <v>1515.735983720828</v>
      </c>
      <c r="G87" s="173">
        <f>PL!G19-BS!G84</f>
        <v>1728.8751463225938</v>
      </c>
      <c r="H87" s="173">
        <f>PL!H19-BS!H84</f>
        <v>1937.2772605138175</v>
      </c>
      <c r="I87" s="173">
        <f>PL!I19-BS!I84</f>
        <v>2166.0036500201563</v>
      </c>
      <c r="J87" s="33"/>
      <c r="K87" s="33"/>
    </row>
    <row r="88" spans="2:11" x14ac:dyDescent="0.2">
      <c r="B88" s="2" t="s">
        <v>189</v>
      </c>
      <c r="C88" s="25"/>
      <c r="D88" s="25"/>
      <c r="E88" s="227">
        <f>E87/-E86</f>
        <v>6.506439107266857</v>
      </c>
      <c r="F88" s="227">
        <f t="shared" ref="F88:I88" si="71">F87/-F86</f>
        <v>7.5829704848119865</v>
      </c>
      <c r="G88" s="227">
        <f t="shared" si="71"/>
        <v>8.5774527652810288</v>
      </c>
      <c r="H88" s="227">
        <f t="shared" si="71"/>
        <v>9.2589009237076638</v>
      </c>
      <c r="I88" s="227">
        <f t="shared" si="71"/>
        <v>9.9762948906244162</v>
      </c>
      <c r="J88" s="33"/>
      <c r="K88" s="33"/>
    </row>
    <row r="89" spans="2:11" x14ac:dyDescent="0.2">
      <c r="J89" s="33"/>
      <c r="K89" s="33"/>
    </row>
  </sheetData>
  <pageMargins left="0.7" right="0.7" top="0.75" bottom="0.75" header="0.3" footer="0.3"/>
  <customProperties>
    <customPr name="Qube.Worksheet.Visibility" r:id="rId1"/>
    <customPr name="QXL_SHEET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A99C-D7BC-4DAD-903C-B8BAA55B6216}">
  <sheetPr>
    <tabColor theme="7" tint="0.59999389629810485"/>
    <pageSetUpPr fitToPage="1"/>
  </sheetPr>
  <dimension ref="A1:AD125"/>
  <sheetViews>
    <sheetView showGridLines="0" topLeftCell="B1" zoomScaleNormal="100" workbookViewId="0">
      <selection activeCell="B1" sqref="B1"/>
    </sheetView>
  </sheetViews>
  <sheetFormatPr defaultColWidth="9.140625" defaultRowHeight="11.25" outlineLevelCol="1" x14ac:dyDescent="0.2"/>
  <cols>
    <col min="1" max="1" width="5.85546875" style="88" hidden="1" customWidth="1" outlineLevel="1"/>
    <col min="2" max="2" width="27.5703125" style="88" customWidth="1" collapsed="1"/>
    <col min="3" max="18" width="9.140625" style="88" hidden="1" customWidth="1" outlineLevel="1"/>
    <col min="19" max="19" width="11.7109375" style="88" hidden="1" customWidth="1" outlineLevel="1" collapsed="1"/>
    <col min="20" max="20" width="10.140625" style="88" customWidth="1" collapsed="1"/>
    <col min="21" max="29" width="10.140625" style="88" customWidth="1"/>
    <col min="30" max="30" width="11.7109375" style="88" customWidth="1"/>
    <col min="31" max="16384" width="9.140625" style="88"/>
  </cols>
  <sheetData>
    <row r="1" spans="2:30" x14ac:dyDescent="0.2">
      <c r="B1" s="90" t="str">
        <f>Model!B1</f>
        <v>Sigma Healthcare (SIG.AX)</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row>
    <row r="2" spans="2:30" x14ac:dyDescent="0.2">
      <c r="B2" s="90"/>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row>
    <row r="3" spans="2:30" x14ac:dyDescent="0.2">
      <c r="B3" s="90"/>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row>
    <row r="4" spans="2:30" x14ac:dyDescent="0.2">
      <c r="B4" s="89"/>
      <c r="C4" s="89" t="s">
        <v>93</v>
      </c>
      <c r="D4" s="89" t="s">
        <v>94</v>
      </c>
      <c r="E4" s="89" t="s">
        <v>95</v>
      </c>
      <c r="F4" s="89" t="s">
        <v>96</v>
      </c>
      <c r="G4" s="89" t="s">
        <v>97</v>
      </c>
      <c r="H4" s="89" t="s">
        <v>92</v>
      </c>
      <c r="I4" s="89" t="s">
        <v>73</v>
      </c>
      <c r="J4" s="89" t="s">
        <v>74</v>
      </c>
      <c r="K4" s="89" t="s">
        <v>75</v>
      </c>
      <c r="L4" s="89" t="s">
        <v>76</v>
      </c>
      <c r="M4" s="89" t="s">
        <v>77</v>
      </c>
      <c r="N4" s="89" t="s">
        <v>78</v>
      </c>
      <c r="O4" s="89" t="s">
        <v>79</v>
      </c>
      <c r="P4" s="89" t="s">
        <v>80</v>
      </c>
      <c r="Q4" s="89" t="s">
        <v>81</v>
      </c>
      <c r="R4" s="89" t="s">
        <v>82</v>
      </c>
      <c r="S4" s="89" t="s">
        <v>83</v>
      </c>
      <c r="T4" s="89" t="s">
        <v>84</v>
      </c>
      <c r="U4" s="89" t="s">
        <v>85</v>
      </c>
      <c r="V4" s="89" t="s">
        <v>86</v>
      </c>
      <c r="W4" s="89" t="s">
        <v>18</v>
      </c>
      <c r="X4" s="89" t="s">
        <v>19</v>
      </c>
      <c r="Y4" s="89" t="s">
        <v>20</v>
      </c>
      <c r="Z4" s="89" t="s">
        <v>21</v>
      </c>
      <c r="AA4" s="89" t="s">
        <v>87</v>
      </c>
      <c r="AB4" s="89" t="s">
        <v>88</v>
      </c>
      <c r="AC4" s="89" t="s">
        <v>89</v>
      </c>
      <c r="AD4" s="89"/>
    </row>
    <row r="5" spans="2:30" x14ac:dyDescent="0.2">
      <c r="B5" s="90" t="s">
        <v>491</v>
      </c>
      <c r="S5" s="90"/>
      <c r="T5" s="90"/>
      <c r="U5" s="90"/>
      <c r="V5" s="90"/>
      <c r="W5" s="90"/>
      <c r="X5" s="90"/>
      <c r="Y5" s="90"/>
      <c r="Z5" s="90"/>
      <c r="AA5" s="90"/>
      <c r="AB5" s="90"/>
      <c r="AC5" s="90"/>
      <c r="AD5" s="90"/>
    </row>
    <row r="6" spans="2:30" x14ac:dyDescent="0.2">
      <c r="B6" s="91" t="s">
        <v>195</v>
      </c>
      <c r="C6" s="92"/>
      <c r="D6" s="92"/>
      <c r="E6" s="92"/>
      <c r="F6" s="92"/>
      <c r="G6" s="92"/>
      <c r="H6" s="92"/>
      <c r="I6" s="92"/>
      <c r="J6" s="92"/>
      <c r="K6" s="92"/>
      <c r="L6" s="92"/>
      <c r="M6" s="92"/>
      <c r="N6" s="92"/>
      <c r="O6" s="92"/>
      <c r="P6" s="92"/>
      <c r="Q6" s="92"/>
      <c r="R6" s="92"/>
      <c r="S6" s="93"/>
      <c r="T6" s="93">
        <v>4.7802420000000003</v>
      </c>
      <c r="U6" s="93">
        <v>19.294349</v>
      </c>
      <c r="V6" s="93">
        <v>38.165985999999997</v>
      </c>
      <c r="W6" s="93">
        <v>64.092793999999998</v>
      </c>
      <c r="X6" s="94">
        <f>W6*(1+X7)</f>
        <v>99.343830699999984</v>
      </c>
      <c r="Y6" s="94">
        <f t="shared" ref="Y6:AC6" si="0">X6*(1+Y7)</f>
        <v>151.71222145471427</v>
      </c>
      <c r="Z6" s="94">
        <f t="shared" si="0"/>
        <v>209.84195683315215</v>
      </c>
      <c r="AA6" s="94">
        <f t="shared" si="0"/>
        <v>266.49928517810326</v>
      </c>
      <c r="AB6" s="94">
        <f t="shared" si="0"/>
        <v>316.24581841134921</v>
      </c>
      <c r="AC6" s="94">
        <f t="shared" si="0"/>
        <v>367.74870883834035</v>
      </c>
      <c r="AD6" s="95"/>
    </row>
    <row r="7" spans="2:30" x14ac:dyDescent="0.2">
      <c r="B7" s="96" t="s">
        <v>137</v>
      </c>
      <c r="S7" s="96"/>
      <c r="T7" s="96"/>
      <c r="U7" s="104">
        <f>U6/T6-1</f>
        <v>3.0362703394514332</v>
      </c>
      <c r="V7" s="104">
        <f>V6/U6-1</f>
        <v>0.97809140904417124</v>
      </c>
      <c r="W7" s="104">
        <f>W6/V6-1</f>
        <v>0.67931712808362943</v>
      </c>
      <c r="X7" s="258">
        <f>SUM(X8:X10)</f>
        <v>0.54999999999999982</v>
      </c>
      <c r="Y7" s="258">
        <f t="shared" ref="Y7:AC7" si="1">SUM(Y8:Y10)</f>
        <v>0.52714285714285714</v>
      </c>
      <c r="Z7" s="258">
        <f t="shared" si="1"/>
        <v>0.38315789473684203</v>
      </c>
      <c r="AA7" s="258">
        <f t="shared" si="1"/>
        <v>0.27</v>
      </c>
      <c r="AB7" s="258">
        <f t="shared" si="1"/>
        <v>0.18666666666666673</v>
      </c>
      <c r="AC7" s="258">
        <f t="shared" si="1"/>
        <v>0.16285714285714278</v>
      </c>
      <c r="AD7" s="95"/>
    </row>
    <row r="8" spans="2:30" x14ac:dyDescent="0.2">
      <c r="B8" s="96" t="s">
        <v>196</v>
      </c>
      <c r="S8" s="96"/>
      <c r="T8" s="96"/>
      <c r="U8" s="278"/>
      <c r="V8" s="278"/>
      <c r="W8" s="278"/>
      <c r="X8" s="175">
        <v>0.2</v>
      </c>
      <c r="Y8" s="175">
        <v>0.2</v>
      </c>
      <c r="Z8" s="175">
        <v>0.15</v>
      </c>
      <c r="AA8" s="175">
        <v>0.05</v>
      </c>
      <c r="AB8" s="175">
        <v>0.05</v>
      </c>
      <c r="AC8" s="175">
        <v>0.05</v>
      </c>
      <c r="AD8" s="95"/>
    </row>
    <row r="9" spans="2:30" x14ac:dyDescent="0.2">
      <c r="B9" s="96" t="s">
        <v>197</v>
      </c>
      <c r="S9" s="96"/>
      <c r="T9" s="97"/>
      <c r="U9" s="104">
        <f t="shared" ref="U9:V9" si="2">U13</f>
        <v>1</v>
      </c>
      <c r="V9" s="104">
        <f t="shared" si="2"/>
        <v>0.5</v>
      </c>
      <c r="W9" s="104">
        <f>W13</f>
        <v>0.66666666666666674</v>
      </c>
      <c r="X9" s="258">
        <f t="shared" ref="X9:AC9" si="3">X13</f>
        <v>0.39999999999999991</v>
      </c>
      <c r="Y9" s="258">
        <f t="shared" si="3"/>
        <v>0.35714285714285721</v>
      </c>
      <c r="Z9" s="258">
        <f t="shared" si="3"/>
        <v>0.26315789473684204</v>
      </c>
      <c r="AA9" s="258">
        <f t="shared" si="3"/>
        <v>0.25</v>
      </c>
      <c r="AB9" s="258">
        <f t="shared" si="3"/>
        <v>0.16666666666666674</v>
      </c>
      <c r="AC9" s="258">
        <f t="shared" si="3"/>
        <v>0.14285714285714279</v>
      </c>
      <c r="AD9" s="95"/>
    </row>
    <row r="10" spans="2:30" x14ac:dyDescent="0.2">
      <c r="B10" s="96" t="s">
        <v>5</v>
      </c>
      <c r="S10" s="96"/>
      <c r="T10" s="96"/>
      <c r="U10" s="278"/>
      <c r="V10" s="278"/>
      <c r="W10" s="278"/>
      <c r="X10" s="175">
        <v>-0.05</v>
      </c>
      <c r="Y10" s="175">
        <v>-0.03</v>
      </c>
      <c r="Z10" s="175">
        <v>-0.03</v>
      </c>
      <c r="AA10" s="175">
        <v>-0.03</v>
      </c>
      <c r="AB10" s="175">
        <v>-0.03</v>
      </c>
      <c r="AC10" s="175">
        <v>-0.03</v>
      </c>
      <c r="AD10" s="95"/>
    </row>
    <row r="11" spans="2:30" x14ac:dyDescent="0.2">
      <c r="B11" s="96"/>
      <c r="S11" s="96"/>
      <c r="T11" s="96"/>
      <c r="U11" s="96"/>
      <c r="V11" s="96"/>
      <c r="W11" s="96"/>
      <c r="X11" s="95"/>
      <c r="Y11" s="95"/>
      <c r="Z11" s="95"/>
      <c r="AA11" s="95"/>
      <c r="AB11" s="95"/>
      <c r="AC11" s="95"/>
      <c r="AD11" s="95"/>
    </row>
    <row r="12" spans="2:30" x14ac:dyDescent="0.2">
      <c r="B12" s="91" t="s">
        <v>205</v>
      </c>
      <c r="S12" s="108">
        <v>0</v>
      </c>
      <c r="T12" s="108">
        <v>2</v>
      </c>
      <c r="U12" s="108">
        <v>4</v>
      </c>
      <c r="V12" s="108">
        <v>6</v>
      </c>
      <c r="W12" s="108">
        <v>10</v>
      </c>
      <c r="X12" s="250">
        <v>14</v>
      </c>
      <c r="Y12" s="106">
        <f>X12+5</f>
        <v>19</v>
      </c>
      <c r="Z12" s="106">
        <f t="shared" ref="Z12:AC12" si="4">Y12+5</f>
        <v>24</v>
      </c>
      <c r="AA12" s="106">
        <v>30</v>
      </c>
      <c r="AB12" s="106">
        <f t="shared" si="4"/>
        <v>35</v>
      </c>
      <c r="AC12" s="106">
        <f t="shared" si="4"/>
        <v>40</v>
      </c>
      <c r="AD12" s="95"/>
    </row>
    <row r="13" spans="2:30" x14ac:dyDescent="0.2">
      <c r="B13" s="96" t="s">
        <v>137</v>
      </c>
      <c r="S13" s="96"/>
      <c r="T13" s="97"/>
      <c r="U13" s="104">
        <f>U12/T12-1</f>
        <v>1</v>
      </c>
      <c r="V13" s="104">
        <f>V12/U12-1</f>
        <v>0.5</v>
      </c>
      <c r="W13" s="104">
        <f>W12/V12-1</f>
        <v>0.66666666666666674</v>
      </c>
      <c r="X13" s="258">
        <f t="shared" ref="X13:AC13" si="5">X12/W12-1</f>
        <v>0.39999999999999991</v>
      </c>
      <c r="Y13" s="258">
        <f t="shared" si="5"/>
        <v>0.35714285714285721</v>
      </c>
      <c r="Z13" s="258">
        <f t="shared" si="5"/>
        <v>0.26315789473684204</v>
      </c>
      <c r="AA13" s="258">
        <f t="shared" si="5"/>
        <v>0.25</v>
      </c>
      <c r="AB13" s="258">
        <f t="shared" si="5"/>
        <v>0.16666666666666674</v>
      </c>
      <c r="AC13" s="258">
        <f t="shared" si="5"/>
        <v>0.14285714285714279</v>
      </c>
      <c r="AD13" s="95"/>
    </row>
    <row r="14" spans="2:30" x14ac:dyDescent="0.2">
      <c r="B14" s="96"/>
      <c r="S14" s="96"/>
      <c r="T14" s="96"/>
      <c r="U14" s="96"/>
      <c r="V14" s="96"/>
      <c r="W14" s="96"/>
      <c r="X14" s="95"/>
      <c r="Y14" s="95"/>
      <c r="Z14" s="95"/>
      <c r="AA14" s="95"/>
      <c r="AB14" s="95"/>
      <c r="AC14" s="95"/>
      <c r="AD14" s="95"/>
    </row>
    <row r="15" spans="2:30" x14ac:dyDescent="0.2">
      <c r="B15" s="91" t="s">
        <v>354</v>
      </c>
      <c r="S15" s="96"/>
      <c r="T15" s="98">
        <f t="shared" ref="T15:AC15" si="6">T6/T12</f>
        <v>2.3901210000000002</v>
      </c>
      <c r="U15" s="98">
        <f t="shared" si="6"/>
        <v>4.8235872500000001</v>
      </c>
      <c r="V15" s="98">
        <f t="shared" si="6"/>
        <v>6.3609976666666661</v>
      </c>
      <c r="W15" s="98">
        <f t="shared" si="6"/>
        <v>6.4092794</v>
      </c>
      <c r="X15" s="94">
        <f t="shared" si="6"/>
        <v>7.095987907142856</v>
      </c>
      <c r="Y15" s="94">
        <f t="shared" si="6"/>
        <v>7.9848537607744348</v>
      </c>
      <c r="Z15" s="94">
        <f t="shared" si="6"/>
        <v>8.7434148680480064</v>
      </c>
      <c r="AA15" s="94">
        <f t="shared" si="6"/>
        <v>8.8833095059367757</v>
      </c>
      <c r="AB15" s="94">
        <f t="shared" si="6"/>
        <v>9.0355948117528353</v>
      </c>
      <c r="AC15" s="94">
        <f t="shared" si="6"/>
        <v>9.1937177209585084</v>
      </c>
      <c r="AD15" s="95"/>
    </row>
    <row r="16" spans="2:30" x14ac:dyDescent="0.2">
      <c r="B16" s="96" t="s">
        <v>200</v>
      </c>
      <c r="S16" s="96"/>
      <c r="T16" s="96"/>
      <c r="U16" s="104">
        <f>U15/T15-1</f>
        <v>1.0181351697257166</v>
      </c>
      <c r="V16" s="104">
        <f>V15/U15-1</f>
        <v>0.3187276060294475</v>
      </c>
      <c r="W16" s="104">
        <f>W15/V15-1</f>
        <v>7.5902768501776574E-3</v>
      </c>
      <c r="X16" s="258">
        <f t="shared" ref="X16:AC16" si="7">X15/W15-1</f>
        <v>0.10714285714285698</v>
      </c>
      <c r="Y16" s="258">
        <f t="shared" si="7"/>
        <v>0.12526315789473674</v>
      </c>
      <c r="Z16" s="258">
        <f t="shared" si="7"/>
        <v>9.4999999999999973E-2</v>
      </c>
      <c r="AA16" s="258">
        <f t="shared" si="7"/>
        <v>1.6000000000000236E-2</v>
      </c>
      <c r="AB16" s="258">
        <f t="shared" si="7"/>
        <v>1.7142857142857126E-2</v>
      </c>
      <c r="AC16" s="258">
        <f t="shared" si="7"/>
        <v>1.7499999999999849E-2</v>
      </c>
      <c r="AD16" s="95"/>
    </row>
    <row r="17" spans="2:30" x14ac:dyDescent="0.2">
      <c r="B17" s="91"/>
      <c r="S17" s="96"/>
      <c r="T17" s="96"/>
      <c r="U17" s="96"/>
      <c r="V17" s="96"/>
      <c r="W17" s="96"/>
      <c r="X17" s="95"/>
      <c r="Y17" s="95"/>
      <c r="Z17" s="95"/>
      <c r="AA17" s="95"/>
      <c r="AB17" s="95"/>
      <c r="AC17" s="95"/>
      <c r="AD17" s="95"/>
    </row>
    <row r="18" spans="2:30" x14ac:dyDescent="0.2">
      <c r="B18" s="91" t="s">
        <v>198</v>
      </c>
      <c r="S18" s="96"/>
      <c r="T18" s="93">
        <v>0.88184300000000004</v>
      </c>
      <c r="U18" s="93">
        <v>4.1255610000000003</v>
      </c>
      <c r="V18" s="93">
        <v>7.3411770000000001</v>
      </c>
      <c r="W18" s="93">
        <v>15.218017</v>
      </c>
      <c r="X18" s="94">
        <f>X20*X6</f>
        <v>24.084645503499999</v>
      </c>
      <c r="Y18" s="94">
        <f t="shared" ref="Y18:AC18" si="8">Y20*Y6</f>
        <v>37.235831011852</v>
      </c>
      <c r="Z18" s="94">
        <f t="shared" si="8"/>
        <v>52.132559501629487</v>
      </c>
      <c r="AA18" s="94">
        <f t="shared" si="8"/>
        <v>66.208350567069459</v>
      </c>
      <c r="AB18" s="94">
        <f t="shared" si="8"/>
        <v>78.567242672922418</v>
      </c>
      <c r="AC18" s="94">
        <f t="shared" si="8"/>
        <v>91.362479336798344</v>
      </c>
      <c r="AD18" s="95"/>
    </row>
    <row r="19" spans="2:30" x14ac:dyDescent="0.2">
      <c r="B19" s="96" t="s">
        <v>137</v>
      </c>
      <c r="S19" s="96"/>
      <c r="T19" s="96"/>
      <c r="U19" s="104">
        <f>U18/T18-1</f>
        <v>3.6783395683812197</v>
      </c>
      <c r="V19" s="104">
        <f>V18/U18-1</f>
        <v>0.77943726925865353</v>
      </c>
      <c r="W19" s="104">
        <f>W18/V18-1</f>
        <v>1.0729669098020658</v>
      </c>
      <c r="X19" s="258">
        <f t="shared" ref="X19:AC19" si="9">X18/W18-1</f>
        <v>0.58264020230099622</v>
      </c>
      <c r="Y19" s="258">
        <f t="shared" si="9"/>
        <v>0.54604023573611915</v>
      </c>
      <c r="Z19" s="258">
        <f t="shared" si="9"/>
        <v>0.40006434890726417</v>
      </c>
      <c r="AA19" s="258">
        <f t="shared" si="9"/>
        <v>0.27000000000000024</v>
      </c>
      <c r="AB19" s="258">
        <f t="shared" si="9"/>
        <v>0.18666666666666654</v>
      </c>
      <c r="AC19" s="258">
        <f t="shared" si="9"/>
        <v>0.16285714285714281</v>
      </c>
      <c r="AD19" s="95"/>
    </row>
    <row r="20" spans="2:30" x14ac:dyDescent="0.2">
      <c r="B20" s="96" t="s">
        <v>199</v>
      </c>
      <c r="S20" s="96"/>
      <c r="T20" s="104">
        <f>T18/T$6</f>
        <v>0.18447664365109548</v>
      </c>
      <c r="U20" s="104">
        <f t="shared" ref="U20:W20" si="10">U18/U$6</f>
        <v>0.21382224401559236</v>
      </c>
      <c r="V20" s="104">
        <f t="shared" si="10"/>
        <v>0.19234867926640231</v>
      </c>
      <c r="W20" s="104">
        <f t="shared" si="10"/>
        <v>0.23743725386663594</v>
      </c>
      <c r="X20" s="99">
        <f>W20+X21</f>
        <v>0.24243725386663595</v>
      </c>
      <c r="Y20" s="99">
        <f t="shared" ref="Y20:AC20" si="11">X20+Y21</f>
        <v>0.24543725386663595</v>
      </c>
      <c r="Z20" s="99">
        <f t="shared" si="11"/>
        <v>0.24843725386663595</v>
      </c>
      <c r="AA20" s="99">
        <f t="shared" si="11"/>
        <v>0.24843725386663595</v>
      </c>
      <c r="AB20" s="99">
        <f t="shared" si="11"/>
        <v>0.24843725386663595</v>
      </c>
      <c r="AC20" s="99">
        <f t="shared" si="11"/>
        <v>0.24843725386663595</v>
      </c>
      <c r="AD20" s="95"/>
    </row>
    <row r="21" spans="2:30" x14ac:dyDescent="0.2">
      <c r="B21" s="96" t="s">
        <v>178</v>
      </c>
      <c r="S21" s="96"/>
      <c r="T21" s="96"/>
      <c r="U21" s="278">
        <f>U20-T20</f>
        <v>2.9345600364496877E-2</v>
      </c>
      <c r="V21" s="278">
        <f>V20-U20</f>
        <v>-2.1473564749190044E-2</v>
      </c>
      <c r="W21" s="278">
        <f>W20-V20</f>
        <v>4.5088574600233633E-2</v>
      </c>
      <c r="X21" s="175">
        <v>5.0000000000000001E-3</v>
      </c>
      <c r="Y21" s="175">
        <v>3.0000000000000001E-3</v>
      </c>
      <c r="Z21" s="175">
        <v>3.0000000000000001E-3</v>
      </c>
      <c r="AA21" s="175">
        <v>0</v>
      </c>
      <c r="AB21" s="175">
        <v>0</v>
      </c>
      <c r="AC21" s="175">
        <v>0</v>
      </c>
      <c r="AD21" s="95"/>
    </row>
    <row r="22" spans="2:30" x14ac:dyDescent="0.2">
      <c r="B22" s="96"/>
      <c r="S22" s="96"/>
      <c r="T22" s="96"/>
      <c r="U22" s="96"/>
      <c r="V22" s="96"/>
      <c r="W22" s="96"/>
      <c r="X22" s="95"/>
      <c r="Y22" s="95"/>
      <c r="Z22" s="95"/>
      <c r="AA22" s="95"/>
      <c r="AB22" s="95"/>
      <c r="AC22" s="95"/>
      <c r="AD22" s="95"/>
    </row>
    <row r="23" spans="2:30" x14ac:dyDescent="0.2">
      <c r="B23" s="91" t="s">
        <v>9</v>
      </c>
      <c r="S23" s="96"/>
      <c r="T23" s="210">
        <f>T33-T18</f>
        <v>-2.8129570000000004</v>
      </c>
      <c r="U23" s="210">
        <f t="shared" ref="U23:W23" si="12">U33-U18</f>
        <v>-5.9848990000000004</v>
      </c>
      <c r="V23" s="210">
        <f t="shared" si="12"/>
        <v>-12.029730000000001</v>
      </c>
      <c r="W23" s="210">
        <f t="shared" si="12"/>
        <v>-16.344328999999998</v>
      </c>
      <c r="X23" s="211">
        <f>W23*(1+X24)</f>
        <v>-20.430411249999999</v>
      </c>
      <c r="Y23" s="211">
        <f t="shared" ref="Y23:AC23" si="13">X23*(1+Y24)</f>
        <v>-26.559534624999998</v>
      </c>
      <c r="Z23" s="211">
        <f t="shared" si="13"/>
        <v>-33.199418281249997</v>
      </c>
      <c r="AA23" s="211">
        <f t="shared" si="13"/>
        <v>-39.839301937499997</v>
      </c>
      <c r="AB23" s="211">
        <f t="shared" si="13"/>
        <v>-43.823232131250002</v>
      </c>
      <c r="AC23" s="211">
        <f t="shared" si="13"/>
        <v>-48.205555344375007</v>
      </c>
      <c r="AD23" s="95"/>
    </row>
    <row r="24" spans="2:30" x14ac:dyDescent="0.2">
      <c r="B24" s="96" t="s">
        <v>137</v>
      </c>
      <c r="S24" s="96"/>
      <c r="T24" s="96"/>
      <c r="U24" s="104">
        <f>U23/T23-1</f>
        <v>1.1276183745432298</v>
      </c>
      <c r="V24" s="104">
        <f>V23/U23-1</f>
        <v>1.0100138699082475</v>
      </c>
      <c r="W24" s="104">
        <f>W23/V23-1</f>
        <v>0.3586613332136297</v>
      </c>
      <c r="X24" s="175">
        <v>0.25</v>
      </c>
      <c r="Y24" s="175">
        <v>0.3</v>
      </c>
      <c r="Z24" s="175">
        <v>0.25</v>
      </c>
      <c r="AA24" s="175">
        <v>0.2</v>
      </c>
      <c r="AB24" s="175">
        <v>0.1</v>
      </c>
      <c r="AC24" s="175">
        <v>0.1</v>
      </c>
      <c r="AD24" s="95"/>
    </row>
    <row r="25" spans="2:30" x14ac:dyDescent="0.2">
      <c r="B25" s="96" t="s">
        <v>171</v>
      </c>
      <c r="S25" s="96"/>
      <c r="T25" s="100">
        <f>T23/T$6</f>
        <v>-0.58845493596349308</v>
      </c>
      <c r="U25" s="100">
        <f t="shared" ref="U25:W25" si="14">U23/U$6</f>
        <v>-0.31018921654210774</v>
      </c>
      <c r="V25" s="100">
        <f t="shared" si="14"/>
        <v>-0.31519505352226462</v>
      </c>
      <c r="W25" s="100">
        <f t="shared" si="14"/>
        <v>-0.25501039945301807</v>
      </c>
      <c r="X25" s="99">
        <f t="shared" ref="X25:AC25" si="15">X23/X$6</f>
        <v>-0.20565354794598234</v>
      </c>
      <c r="Y25" s="99">
        <f t="shared" si="15"/>
        <v>-0.17506522790537316</v>
      </c>
      <c r="Z25" s="99">
        <f t="shared" si="15"/>
        <v>-0.1582115358733871</v>
      </c>
      <c r="AA25" s="99">
        <f t="shared" si="15"/>
        <v>-0.14949121499847598</v>
      </c>
      <c r="AB25" s="99">
        <f t="shared" si="15"/>
        <v>-0.13857331727386821</v>
      </c>
      <c r="AC25" s="99">
        <f t="shared" si="15"/>
        <v>-0.13108286769149696</v>
      </c>
      <c r="AD25" s="95"/>
    </row>
    <row r="26" spans="2:30" x14ac:dyDescent="0.2">
      <c r="B26" s="96" t="s">
        <v>178</v>
      </c>
      <c r="S26" s="96"/>
      <c r="T26" s="96" t="s">
        <v>207</v>
      </c>
      <c r="U26" s="278">
        <f>U25-T25</f>
        <v>0.27826571942138534</v>
      </c>
      <c r="V26" s="278">
        <f t="shared" ref="V26:W26" si="16">V25-U25</f>
        <v>-5.0058369801568858E-3</v>
      </c>
      <c r="W26" s="278">
        <f t="shared" si="16"/>
        <v>6.0184654069246557E-2</v>
      </c>
      <c r="X26" s="279">
        <f t="shared" ref="X26" si="17">X25-W25</f>
        <v>4.9356851507035726E-2</v>
      </c>
      <c r="Y26" s="279">
        <f t="shared" ref="Y26" si="18">Y25-X25</f>
        <v>3.0588320040609185E-2</v>
      </c>
      <c r="Z26" s="279">
        <f t="shared" ref="Z26" si="19">Z25-Y25</f>
        <v>1.6853692031986056E-2</v>
      </c>
      <c r="AA26" s="279">
        <f t="shared" ref="AA26" si="20">AA25-Z25</f>
        <v>8.7203208749111194E-3</v>
      </c>
      <c r="AB26" s="279">
        <f t="shared" ref="AB26" si="21">AB25-AA25</f>
        <v>1.0917897724607772E-2</v>
      </c>
      <c r="AC26" s="279">
        <f t="shared" ref="AC26" si="22">AC25-AB25</f>
        <v>7.4904495823712447E-3</v>
      </c>
      <c r="AD26" s="95"/>
    </row>
    <row r="27" spans="2:30" x14ac:dyDescent="0.2">
      <c r="B27" s="96"/>
      <c r="S27" s="96"/>
      <c r="T27" s="96"/>
      <c r="U27" s="101"/>
      <c r="V27" s="101"/>
      <c r="W27" s="101"/>
      <c r="X27" s="102"/>
      <c r="Y27" s="102"/>
      <c r="Z27" s="102"/>
      <c r="AA27" s="102"/>
      <c r="AB27" s="102"/>
      <c r="AC27" s="102"/>
      <c r="AD27" s="95"/>
    </row>
    <row r="28" spans="2:30" x14ac:dyDescent="0.2">
      <c r="B28" s="96" t="s">
        <v>210</v>
      </c>
      <c r="S28" s="96"/>
      <c r="T28" s="212">
        <v>-1.0703320000000001</v>
      </c>
      <c r="U28" s="212">
        <v>-3.6772100000000001</v>
      </c>
      <c r="V28" s="212">
        <v>-6.1119599999999998</v>
      </c>
      <c r="W28" s="212">
        <v>-10.000083</v>
      </c>
      <c r="X28" s="102"/>
      <c r="Y28" s="102"/>
      <c r="Z28" s="102"/>
      <c r="AA28" s="102"/>
      <c r="AB28" s="102"/>
      <c r="AC28" s="102"/>
      <c r="AD28" s="95"/>
    </row>
    <row r="29" spans="2:30" x14ac:dyDescent="0.2">
      <c r="B29" s="96" t="s">
        <v>171</v>
      </c>
      <c r="S29" s="96"/>
      <c r="T29" s="280">
        <f>T28/T$6</f>
        <v>-0.22390749254954037</v>
      </c>
      <c r="U29" s="280">
        <f>U28/U$6</f>
        <v>-0.19058481838386981</v>
      </c>
      <c r="V29" s="280">
        <f>V28/V$6</f>
        <v>-0.16014154593045232</v>
      </c>
      <c r="W29" s="280">
        <f>W28/W$6</f>
        <v>-0.15602507514339289</v>
      </c>
      <c r="X29" s="102"/>
      <c r="Y29" s="102"/>
      <c r="Z29" s="102"/>
      <c r="AA29" s="102"/>
      <c r="AB29" s="102"/>
      <c r="AC29" s="102"/>
      <c r="AD29" s="95"/>
    </row>
    <row r="30" spans="2:30" x14ac:dyDescent="0.2">
      <c r="B30" s="96" t="s">
        <v>212</v>
      </c>
      <c r="S30" s="96"/>
      <c r="T30" s="103">
        <f t="shared" ref="T30:U30" si="23">T23-T28</f>
        <v>-1.7426250000000003</v>
      </c>
      <c r="U30" s="103">
        <f t="shared" si="23"/>
        <v>-2.3076890000000003</v>
      </c>
      <c r="V30" s="103">
        <f>V23-V28</f>
        <v>-5.9177700000000009</v>
      </c>
      <c r="W30" s="103">
        <f>W23-W28</f>
        <v>-6.3442459999999983</v>
      </c>
      <c r="X30" s="102"/>
      <c r="Y30" s="102"/>
      <c r="Z30" s="102"/>
      <c r="AA30" s="102"/>
      <c r="AB30" s="102"/>
      <c r="AC30" s="102"/>
      <c r="AD30" s="95"/>
    </row>
    <row r="31" spans="2:30" x14ac:dyDescent="0.2">
      <c r="B31" s="96" t="s">
        <v>171</v>
      </c>
      <c r="S31" s="96"/>
      <c r="T31" s="280">
        <f t="shared" ref="T31:U31" si="24">T30/T$6</f>
        <v>-0.36454744341395273</v>
      </c>
      <c r="U31" s="280">
        <f t="shared" si="24"/>
        <v>-0.11960439815823795</v>
      </c>
      <c r="V31" s="280">
        <f>V30/V$6</f>
        <v>-0.15505350759181227</v>
      </c>
      <c r="W31" s="280">
        <f>W30/W$6</f>
        <v>-9.8985324309625172E-2</v>
      </c>
      <c r="X31" s="102"/>
      <c r="Y31" s="102"/>
      <c r="Z31" s="102"/>
      <c r="AA31" s="102"/>
      <c r="AB31" s="102"/>
      <c r="AC31" s="102"/>
      <c r="AD31" s="95"/>
    </row>
    <row r="32" spans="2:30" x14ac:dyDescent="0.2">
      <c r="B32" s="96"/>
      <c r="S32" s="96"/>
      <c r="T32" s="96"/>
      <c r="U32" s="96"/>
      <c r="V32" s="96"/>
      <c r="W32" s="96"/>
      <c r="X32" s="95"/>
      <c r="Y32" s="95"/>
      <c r="Z32" s="95"/>
      <c r="AA32" s="95"/>
      <c r="AB32" s="95"/>
      <c r="AC32" s="95"/>
      <c r="AD32" s="95"/>
    </row>
    <row r="33" spans="2:30" x14ac:dyDescent="0.2">
      <c r="B33" s="91" t="s">
        <v>10</v>
      </c>
      <c r="S33" s="96"/>
      <c r="T33" s="210">
        <f t="shared" ref="T33:U33" si="25">T45-T40</f>
        <v>-1.9311140000000002</v>
      </c>
      <c r="U33" s="210">
        <f t="shared" si="25"/>
        <v>-1.8593380000000002</v>
      </c>
      <c r="V33" s="210">
        <f>V45-V40</f>
        <v>-4.6885530000000006</v>
      </c>
      <c r="W33" s="210">
        <f>W45-W40</f>
        <v>-1.126312</v>
      </c>
      <c r="X33" s="94">
        <f>X23+X18</f>
        <v>3.6542342535000003</v>
      </c>
      <c r="Y33" s="94">
        <f t="shared" ref="Y33:AC33" si="26">Y23+Y18</f>
        <v>10.676296386852002</v>
      </c>
      <c r="Z33" s="94">
        <f t="shared" si="26"/>
        <v>18.93314122037949</v>
      </c>
      <c r="AA33" s="94">
        <f t="shared" si="26"/>
        <v>26.369048629569463</v>
      </c>
      <c r="AB33" s="94">
        <f t="shared" si="26"/>
        <v>34.744010541672417</v>
      </c>
      <c r="AC33" s="94">
        <f t="shared" si="26"/>
        <v>43.156923992423337</v>
      </c>
      <c r="AD33" s="95"/>
    </row>
    <row r="34" spans="2:30" x14ac:dyDescent="0.2">
      <c r="B34" s="96" t="s">
        <v>200</v>
      </c>
      <c r="S34" s="96"/>
      <c r="T34" s="96"/>
      <c r="U34" s="104">
        <f>U33/T33-1</f>
        <v>-3.7168183753004791E-2</v>
      </c>
      <c r="V34" s="104">
        <f>V33/U33-1</f>
        <v>1.5216249009055911</v>
      </c>
      <c r="W34" s="104">
        <f>W33/V33-1</f>
        <v>-0.7597740710193529</v>
      </c>
      <c r="X34" s="258">
        <f>X33/W33-1</f>
        <v>-4.2444245053768412</v>
      </c>
      <c r="Y34" s="258">
        <f t="shared" ref="Y34:AC34" si="27">Y33/X33-1</f>
        <v>1.9216234226435591</v>
      </c>
      <c r="Z34" s="258">
        <f t="shared" si="27"/>
        <v>0.77338100539208532</v>
      </c>
      <c r="AA34" s="258">
        <f t="shared" si="27"/>
        <v>0.39274557362863893</v>
      </c>
      <c r="AB34" s="258">
        <f t="shared" si="27"/>
        <v>0.31760576688805986</v>
      </c>
      <c r="AC34" s="258">
        <f t="shared" si="27"/>
        <v>0.24213996368267177</v>
      </c>
      <c r="AD34" s="95"/>
    </row>
    <row r="35" spans="2:30" x14ac:dyDescent="0.2">
      <c r="B35" s="96" t="s">
        <v>201</v>
      </c>
      <c r="S35" s="96"/>
      <c r="T35" s="100">
        <f>T33/T$6</f>
        <v>-0.40397829231239757</v>
      </c>
      <c r="U35" s="100">
        <f t="shared" ref="U35:W35" si="28">U33/U$6</f>
        <v>-9.636697252651541E-2</v>
      </c>
      <c r="V35" s="100">
        <f t="shared" si="28"/>
        <v>-0.1228463742558623</v>
      </c>
      <c r="W35" s="100">
        <f t="shared" si="28"/>
        <v>-1.7573145586382146E-2</v>
      </c>
      <c r="X35" s="99">
        <f t="shared" ref="X35:AC35" si="29">X33/X$6</f>
        <v>3.6783705920653623E-2</v>
      </c>
      <c r="Y35" s="99">
        <f t="shared" si="29"/>
        <v>7.0372025961262782E-2</v>
      </c>
      <c r="Z35" s="99">
        <f t="shared" si="29"/>
        <v>9.0225717993248869E-2</v>
      </c>
      <c r="AA35" s="99">
        <f t="shared" si="29"/>
        <v>9.8946038868160002E-2</v>
      </c>
      <c r="AB35" s="99">
        <f t="shared" si="29"/>
        <v>0.10986393659276776</v>
      </c>
      <c r="AC35" s="99">
        <f t="shared" si="29"/>
        <v>0.11735438617513898</v>
      </c>
      <c r="AD35" s="95"/>
    </row>
    <row r="36" spans="2:30" x14ac:dyDescent="0.2">
      <c r="B36" s="96" t="s">
        <v>178</v>
      </c>
      <c r="S36" s="96"/>
      <c r="T36" s="96" t="s">
        <v>207</v>
      </c>
      <c r="U36" s="278">
        <f>U35-T35</f>
        <v>0.30761131978588219</v>
      </c>
      <c r="V36" s="278">
        <f t="shared" ref="V36" si="30">V35-U35</f>
        <v>-2.6479401729346888E-2</v>
      </c>
      <c r="W36" s="278">
        <f t="shared" ref="W36" si="31">W35-V35</f>
        <v>0.10527322866948015</v>
      </c>
      <c r="X36" s="279">
        <f t="shared" ref="X36" si="32">X35-W35</f>
        <v>5.4356851507035772E-2</v>
      </c>
      <c r="Y36" s="279">
        <f t="shared" ref="Y36" si="33">Y35-X35</f>
        <v>3.358832004060916E-2</v>
      </c>
      <c r="Z36" s="279">
        <f t="shared" ref="Z36" si="34">Z35-Y35</f>
        <v>1.9853692031986087E-2</v>
      </c>
      <c r="AA36" s="279">
        <f t="shared" ref="AA36" si="35">AA35-Z35</f>
        <v>8.7203208749111333E-3</v>
      </c>
      <c r="AB36" s="279">
        <f t="shared" ref="AB36" si="36">AB35-AA35</f>
        <v>1.0917897724607759E-2</v>
      </c>
      <c r="AC36" s="279">
        <f t="shared" ref="AC36" si="37">AC35-AB35</f>
        <v>7.4904495823712169E-3</v>
      </c>
      <c r="AD36" s="95"/>
    </row>
    <row r="37" spans="2:30" x14ac:dyDescent="0.2">
      <c r="B37" s="96"/>
      <c r="S37" s="96"/>
      <c r="T37" s="96"/>
      <c r="U37" s="96"/>
      <c r="V37" s="96"/>
      <c r="W37" s="96"/>
      <c r="X37" s="95"/>
      <c r="Y37" s="95"/>
      <c r="Z37" s="95"/>
      <c r="AA37" s="95"/>
      <c r="AB37" s="95"/>
      <c r="AC37" s="95"/>
      <c r="AD37" s="95"/>
    </row>
    <row r="38" spans="2:30" x14ac:dyDescent="0.2">
      <c r="B38" s="96" t="s">
        <v>213</v>
      </c>
      <c r="S38" s="96"/>
      <c r="T38" s="214"/>
      <c r="U38" s="214">
        <v>-0.42008899999999999</v>
      </c>
      <c r="V38" s="214"/>
      <c r="W38" s="214">
        <v>-0.76673199999999997</v>
      </c>
      <c r="X38" s="95"/>
      <c r="Y38" s="95"/>
      <c r="Z38" s="95"/>
      <c r="AA38" s="95"/>
      <c r="AB38" s="95"/>
      <c r="AC38" s="95"/>
      <c r="AD38" s="95"/>
    </row>
    <row r="39" spans="2:30" x14ac:dyDescent="0.2">
      <c r="B39" s="96" t="s">
        <v>214</v>
      </c>
      <c r="S39" s="96"/>
      <c r="T39" s="214"/>
      <c r="U39" s="214">
        <f>U40-U38</f>
        <v>-0.22781100000000004</v>
      </c>
      <c r="V39" s="214"/>
      <c r="W39" s="214">
        <f>W40-W38</f>
        <v>-0.74511799999999995</v>
      </c>
      <c r="X39" s="95"/>
      <c r="Y39" s="95"/>
      <c r="Z39" s="95"/>
      <c r="AA39" s="95"/>
      <c r="AB39" s="95"/>
      <c r="AC39" s="95"/>
      <c r="AD39" s="95"/>
    </row>
    <row r="40" spans="2:30" x14ac:dyDescent="0.2">
      <c r="B40" s="91" t="s">
        <v>11</v>
      </c>
      <c r="S40" s="96"/>
      <c r="T40" s="215">
        <v>-0.197601</v>
      </c>
      <c r="U40" s="215">
        <v>-0.64790000000000003</v>
      </c>
      <c r="V40" s="215">
        <v>-0.429643</v>
      </c>
      <c r="W40" s="216">
        <v>-1.5118499999999999</v>
      </c>
      <c r="X40" s="109">
        <f>W40*(1+X$9)</f>
        <v>-2.1165899999999995</v>
      </c>
      <c r="Y40" s="109">
        <f t="shared" ref="Y40:AC40" si="38">X40*(1+Y$9)</f>
        <v>-2.8725149999999995</v>
      </c>
      <c r="Z40" s="109">
        <f t="shared" si="38"/>
        <v>-3.628439999999999</v>
      </c>
      <c r="AA40" s="109">
        <f t="shared" si="38"/>
        <v>-4.5355499999999989</v>
      </c>
      <c r="AB40" s="109">
        <f t="shared" si="38"/>
        <v>-5.2914749999999993</v>
      </c>
      <c r="AC40" s="109">
        <f t="shared" si="38"/>
        <v>-6.0473999999999988</v>
      </c>
      <c r="AD40" s="95"/>
    </row>
    <row r="41" spans="2:30" x14ac:dyDescent="0.2">
      <c r="B41" s="96" t="s">
        <v>137</v>
      </c>
      <c r="S41" s="96"/>
      <c r="T41" s="96"/>
      <c r="U41" s="104">
        <f>U40/T40-1</f>
        <v>2.2788295605791471</v>
      </c>
      <c r="V41" s="104">
        <f>V40/U40-1</f>
        <v>-0.33686834388022846</v>
      </c>
      <c r="W41" s="104">
        <f>W40/V40-1</f>
        <v>2.5188516978049216</v>
      </c>
      <c r="X41" s="258">
        <f t="shared" ref="X41" si="39">X40/W40-1</f>
        <v>0.39999999999999969</v>
      </c>
      <c r="Y41" s="258">
        <f t="shared" ref="Y41" si="40">Y40/X40-1</f>
        <v>0.35714285714285721</v>
      </c>
      <c r="Z41" s="258">
        <f t="shared" ref="Z41" si="41">Z40/Y40-1</f>
        <v>0.26315789473684204</v>
      </c>
      <c r="AA41" s="258">
        <f t="shared" ref="AA41" si="42">AA40/Z40-1</f>
        <v>0.25</v>
      </c>
      <c r="AB41" s="258">
        <f t="shared" ref="AB41" si="43">AB40/AA40-1</f>
        <v>0.16666666666666674</v>
      </c>
      <c r="AC41" s="258">
        <f t="shared" ref="AC41" si="44">AC40/AB40-1</f>
        <v>0.14285714285714279</v>
      </c>
      <c r="AD41" s="95"/>
    </row>
    <row r="42" spans="2:30" x14ac:dyDescent="0.2">
      <c r="B42" s="96" t="s">
        <v>171</v>
      </c>
      <c r="S42" s="96"/>
      <c r="T42" s="96"/>
      <c r="U42" s="100">
        <f t="shared" ref="U42:AC42" si="45">U40/U$6</f>
        <v>-3.3579780276598088E-2</v>
      </c>
      <c r="V42" s="100">
        <f t="shared" si="45"/>
        <v>-1.1257222596057128E-2</v>
      </c>
      <c r="W42" s="100">
        <f t="shared" si="45"/>
        <v>-2.3588455201375681E-2</v>
      </c>
      <c r="X42" s="99">
        <f t="shared" si="45"/>
        <v>-2.1305701472210292E-2</v>
      </c>
      <c r="Y42" s="99">
        <f t="shared" si="45"/>
        <v>-1.893397230926078E-2</v>
      </c>
      <c r="Z42" s="99">
        <f t="shared" si="45"/>
        <v>-1.7291298912566921E-2</v>
      </c>
      <c r="AA42" s="99">
        <f t="shared" si="45"/>
        <v>-1.7018994992683979E-2</v>
      </c>
      <c r="AB42" s="99">
        <f t="shared" si="45"/>
        <v>-1.673215799842526E-2</v>
      </c>
      <c r="AC42" s="99">
        <f t="shared" si="45"/>
        <v>-1.6444381325233671E-2</v>
      </c>
      <c r="AD42" s="95"/>
    </row>
    <row r="43" spans="2:30" x14ac:dyDescent="0.2">
      <c r="B43" s="96" t="s">
        <v>178</v>
      </c>
      <c r="S43" s="96"/>
      <c r="T43" s="96"/>
      <c r="U43" s="278">
        <f>U42-T42</f>
        <v>-3.3579780276598088E-2</v>
      </c>
      <c r="V43" s="278">
        <f t="shared" ref="V43" si="46">V42-U42</f>
        <v>2.232255768054096E-2</v>
      </c>
      <c r="W43" s="278">
        <f t="shared" ref="W43" si="47">W42-V42</f>
        <v>-1.2331232605318553E-2</v>
      </c>
      <c r="X43" s="279">
        <f t="shared" ref="X43" si="48">X42-W42</f>
        <v>2.2827537291653897E-3</v>
      </c>
      <c r="Y43" s="279">
        <f t="shared" ref="Y43" si="49">Y42-X42</f>
        <v>2.371729162949511E-3</v>
      </c>
      <c r="Z43" s="279">
        <f t="shared" ref="Z43" si="50">Z42-Y42</f>
        <v>1.6426733966938591E-3</v>
      </c>
      <c r="AA43" s="279">
        <f t="shared" ref="AA43" si="51">AA42-Z42</f>
        <v>2.7230391988294217E-4</v>
      </c>
      <c r="AB43" s="279">
        <f t="shared" ref="AB43" si="52">AB42-AA42</f>
        <v>2.8683699425871914E-4</v>
      </c>
      <c r="AC43" s="279">
        <f t="shared" ref="AC43" si="53">AC42-AB42</f>
        <v>2.8777667319158928E-4</v>
      </c>
      <c r="AD43" s="95"/>
    </row>
    <row r="44" spans="2:30" x14ac:dyDescent="0.2">
      <c r="B44" s="96"/>
      <c r="S44" s="96"/>
      <c r="T44" s="96"/>
      <c r="U44" s="96"/>
      <c r="V44" s="96"/>
      <c r="W44" s="96"/>
      <c r="X44" s="95"/>
      <c r="Y44" s="95"/>
      <c r="Z44" s="95"/>
      <c r="AA44" s="95"/>
      <c r="AB44" s="95"/>
      <c r="AC44" s="95"/>
      <c r="AD44" s="95"/>
    </row>
    <row r="45" spans="2:30" x14ac:dyDescent="0.2">
      <c r="B45" s="91" t="s">
        <v>12</v>
      </c>
      <c r="S45" s="96"/>
      <c r="T45" s="213">
        <v>-2.1287150000000001</v>
      </c>
      <c r="U45" s="213">
        <v>-2.5072380000000001</v>
      </c>
      <c r="V45" s="213">
        <v>-5.1181960000000002</v>
      </c>
      <c r="W45" s="213">
        <v>-2.6381619999999999</v>
      </c>
      <c r="X45" s="94">
        <f t="shared" ref="X45:AC45" si="54">X33+X40</f>
        <v>1.5376442535000008</v>
      </c>
      <c r="Y45" s="94">
        <f t="shared" si="54"/>
        <v>7.8037813868520018</v>
      </c>
      <c r="Z45" s="94">
        <f t="shared" si="54"/>
        <v>15.30470122037949</v>
      </c>
      <c r="AA45" s="94">
        <f t="shared" si="54"/>
        <v>21.833498629569462</v>
      </c>
      <c r="AB45" s="94">
        <f t="shared" si="54"/>
        <v>29.452535541672418</v>
      </c>
      <c r="AC45" s="94">
        <f t="shared" si="54"/>
        <v>37.109523992423341</v>
      </c>
      <c r="AD45" s="95"/>
    </row>
    <row r="46" spans="2:30" x14ac:dyDescent="0.2">
      <c r="B46" s="96" t="s">
        <v>200</v>
      </c>
      <c r="S46" s="96"/>
      <c r="T46" s="96"/>
      <c r="U46" s="104">
        <f>U45/T45-1</f>
        <v>0.17781760357774523</v>
      </c>
      <c r="V46" s="104">
        <f>V45/U45-1</f>
        <v>1.0413682306984819</v>
      </c>
      <c r="W46" s="104">
        <f>W45/V45-1</f>
        <v>-0.48455236962398474</v>
      </c>
      <c r="X46" s="258">
        <f t="shared" ref="X46" si="55">X45/W45-1</f>
        <v>-1.5828467901137233</v>
      </c>
      <c r="Y46" s="258">
        <f t="shared" ref="Y46" si="56">Y45/X45-1</f>
        <v>4.0751540020319776</v>
      </c>
      <c r="Z46" s="258">
        <f t="shared" ref="Z46" si="57">Z45/Y45-1</f>
        <v>0.96119041035224506</v>
      </c>
      <c r="AA46" s="258">
        <f t="shared" ref="AA46" si="58">AA45/Z45-1</f>
        <v>0.42658770760557752</v>
      </c>
      <c r="AB46" s="258">
        <f t="shared" ref="AB46" si="59">AB45/AA45-1</f>
        <v>0.34896088077173171</v>
      </c>
      <c r="AC46" s="258">
        <f t="shared" ref="AC46" si="60">AC45/AB45-1</f>
        <v>0.25997722470844797</v>
      </c>
      <c r="AD46" s="95"/>
    </row>
    <row r="47" spans="2:30" x14ac:dyDescent="0.2">
      <c r="B47" s="96" t="s">
        <v>202</v>
      </c>
      <c r="S47" s="96"/>
      <c r="T47" s="100">
        <f t="shared" ref="T47:W47" si="61">T45/T$6</f>
        <v>-0.44531532085614073</v>
      </c>
      <c r="U47" s="100">
        <f t="shared" si="61"/>
        <v>-0.12994675280311349</v>
      </c>
      <c r="V47" s="100">
        <f t="shared" si="61"/>
        <v>-0.13410359685191942</v>
      </c>
      <c r="W47" s="100">
        <f t="shared" si="61"/>
        <v>-4.1161600787757824E-2</v>
      </c>
      <c r="X47" s="258">
        <f t="shared" ref="X47:AC47" si="62">X45/X$6</f>
        <v>1.5478004448443329E-2</v>
      </c>
      <c r="Y47" s="258">
        <f t="shared" si="62"/>
        <v>5.1438053652002005E-2</v>
      </c>
      <c r="Z47" s="258">
        <f t="shared" si="62"/>
        <v>7.2934419080681948E-2</v>
      </c>
      <c r="AA47" s="258">
        <f t="shared" si="62"/>
        <v>8.1927043875476016E-2</v>
      </c>
      <c r="AB47" s="258">
        <f t="shared" si="62"/>
        <v>9.3131778594342504E-2</v>
      </c>
      <c r="AC47" s="258">
        <f t="shared" si="62"/>
        <v>0.10091000484990531</v>
      </c>
      <c r="AD47" s="95"/>
    </row>
    <row r="48" spans="2:30" x14ac:dyDescent="0.2">
      <c r="B48" s="96" t="s">
        <v>178</v>
      </c>
      <c r="S48" s="96"/>
      <c r="T48" s="96"/>
      <c r="U48" s="278">
        <f>U47-T47</f>
        <v>0.31536856805302727</v>
      </c>
      <c r="V48" s="278">
        <f t="shared" ref="V48" si="63">V47-U47</f>
        <v>-4.1568440488059244E-3</v>
      </c>
      <c r="W48" s="278">
        <f t="shared" ref="W48" si="64">W47-V47</f>
        <v>9.2941996064161592E-2</v>
      </c>
      <c r="X48" s="279">
        <f t="shared" ref="X48" si="65">X47-W47</f>
        <v>5.6639605236201152E-2</v>
      </c>
      <c r="Y48" s="279">
        <f t="shared" ref="Y48" si="66">Y47-X47</f>
        <v>3.5960049203558678E-2</v>
      </c>
      <c r="Z48" s="279">
        <f t="shared" ref="Z48" si="67">Z47-Y47</f>
        <v>2.1496365428679942E-2</v>
      </c>
      <c r="AA48" s="279">
        <f t="shared" ref="AA48" si="68">AA47-Z47</f>
        <v>8.9926247947940685E-3</v>
      </c>
      <c r="AB48" s="279">
        <f t="shared" ref="AB48" si="69">AB47-AA47</f>
        <v>1.1204734718866488E-2</v>
      </c>
      <c r="AC48" s="279">
        <f t="shared" ref="AC48" si="70">AC47-AB47</f>
        <v>7.7782262555628062E-3</v>
      </c>
      <c r="AD48" s="95"/>
    </row>
    <row r="49" spans="2:30" x14ac:dyDescent="0.2">
      <c r="B49" s="91"/>
      <c r="S49" s="96"/>
      <c r="T49" s="96"/>
      <c r="U49" s="96"/>
      <c r="V49" s="96"/>
      <c r="W49" s="96"/>
      <c r="X49" s="95"/>
      <c r="Y49" s="95"/>
      <c r="Z49" s="95"/>
      <c r="AA49" s="95"/>
      <c r="AB49" s="95"/>
      <c r="AC49" s="95"/>
      <c r="AD49" s="95"/>
    </row>
    <row r="50" spans="2:30" x14ac:dyDescent="0.2">
      <c r="B50" s="96" t="s">
        <v>209</v>
      </c>
      <c r="S50" s="96"/>
      <c r="T50" s="214">
        <v>-5.7637000000000001E-2</v>
      </c>
      <c r="U50" s="214">
        <v>-0.149509</v>
      </c>
      <c r="V50" s="214">
        <v>-0.19131699999999999</v>
      </c>
      <c r="W50" s="214">
        <v>-0.32912599999999997</v>
      </c>
      <c r="X50" s="218">
        <f>X52</f>
        <v>-0.46077639999999992</v>
      </c>
      <c r="Y50" s="218">
        <f t="shared" ref="Y50:AC50" si="71">Y52</f>
        <v>-0.62533939999999988</v>
      </c>
      <c r="Z50" s="218">
        <f t="shared" si="71"/>
        <v>-0.78990239999999978</v>
      </c>
      <c r="AA50" s="218">
        <f t="shared" si="71"/>
        <v>-0.98737799999999976</v>
      </c>
      <c r="AB50" s="218">
        <f t="shared" si="71"/>
        <v>-1.1519409999999999</v>
      </c>
      <c r="AC50" s="218">
        <f t="shared" si="71"/>
        <v>-1.3165039999999999</v>
      </c>
      <c r="AD50" s="95"/>
    </row>
    <row r="51" spans="2:30" x14ac:dyDescent="0.2">
      <c r="B51" s="96" t="s">
        <v>191</v>
      </c>
      <c r="S51" s="96"/>
      <c r="T51" s="217">
        <f t="shared" ref="T51:U51" si="72">T52-T50</f>
        <v>0</v>
      </c>
      <c r="U51" s="217">
        <f t="shared" si="72"/>
        <v>-0.18451699999999999</v>
      </c>
      <c r="V51" s="217">
        <f>V52-V50</f>
        <v>0</v>
      </c>
      <c r="W51" s="217">
        <f>W52-W50</f>
        <v>0</v>
      </c>
      <c r="X51" s="218"/>
      <c r="Y51" s="218"/>
      <c r="Z51" s="218"/>
      <c r="AA51" s="218"/>
      <c r="AB51" s="218"/>
      <c r="AC51" s="218"/>
      <c r="AD51" s="95"/>
    </row>
    <row r="52" spans="2:30" x14ac:dyDescent="0.2">
      <c r="B52" s="91" t="s">
        <v>13</v>
      </c>
      <c r="S52" s="96"/>
      <c r="T52" s="215">
        <v>-5.7637000000000001E-2</v>
      </c>
      <c r="U52" s="215">
        <v>-0.33402599999999999</v>
      </c>
      <c r="V52" s="215">
        <v>-0.19131699999999999</v>
      </c>
      <c r="W52" s="215">
        <v>-0.32912599999999997</v>
      </c>
      <c r="X52" s="219">
        <f>W52*(1+X$9)</f>
        <v>-0.46077639999999992</v>
      </c>
      <c r="Y52" s="219">
        <f t="shared" ref="Y52:AC52" si="73">X52*(1+Y$9)</f>
        <v>-0.62533939999999988</v>
      </c>
      <c r="Z52" s="219">
        <f t="shared" si="73"/>
        <v>-0.78990239999999978</v>
      </c>
      <c r="AA52" s="219">
        <f t="shared" si="73"/>
        <v>-0.98737799999999976</v>
      </c>
      <c r="AB52" s="219">
        <f t="shared" si="73"/>
        <v>-1.1519409999999999</v>
      </c>
      <c r="AC52" s="219">
        <f t="shared" si="73"/>
        <v>-1.3165039999999999</v>
      </c>
      <c r="AD52" s="95"/>
    </row>
    <row r="53" spans="2:30" x14ac:dyDescent="0.2">
      <c r="B53" s="96" t="s">
        <v>137</v>
      </c>
      <c r="S53" s="96"/>
      <c r="T53" s="96"/>
      <c r="U53" s="104">
        <f>U52/T52-1</f>
        <v>4.7953397990873912</v>
      </c>
      <c r="V53" s="104">
        <f>V52/U52-1</f>
        <v>-0.42723919694874057</v>
      </c>
      <c r="W53" s="104">
        <f>W52/V52-1</f>
        <v>0.72031758808678781</v>
      </c>
      <c r="X53" s="258">
        <f t="shared" ref="X53" si="74">X52/W52-1</f>
        <v>0.39999999999999991</v>
      </c>
      <c r="Y53" s="258">
        <f t="shared" ref="Y53" si="75">Y52/X52-1</f>
        <v>0.35714285714285721</v>
      </c>
      <c r="Z53" s="258">
        <f t="shared" ref="Z53" si="76">Z52/Y52-1</f>
        <v>0.26315789473684204</v>
      </c>
      <c r="AA53" s="258">
        <f t="shared" ref="AA53" si="77">AA52/Z52-1</f>
        <v>0.25</v>
      </c>
      <c r="AB53" s="258">
        <f t="shared" ref="AB53" si="78">AB52/AA52-1</f>
        <v>0.16666666666666674</v>
      </c>
      <c r="AC53" s="258">
        <f t="shared" ref="AC53" si="79">AC52/AB52-1</f>
        <v>0.14285714285714279</v>
      </c>
      <c r="AD53" s="95"/>
    </row>
    <row r="54" spans="2:30" x14ac:dyDescent="0.2">
      <c r="B54" s="96" t="s">
        <v>171</v>
      </c>
      <c r="S54" s="96"/>
      <c r="T54" s="96"/>
      <c r="U54" s="100">
        <f t="shared" ref="U54:AC54" si="80">U52/U$6</f>
        <v>-1.7312115583687223E-2</v>
      </c>
      <c r="V54" s="100">
        <f t="shared" si="80"/>
        <v>-5.0127618869849188E-3</v>
      </c>
      <c r="W54" s="100">
        <f t="shared" si="80"/>
        <v>-5.1351482664338203E-3</v>
      </c>
      <c r="X54" s="99">
        <f t="shared" si="80"/>
        <v>-4.6381984341982898E-3</v>
      </c>
      <c r="Y54" s="99">
        <f t="shared" si="80"/>
        <v>-4.1218788704287888E-3</v>
      </c>
      <c r="Z54" s="99">
        <f t="shared" si="80"/>
        <v>-3.7642729410308569E-3</v>
      </c>
      <c r="AA54" s="99">
        <f t="shared" si="80"/>
        <v>-3.7049930521957249E-3</v>
      </c>
      <c r="AB54" s="99">
        <f t="shared" si="80"/>
        <v>-3.6425493490688313E-3</v>
      </c>
      <c r="AC54" s="99">
        <f t="shared" si="80"/>
        <v>-3.5799010801659276E-3</v>
      </c>
      <c r="AD54" s="95"/>
    </row>
    <row r="55" spans="2:30" x14ac:dyDescent="0.2">
      <c r="B55" s="96" t="s">
        <v>178</v>
      </c>
      <c r="S55" s="96"/>
      <c r="T55" s="96"/>
      <c r="U55" s="278">
        <f>U54-T54</f>
        <v>-1.7312115583687223E-2</v>
      </c>
      <c r="V55" s="278">
        <f t="shared" ref="V55" si="81">V54-U54</f>
        <v>1.2299353696702304E-2</v>
      </c>
      <c r="W55" s="278">
        <f t="shared" ref="W55" si="82">W54-V54</f>
        <v>-1.2238637944890149E-4</v>
      </c>
      <c r="X55" s="279">
        <f t="shared" ref="X55" si="83">X54-W54</f>
        <v>4.9694983223553049E-4</v>
      </c>
      <c r="Y55" s="279">
        <f t="shared" ref="Y55" si="84">Y54-X54</f>
        <v>5.1631956376950103E-4</v>
      </c>
      <c r="Z55" s="279">
        <f t="shared" ref="Z55" si="85">Z54-Y54</f>
        <v>3.5760592939793187E-4</v>
      </c>
      <c r="AA55" s="279">
        <f t="shared" ref="AA55" si="86">AA54-Z54</f>
        <v>5.9279888835131987E-5</v>
      </c>
      <c r="AB55" s="279">
        <f t="shared" ref="AB55" si="87">AB54-AA54</f>
        <v>6.2443703126893648E-5</v>
      </c>
      <c r="AC55" s="279">
        <f t="shared" ref="AC55" si="88">AC54-AB54</f>
        <v>6.2648268902903634E-5</v>
      </c>
      <c r="AD55" s="95"/>
    </row>
    <row r="56" spans="2:30" x14ac:dyDescent="0.2">
      <c r="B56" s="96"/>
      <c r="S56" s="96"/>
      <c r="T56" s="96"/>
      <c r="U56" s="97"/>
      <c r="V56" s="97"/>
      <c r="W56" s="97"/>
      <c r="X56" s="95"/>
      <c r="Y56" s="95"/>
      <c r="Z56" s="95"/>
      <c r="AA56" s="95"/>
      <c r="AB56" s="95"/>
      <c r="AC56" s="95"/>
      <c r="AD56" s="95"/>
    </row>
    <row r="57" spans="2:30" x14ac:dyDescent="0.2">
      <c r="B57" s="91" t="s">
        <v>14</v>
      </c>
      <c r="S57" s="96"/>
      <c r="T57" s="220">
        <f>T45+T52</f>
        <v>-2.1863520000000003</v>
      </c>
      <c r="U57" s="220">
        <f>U45+U52</f>
        <v>-2.8412640000000002</v>
      </c>
      <c r="V57" s="220">
        <f>V45+V52</f>
        <v>-5.3095129999999999</v>
      </c>
      <c r="W57" s="220">
        <f>W45+W52</f>
        <v>-2.9672879999999999</v>
      </c>
      <c r="X57" s="221">
        <f t="shared" ref="X57:AC57" si="89">X45+X52</f>
        <v>1.0768678535000009</v>
      </c>
      <c r="Y57" s="221">
        <f t="shared" si="89"/>
        <v>7.1784419868520022</v>
      </c>
      <c r="Z57" s="221">
        <f t="shared" si="89"/>
        <v>14.514798820379491</v>
      </c>
      <c r="AA57" s="221">
        <f t="shared" si="89"/>
        <v>20.846120629569462</v>
      </c>
      <c r="AB57" s="221">
        <f t="shared" si="89"/>
        <v>28.300594541672417</v>
      </c>
      <c r="AC57" s="221">
        <f t="shared" si="89"/>
        <v>35.793019992423339</v>
      </c>
      <c r="AD57" s="95"/>
    </row>
    <row r="58" spans="2:30" x14ac:dyDescent="0.2">
      <c r="B58" s="96" t="s">
        <v>200</v>
      </c>
      <c r="S58" s="96"/>
      <c r="T58" s="96"/>
      <c r="U58" s="104">
        <f>U57/T57-1</f>
        <v>0.29954554435882219</v>
      </c>
      <c r="V58" s="104">
        <f>V57/U57-1</f>
        <v>0.86871512115734384</v>
      </c>
      <c r="W58" s="104">
        <f>W57/V57-1</f>
        <v>-0.44113744518565079</v>
      </c>
      <c r="X58" s="258">
        <f t="shared" ref="X58" si="90">X57/W57-1</f>
        <v>-1.3629131562221128</v>
      </c>
      <c r="Y58" s="258">
        <f t="shared" ref="Y58" si="91">Y57/X57-1</f>
        <v>5.6660379576944964</v>
      </c>
      <c r="Z58" s="258">
        <f t="shared" ref="Z58" si="92">Z57/Y57-1</f>
        <v>1.0219984847637864</v>
      </c>
      <c r="AA58" s="258">
        <f t="shared" ref="AA58" si="93">AA57/Z57-1</f>
        <v>0.43619769640213568</v>
      </c>
      <c r="AB58" s="258">
        <f t="shared" ref="AB58" si="94">AB57/AA57-1</f>
        <v>0.35759525930829805</v>
      </c>
      <c r="AC58" s="258">
        <f t="shared" ref="AC58" si="95">AC57/AB57-1</f>
        <v>0.26474445403323177</v>
      </c>
      <c r="AD58" s="95"/>
    </row>
    <row r="59" spans="2:30" x14ac:dyDescent="0.2">
      <c r="B59" s="96" t="s">
        <v>208</v>
      </c>
      <c r="S59" s="96"/>
      <c r="T59" s="100">
        <f t="shared" ref="T59:AC59" si="96">T57/T$6</f>
        <v>-0.45737266021260015</v>
      </c>
      <c r="U59" s="100">
        <f t="shared" si="96"/>
        <v>-0.14725886838680072</v>
      </c>
      <c r="V59" s="100">
        <f t="shared" si="96"/>
        <v>-0.13911635873890432</v>
      </c>
      <c r="W59" s="100">
        <f t="shared" si="96"/>
        <v>-4.6296749054191649E-2</v>
      </c>
      <c r="X59" s="99">
        <f t="shared" si="96"/>
        <v>1.0839806014245041E-2</v>
      </c>
      <c r="Y59" s="99">
        <f t="shared" si="96"/>
        <v>4.7316174781573218E-2</v>
      </c>
      <c r="Z59" s="99">
        <f t="shared" si="96"/>
        <v>6.9170146139651098E-2</v>
      </c>
      <c r="AA59" s="99">
        <f t="shared" si="96"/>
        <v>7.8222050823280292E-2</v>
      </c>
      <c r="AB59" s="99">
        <f t="shared" si="96"/>
        <v>8.9489229245273666E-2</v>
      </c>
      <c r="AC59" s="99">
        <f t="shared" si="96"/>
        <v>9.7330103769739384E-2</v>
      </c>
      <c r="AD59" s="95"/>
    </row>
    <row r="60" spans="2:30" x14ac:dyDescent="0.2">
      <c r="B60" s="96" t="s">
        <v>178</v>
      </c>
      <c r="S60" s="96"/>
      <c r="T60" s="96"/>
      <c r="U60" s="278">
        <f>U59-T59</f>
        <v>0.31011379182579946</v>
      </c>
      <c r="V60" s="278">
        <f t="shared" ref="V60" si="97">V59-U59</f>
        <v>8.1425096478963954E-3</v>
      </c>
      <c r="W60" s="278">
        <f t="shared" ref="W60" si="98">W59-V59</f>
        <v>9.2819609684712673E-2</v>
      </c>
      <c r="X60" s="279">
        <f t="shared" ref="X60" si="99">X59-W59</f>
        <v>5.7136555068436692E-2</v>
      </c>
      <c r="Y60" s="279">
        <f t="shared" ref="Y60" si="100">Y59-X59</f>
        <v>3.6476368767328175E-2</v>
      </c>
      <c r="Z60" s="279">
        <f t="shared" ref="Z60" si="101">Z59-Y59</f>
        <v>2.185397135807788E-2</v>
      </c>
      <c r="AA60" s="279">
        <f t="shared" ref="AA60" si="102">AA59-Z59</f>
        <v>9.0519046836291944E-3</v>
      </c>
      <c r="AB60" s="279">
        <f t="shared" ref="AB60" si="103">AB59-AA59</f>
        <v>1.1267178421993373E-2</v>
      </c>
      <c r="AC60" s="279">
        <f t="shared" ref="AC60" si="104">AC59-AB59</f>
        <v>7.8408745244657185E-3</v>
      </c>
      <c r="AD60" s="95"/>
    </row>
    <row r="61" spans="2:30" x14ac:dyDescent="0.2">
      <c r="B61" s="91"/>
      <c r="S61" s="96"/>
      <c r="T61" s="96"/>
      <c r="U61" s="101"/>
      <c r="V61" s="101"/>
      <c r="W61" s="101"/>
      <c r="X61" s="102"/>
      <c r="Y61" s="102"/>
      <c r="Z61" s="102"/>
      <c r="AA61" s="102"/>
      <c r="AB61" s="102"/>
      <c r="AC61" s="102"/>
      <c r="AD61" s="95"/>
    </row>
    <row r="62" spans="2:30" x14ac:dyDescent="0.2">
      <c r="B62" s="91" t="s">
        <v>15</v>
      </c>
      <c r="S62" s="96"/>
      <c r="T62" s="110">
        <v>0.32512600000000003</v>
      </c>
      <c r="U62" s="110">
        <v>0.52290300000000001</v>
      </c>
      <c r="V62" s="110">
        <v>0.76764100000000002</v>
      </c>
      <c r="W62" s="110">
        <v>0.55476899999999996</v>
      </c>
      <c r="X62" s="221">
        <f>IF(X57&gt;0,X57*-X63,0)</f>
        <v>-0.13460848168750011</v>
      </c>
      <c r="Y62" s="221">
        <f t="shared" ref="Y62:AC62" si="105">IF(Y57&gt;0,Y57*-Y63,0)</f>
        <v>-0.89730524835650027</v>
      </c>
      <c r="Z62" s="221">
        <f t="shared" si="105"/>
        <v>-1.8143498525474364</v>
      </c>
      <c r="AA62" s="221">
        <f t="shared" si="105"/>
        <v>-2.6057650786961828</v>
      </c>
      <c r="AB62" s="221">
        <f t="shared" si="105"/>
        <v>-3.5375743177090522</v>
      </c>
      <c r="AC62" s="221">
        <f t="shared" si="105"/>
        <v>-4.4741274990529174</v>
      </c>
      <c r="AD62" s="95"/>
    </row>
    <row r="63" spans="2:30" x14ac:dyDescent="0.2">
      <c r="B63" s="96" t="s">
        <v>203</v>
      </c>
      <c r="S63" s="96"/>
      <c r="T63" s="104">
        <f t="shared" ref="T63:U63" si="106">-T62/T57</f>
        <v>0.14870707004178649</v>
      </c>
      <c r="U63" s="104">
        <f t="shared" si="106"/>
        <v>0.18403886439274914</v>
      </c>
      <c r="V63" s="104">
        <f>-V62/V57</f>
        <v>0.14457841990404771</v>
      </c>
      <c r="W63" s="104">
        <f>-W62/W57</f>
        <v>0.18696162960925936</v>
      </c>
      <c r="X63" s="175">
        <v>0.125</v>
      </c>
      <c r="Y63" s="175">
        <v>0.125</v>
      </c>
      <c r="Z63" s="175">
        <v>0.125</v>
      </c>
      <c r="AA63" s="175">
        <v>0.125</v>
      </c>
      <c r="AB63" s="175">
        <v>0.125</v>
      </c>
      <c r="AC63" s="175">
        <v>0.125</v>
      </c>
      <c r="AD63" s="95"/>
    </row>
    <row r="64" spans="2:30" x14ac:dyDescent="0.2">
      <c r="B64" s="91"/>
      <c r="S64" s="96"/>
      <c r="T64" s="96"/>
      <c r="U64" s="96"/>
      <c r="V64" s="96"/>
      <c r="W64" s="96"/>
      <c r="X64" s="95"/>
      <c r="Y64" s="95"/>
      <c r="Z64" s="95"/>
      <c r="AA64" s="95"/>
      <c r="AB64" s="95"/>
      <c r="AC64" s="95"/>
      <c r="AD64" s="95"/>
    </row>
    <row r="65" spans="2:30" x14ac:dyDescent="0.2">
      <c r="B65" s="91" t="s">
        <v>16</v>
      </c>
      <c r="S65" s="96"/>
      <c r="T65" s="220">
        <f t="shared" ref="T65:V65" si="107">T57+T62</f>
        <v>-1.8612260000000003</v>
      </c>
      <c r="U65" s="220">
        <f t="shared" si="107"/>
        <v>-2.3183610000000003</v>
      </c>
      <c r="V65" s="220">
        <f t="shared" si="107"/>
        <v>-4.5418719999999997</v>
      </c>
      <c r="W65" s="220">
        <f>W57+W62</f>
        <v>-2.4125190000000001</v>
      </c>
      <c r="X65" s="221">
        <f>X57+X62</f>
        <v>0.94225937181250075</v>
      </c>
      <c r="Y65" s="221">
        <f t="shared" ref="Y65:AC65" si="108">Y57+Y62</f>
        <v>6.2811367384955021</v>
      </c>
      <c r="Z65" s="221">
        <f t="shared" si="108"/>
        <v>12.700448967832054</v>
      </c>
      <c r="AA65" s="221">
        <f t="shared" si="108"/>
        <v>18.240355550873279</v>
      </c>
      <c r="AB65" s="221">
        <f t="shared" si="108"/>
        <v>24.763020223963366</v>
      </c>
      <c r="AC65" s="221">
        <f t="shared" si="108"/>
        <v>31.31889249337042</v>
      </c>
      <c r="AD65" s="95"/>
    </row>
    <row r="66" spans="2:30" x14ac:dyDescent="0.2">
      <c r="B66" s="96" t="s">
        <v>200</v>
      </c>
      <c r="S66" s="96"/>
      <c r="T66" s="96"/>
      <c r="U66" s="104">
        <f>U65/T65-1</f>
        <v>0.24560961430798844</v>
      </c>
      <c r="V66" s="104">
        <f>V65/U65-1</f>
        <v>0.95908747602293132</v>
      </c>
      <c r="W66" s="104">
        <f>W65/V65-1</f>
        <v>-0.46882717082295577</v>
      </c>
      <c r="X66" s="258">
        <f t="shared" ref="X66" si="109">X65/W65-1</f>
        <v>-1.3905707568779773</v>
      </c>
      <c r="Y66" s="258">
        <f t="shared" ref="Y66" si="110">Y65/X65-1</f>
        <v>5.6660379576944973</v>
      </c>
      <c r="Z66" s="258">
        <f t="shared" ref="Z66" si="111">Z65/Y65-1</f>
        <v>1.021998484763786</v>
      </c>
      <c r="AA66" s="258">
        <f t="shared" ref="AA66" si="112">AA65/Z65-1</f>
        <v>0.43619769640213568</v>
      </c>
      <c r="AB66" s="258">
        <f t="shared" ref="AB66" si="113">AB65/AA65-1</f>
        <v>0.35759525930829827</v>
      </c>
      <c r="AC66" s="258">
        <f t="shared" ref="AC66" si="114">AC65/AB65-1</f>
        <v>0.26474445403323155</v>
      </c>
      <c r="AD66" s="95"/>
    </row>
    <row r="67" spans="2:30" x14ac:dyDescent="0.2">
      <c r="B67" s="91"/>
      <c r="S67" s="96"/>
      <c r="T67" s="96"/>
      <c r="U67" s="96"/>
      <c r="V67" s="96"/>
      <c r="W67" s="96"/>
      <c r="X67" s="95"/>
      <c r="Y67" s="95"/>
      <c r="Z67" s="95"/>
      <c r="AA67" s="95"/>
      <c r="AB67" s="95"/>
      <c r="AC67" s="95"/>
      <c r="AD67" s="95"/>
    </row>
    <row r="68" spans="2:30" x14ac:dyDescent="0.2">
      <c r="B68" s="90" t="s">
        <v>485</v>
      </c>
      <c r="C68" s="90"/>
      <c r="D68" s="90"/>
      <c r="E68" s="90"/>
      <c r="F68" s="90"/>
      <c r="G68" s="90"/>
      <c r="H68" s="90"/>
      <c r="I68" s="90"/>
      <c r="J68" s="90"/>
      <c r="K68" s="90"/>
      <c r="L68" s="90"/>
      <c r="M68" s="90"/>
      <c r="N68" s="90"/>
      <c r="O68" s="90"/>
      <c r="P68" s="90"/>
      <c r="Q68" s="90"/>
      <c r="R68" s="90"/>
      <c r="S68" s="90"/>
      <c r="T68" s="89" t="str">
        <f>T4</f>
        <v>FY21</v>
      </c>
      <c r="U68" s="89" t="str">
        <f t="shared" ref="U68:AC68" si="115">U4</f>
        <v>FY22</v>
      </c>
      <c r="V68" s="89" t="str">
        <f t="shared" si="115"/>
        <v>FY23</v>
      </c>
      <c r="W68" s="89" t="str">
        <f t="shared" si="115"/>
        <v>FY24</v>
      </c>
      <c r="X68" s="89" t="str">
        <f t="shared" si="115"/>
        <v>FY25</v>
      </c>
      <c r="Y68" s="89" t="str">
        <f t="shared" si="115"/>
        <v>FY26E</v>
      </c>
      <c r="Z68" s="89" t="str">
        <f t="shared" si="115"/>
        <v>FY27E</v>
      </c>
      <c r="AA68" s="89" t="str">
        <f t="shared" si="115"/>
        <v>FY28E</v>
      </c>
      <c r="AB68" s="89" t="str">
        <f t="shared" si="115"/>
        <v>FY29E</v>
      </c>
      <c r="AC68" s="89" t="str">
        <f t="shared" si="115"/>
        <v>FY30E</v>
      </c>
      <c r="AD68" s="90"/>
    </row>
    <row r="69" spans="2:30" x14ac:dyDescent="0.2">
      <c r="B69" s="91" t="s">
        <v>204</v>
      </c>
      <c r="S69" s="96"/>
      <c r="T69" s="289">
        <v>0.62611714001414165</v>
      </c>
      <c r="U69" s="289">
        <v>0.644302710188418</v>
      </c>
      <c r="V69" s="289">
        <v>0.64363807233285741</v>
      </c>
      <c r="W69" s="289">
        <v>0.6063696510076827</v>
      </c>
      <c r="X69" s="288">
        <v>0.59319880169290651</v>
      </c>
      <c r="Y69" s="106">
        <v>0.56999999999999995</v>
      </c>
      <c r="Z69" s="106">
        <v>0.56999999999999995</v>
      </c>
      <c r="AA69" s="106">
        <v>0.56999999999999995</v>
      </c>
      <c r="AB69" s="106">
        <v>0.56999999999999995</v>
      </c>
      <c r="AC69" s="106">
        <v>0.56999999999999995</v>
      </c>
      <c r="AD69" s="95"/>
    </row>
    <row r="70" spans="2:30" x14ac:dyDescent="0.2">
      <c r="B70" s="96" t="s">
        <v>178</v>
      </c>
      <c r="S70" s="96"/>
      <c r="T70" s="104"/>
      <c r="U70" s="104">
        <f t="shared" ref="U70:W70" si="116">U69/T69-1</f>
        <v>2.9044996554264069E-2</v>
      </c>
      <c r="V70" s="104">
        <f t="shared" si="116"/>
        <v>-1.0315614773158677E-3</v>
      </c>
      <c r="W70" s="104">
        <f t="shared" si="116"/>
        <v>-5.7902760770654593E-2</v>
      </c>
      <c r="X70" s="258">
        <f>X69/W69-1</f>
        <v>-2.1720825395678212E-2</v>
      </c>
      <c r="Y70" s="258">
        <f t="shared" ref="Y70:AC70" si="117">Y69/X69-1</f>
        <v>-3.9107971268148911E-2</v>
      </c>
      <c r="Z70" s="258">
        <f t="shared" si="117"/>
        <v>0</v>
      </c>
      <c r="AA70" s="258">
        <f t="shared" si="117"/>
        <v>0</v>
      </c>
      <c r="AB70" s="258">
        <f t="shared" si="117"/>
        <v>0</v>
      </c>
      <c r="AC70" s="258">
        <f t="shared" si="117"/>
        <v>0</v>
      </c>
      <c r="AD70" s="95"/>
    </row>
    <row r="71" spans="2:30" x14ac:dyDescent="0.2">
      <c r="B71" s="91"/>
      <c r="S71" s="96"/>
      <c r="T71" s="96"/>
      <c r="U71" s="96"/>
      <c r="V71" s="96"/>
      <c r="W71" s="96"/>
      <c r="X71" s="95"/>
      <c r="Y71" s="95"/>
      <c r="Z71" s="95"/>
      <c r="AA71" s="95"/>
      <c r="AB71" s="95"/>
      <c r="AC71" s="95"/>
      <c r="AD71" s="95"/>
    </row>
    <row r="72" spans="2:30" x14ac:dyDescent="0.2">
      <c r="B72" s="91" t="s">
        <v>195</v>
      </c>
      <c r="S72" s="96"/>
      <c r="T72" s="98">
        <f t="shared" ref="T72:W72" si="118">T6/T$69</f>
        <v>7.6347406811000775</v>
      </c>
      <c r="U72" s="98">
        <f t="shared" si="118"/>
        <v>29.946093187094647</v>
      </c>
      <c r="V72" s="98">
        <f t="shared" si="118"/>
        <v>59.297278455992981</v>
      </c>
      <c r="W72" s="98">
        <f t="shared" si="118"/>
        <v>105.69921151807108</v>
      </c>
      <c r="X72" s="94">
        <f>X6/X$69</f>
        <v>167.47139477774832</v>
      </c>
      <c r="Y72" s="94">
        <f t="shared" ref="Y72:AC72" si="119">Y6/Y$69</f>
        <v>266.16179202581452</v>
      </c>
      <c r="Z72" s="94">
        <f t="shared" si="119"/>
        <v>368.14378391781082</v>
      </c>
      <c r="AA72" s="94">
        <f t="shared" si="119"/>
        <v>467.5426055756198</v>
      </c>
      <c r="AB72" s="94">
        <f t="shared" si="119"/>
        <v>554.81722528306886</v>
      </c>
      <c r="AC72" s="94">
        <f t="shared" si="119"/>
        <v>645.17317340059719</v>
      </c>
      <c r="AD72" s="95"/>
    </row>
    <row r="73" spans="2:30" x14ac:dyDescent="0.2">
      <c r="B73" s="96" t="s">
        <v>200</v>
      </c>
      <c r="S73" s="96"/>
      <c r="T73" s="104"/>
      <c r="U73" s="104">
        <f t="shared" ref="U73:W73" si="120">U72/T72-1</f>
        <v>2.9223458186637141</v>
      </c>
      <c r="V73" s="104">
        <f t="shared" si="120"/>
        <v>0.98013403903876539</v>
      </c>
      <c r="W73" s="104">
        <f t="shared" si="120"/>
        <v>0.78253056919829689</v>
      </c>
      <c r="X73" s="258">
        <f>X72/W72-1</f>
        <v>0.58441479716351741</v>
      </c>
      <c r="Y73" s="258">
        <f t="shared" ref="Y73" si="121">Y72/X72-1</f>
        <v>0.58929704012460427</v>
      </c>
      <c r="Z73" s="258">
        <f t="shared" ref="Z73" si="122">Z72/Y72-1</f>
        <v>0.38315789473684214</v>
      </c>
      <c r="AA73" s="258">
        <f t="shared" ref="AA73" si="123">AA72/Z72-1</f>
        <v>0.27000000000000024</v>
      </c>
      <c r="AB73" s="258">
        <f t="shared" ref="AB73" si="124">AB72/AA72-1</f>
        <v>0.18666666666666676</v>
      </c>
      <c r="AC73" s="258">
        <f t="shared" ref="AC73" si="125">AC72/AB72-1</f>
        <v>0.16285714285714281</v>
      </c>
      <c r="AD73" s="95"/>
    </row>
    <row r="74" spans="2:30" x14ac:dyDescent="0.2">
      <c r="B74" s="96"/>
      <c r="S74" s="96"/>
      <c r="T74" s="104"/>
      <c r="U74" s="104"/>
      <c r="V74" s="104"/>
      <c r="W74" s="104"/>
      <c r="X74" s="258"/>
      <c r="Y74" s="258"/>
      <c r="Z74" s="258"/>
      <c r="AA74" s="258"/>
      <c r="AB74" s="258"/>
      <c r="AC74" s="258"/>
      <c r="AD74" s="95"/>
    </row>
    <row r="75" spans="2:30" x14ac:dyDescent="0.2">
      <c r="B75" s="91" t="s">
        <v>205</v>
      </c>
      <c r="S75" s="96"/>
      <c r="T75" s="108">
        <f>T12</f>
        <v>2</v>
      </c>
      <c r="U75" s="108">
        <f t="shared" ref="U75:AC75" si="126">U12</f>
        <v>4</v>
      </c>
      <c r="V75" s="108">
        <f t="shared" si="126"/>
        <v>6</v>
      </c>
      <c r="W75" s="108">
        <f t="shared" si="126"/>
        <v>10</v>
      </c>
      <c r="X75" s="290">
        <f t="shared" si="126"/>
        <v>14</v>
      </c>
      <c r="Y75" s="201">
        <f t="shared" si="126"/>
        <v>19</v>
      </c>
      <c r="Z75" s="201">
        <f t="shared" si="126"/>
        <v>24</v>
      </c>
      <c r="AA75" s="201">
        <f t="shared" si="126"/>
        <v>30</v>
      </c>
      <c r="AB75" s="201">
        <f t="shared" si="126"/>
        <v>35</v>
      </c>
      <c r="AC75" s="201">
        <f t="shared" si="126"/>
        <v>40</v>
      </c>
      <c r="AD75" s="95"/>
    </row>
    <row r="76" spans="2:30" x14ac:dyDescent="0.2">
      <c r="B76" s="96" t="s">
        <v>200</v>
      </c>
      <c r="S76" s="96"/>
      <c r="T76" s="104"/>
      <c r="U76" s="104">
        <f t="shared" ref="U76" si="127">U75/T75-1</f>
        <v>1</v>
      </c>
      <c r="V76" s="104">
        <f t="shared" ref="V76" si="128">V75/U75-1</f>
        <v>0.5</v>
      </c>
      <c r="W76" s="104">
        <f t="shared" ref="W76" si="129">W75/V75-1</f>
        <v>0.66666666666666674</v>
      </c>
      <c r="X76" s="258">
        <f t="shared" ref="X76" si="130">X75/W75-1</f>
        <v>0.39999999999999991</v>
      </c>
      <c r="Y76" s="258">
        <f t="shared" ref="Y76" si="131">Y75/X75-1</f>
        <v>0.35714285714285721</v>
      </c>
      <c r="Z76" s="258">
        <f t="shared" ref="Z76" si="132">Z75/Y75-1</f>
        <v>0.26315789473684204</v>
      </c>
      <c r="AA76" s="258">
        <f t="shared" ref="AA76" si="133">AA75/Z75-1</f>
        <v>0.25</v>
      </c>
      <c r="AB76" s="258">
        <f t="shared" ref="AB76" si="134">AB75/AA75-1</f>
        <v>0.16666666666666674</v>
      </c>
      <c r="AC76" s="258">
        <f t="shared" ref="AC76" si="135">AC75/AB75-1</f>
        <v>0.14285714285714279</v>
      </c>
      <c r="AD76" s="95"/>
    </row>
    <row r="77" spans="2:30" x14ac:dyDescent="0.2">
      <c r="B77" s="91"/>
      <c r="S77" s="96"/>
      <c r="T77" s="96"/>
      <c r="U77" s="96"/>
      <c r="V77" s="96"/>
      <c r="W77" s="96"/>
      <c r="X77" s="95"/>
      <c r="Y77" s="95"/>
      <c r="Z77" s="95"/>
      <c r="AA77" s="95"/>
      <c r="AB77" s="95"/>
      <c r="AC77" s="95"/>
      <c r="AD77" s="95"/>
    </row>
    <row r="78" spans="2:30" x14ac:dyDescent="0.2">
      <c r="B78" s="91" t="s">
        <v>206</v>
      </c>
      <c r="S78" s="96"/>
      <c r="T78" s="222">
        <f t="shared" ref="T78:W78" si="136">T15/T$69</f>
        <v>3.8173703405500388</v>
      </c>
      <c r="U78" s="222">
        <f t="shared" si="136"/>
        <v>7.4865232967736617</v>
      </c>
      <c r="V78" s="222">
        <f t="shared" si="136"/>
        <v>9.8828797426654962</v>
      </c>
      <c r="W78" s="222">
        <f t="shared" si="136"/>
        <v>10.569921151807108</v>
      </c>
      <c r="X78" s="223">
        <f>X15/X$69</f>
        <v>11.96224248412488</v>
      </c>
      <c r="Y78" s="223">
        <f t="shared" ref="Y78:AC78" si="137">Y15/Y$69</f>
        <v>14.008515369779712</v>
      </c>
      <c r="Z78" s="223">
        <f t="shared" si="137"/>
        <v>15.339324329908784</v>
      </c>
      <c r="AA78" s="223">
        <f t="shared" si="137"/>
        <v>15.584753519187327</v>
      </c>
      <c r="AB78" s="223">
        <f t="shared" si="137"/>
        <v>15.851920722373396</v>
      </c>
      <c r="AC78" s="223">
        <f t="shared" si="137"/>
        <v>16.12932933501493</v>
      </c>
      <c r="AD78" s="95"/>
    </row>
    <row r="79" spans="2:30" x14ac:dyDescent="0.2">
      <c r="B79" s="96" t="s">
        <v>200</v>
      </c>
      <c r="S79" s="96"/>
      <c r="T79" s="104"/>
      <c r="U79" s="104">
        <f t="shared" ref="U79:W79" si="138">U78/T78-1</f>
        <v>0.96117290933185706</v>
      </c>
      <c r="V79" s="104">
        <f t="shared" si="138"/>
        <v>0.32008935935917693</v>
      </c>
      <c r="W79" s="104">
        <f t="shared" si="138"/>
        <v>6.9518341518978177E-2</v>
      </c>
      <c r="X79" s="258">
        <f>X78/W78-1</f>
        <v>0.13172485511679821</v>
      </c>
      <c r="Y79" s="258">
        <f t="shared" ref="Y79" si="139">Y78/X78-1</f>
        <v>0.17106097693391886</v>
      </c>
      <c r="Z79" s="258">
        <f t="shared" ref="Z79" si="140">Z78/Y78-1</f>
        <v>9.4999999999999973E-2</v>
      </c>
      <c r="AA79" s="258">
        <f t="shared" ref="AA79" si="141">AA78/Z78-1</f>
        <v>1.6000000000000236E-2</v>
      </c>
      <c r="AB79" s="258">
        <f t="shared" ref="AB79" si="142">AB78/AA78-1</f>
        <v>1.7142857142857126E-2</v>
      </c>
      <c r="AC79" s="258">
        <f t="shared" ref="AC79" si="143">AC78/AB78-1</f>
        <v>1.7499999999999849E-2</v>
      </c>
      <c r="AD79" s="95"/>
    </row>
    <row r="80" spans="2:30" x14ac:dyDescent="0.2">
      <c r="B80" s="91"/>
      <c r="S80" s="96"/>
      <c r="T80" s="96"/>
      <c r="U80" s="96"/>
      <c r="V80" s="96"/>
      <c r="W80" s="96"/>
      <c r="X80" s="95"/>
      <c r="Y80" s="95"/>
      <c r="Z80" s="95"/>
      <c r="AA80" s="95"/>
      <c r="AB80" s="95"/>
      <c r="AC80" s="95"/>
      <c r="AD80" s="95"/>
    </row>
    <row r="81" spans="2:30" x14ac:dyDescent="0.2">
      <c r="B81" s="91" t="s">
        <v>9</v>
      </c>
      <c r="S81" s="96"/>
      <c r="T81" s="96"/>
      <c r="U81" s="98">
        <f t="shared" ref="U81:V81" si="144">U23/U69</f>
        <v>-9.2889551842018392</v>
      </c>
      <c r="V81" s="98">
        <f t="shared" si="144"/>
        <v>-18.690208856661336</v>
      </c>
      <c r="W81" s="98">
        <f>W23/W69</f>
        <v>-26.954398151092352</v>
      </c>
      <c r="X81" s="94">
        <f t="shared" ref="X81:AC81" si="145">X23/X69</f>
        <v>-34.4410865155062</v>
      </c>
      <c r="Y81" s="94">
        <f t="shared" si="145"/>
        <v>-46.595674780701756</v>
      </c>
      <c r="Z81" s="94">
        <f t="shared" si="145"/>
        <v>-58.244593475877195</v>
      </c>
      <c r="AA81" s="94">
        <f t="shared" si="145"/>
        <v>-69.893512171052635</v>
      </c>
      <c r="AB81" s="94">
        <f t="shared" si="145"/>
        <v>-76.882863388157901</v>
      </c>
      <c r="AC81" s="94">
        <f t="shared" si="145"/>
        <v>-84.571149726973701</v>
      </c>
      <c r="AD81" s="95"/>
    </row>
    <row r="82" spans="2:30" x14ac:dyDescent="0.2">
      <c r="B82" s="96" t="s">
        <v>200</v>
      </c>
      <c r="S82" s="96"/>
      <c r="T82" s="96"/>
      <c r="U82" s="104"/>
      <c r="V82" s="104">
        <f t="shared" ref="V82" si="146">V81/U81-1</f>
        <v>1.0120894638881075</v>
      </c>
      <c r="W82" s="104">
        <f t="shared" ref="W82" si="147">W81/V81-1</f>
        <v>0.44216677073063293</v>
      </c>
      <c r="X82" s="258">
        <f>X81/W81-1</f>
        <v>0.27775386868025631</v>
      </c>
      <c r="Y82" s="258">
        <f t="shared" ref="Y82" si="148">Y81/X81-1</f>
        <v>0.35290954772066407</v>
      </c>
      <c r="Z82" s="258">
        <f t="shared" ref="Z82" si="149">Z81/Y81-1</f>
        <v>0.25</v>
      </c>
      <c r="AA82" s="258">
        <f t="shared" ref="AA82" si="150">AA81/Z81-1</f>
        <v>0.19999999999999996</v>
      </c>
      <c r="AB82" s="258">
        <f t="shared" ref="AB82" si="151">AB81/AA81-1</f>
        <v>0.10000000000000009</v>
      </c>
      <c r="AC82" s="258">
        <f t="shared" ref="AC82" si="152">AC81/AB81-1</f>
        <v>0.10000000000000009</v>
      </c>
      <c r="AD82" s="95"/>
    </row>
    <row r="83" spans="2:30" x14ac:dyDescent="0.2">
      <c r="B83" s="91"/>
      <c r="S83" s="96"/>
      <c r="T83" s="96"/>
      <c r="U83" s="96"/>
      <c r="V83" s="96"/>
      <c r="W83" s="96"/>
      <c r="X83" s="95"/>
      <c r="Y83" s="95"/>
      <c r="Z83" s="95"/>
      <c r="AA83" s="95"/>
      <c r="AB83" s="95"/>
      <c r="AC83" s="95"/>
      <c r="AD83" s="95"/>
    </row>
    <row r="84" spans="2:30" x14ac:dyDescent="0.2">
      <c r="B84" s="91" t="s">
        <v>10</v>
      </c>
      <c r="S84" s="96"/>
      <c r="T84" s="98">
        <f t="shared" ref="T84:W84" si="153">T33/T$69</f>
        <v>-3.0842695025988007</v>
      </c>
      <c r="U84" s="98">
        <f t="shared" si="153"/>
        <v>-2.88581433943722</v>
      </c>
      <c r="V84" s="98">
        <f t="shared" si="153"/>
        <v>-7.2844556615589946</v>
      </c>
      <c r="W84" s="98">
        <f t="shared" si="153"/>
        <v>-1.8574676323728636</v>
      </c>
      <c r="X84" s="94">
        <f>X33/X$69</f>
        <v>6.160218535626381</v>
      </c>
      <c r="Y84" s="94">
        <f t="shared" ref="Y84:AC84" si="154">Y33/Y$69</f>
        <v>18.730344538336848</v>
      </c>
      <c r="Z84" s="94">
        <f t="shared" si="154"/>
        <v>33.216037228735949</v>
      </c>
      <c r="AA84" s="94">
        <f t="shared" si="154"/>
        <v>46.261488823806076</v>
      </c>
      <c r="AB84" s="94">
        <f t="shared" si="154"/>
        <v>60.954404459074418</v>
      </c>
      <c r="AC84" s="94">
        <f t="shared" si="154"/>
        <v>75.713901741093579</v>
      </c>
      <c r="AD84" s="95"/>
    </row>
    <row r="85" spans="2:30" x14ac:dyDescent="0.2">
      <c r="B85" s="96" t="s">
        <v>200</v>
      </c>
      <c r="S85" s="96"/>
      <c r="T85" s="104"/>
      <c r="U85" s="104">
        <f t="shared" ref="U85:W85" si="155">U84/T84-1</f>
        <v>-6.4344300326013237E-2</v>
      </c>
      <c r="V85" s="104">
        <f t="shared" si="155"/>
        <v>1.5242287980936364</v>
      </c>
      <c r="W85" s="104">
        <f t="shared" si="155"/>
        <v>-0.74500941200384285</v>
      </c>
      <c r="X85" s="258">
        <f>X84/W84-1</f>
        <v>-4.3164607707090283</v>
      </c>
      <c r="Y85" s="258">
        <f t="shared" ref="Y85" si="156">Y84/X84-1</f>
        <v>2.0405324794913815</v>
      </c>
      <c r="Z85" s="258">
        <f t="shared" ref="Z85" si="157">Z84/Y84-1</f>
        <v>0.7733810053920851</v>
      </c>
      <c r="AA85" s="258">
        <f t="shared" ref="AA85" si="158">AA84/Z84-1</f>
        <v>0.39274557362863893</v>
      </c>
      <c r="AB85" s="258">
        <f t="shared" ref="AB85" si="159">AB84/AA84-1</f>
        <v>0.31760576688805986</v>
      </c>
      <c r="AC85" s="258">
        <f t="shared" ref="AC85" si="160">AC84/AB84-1</f>
        <v>0.24213996368267177</v>
      </c>
      <c r="AD85" s="95"/>
    </row>
    <row r="86" spans="2:30" x14ac:dyDescent="0.2">
      <c r="B86" s="91"/>
      <c r="S86" s="96"/>
      <c r="T86" s="96"/>
      <c r="U86" s="96"/>
      <c r="V86" s="96"/>
      <c r="W86" s="96"/>
      <c r="X86" s="95"/>
      <c r="Y86" s="95"/>
      <c r="Z86" s="95"/>
      <c r="AA86" s="95"/>
      <c r="AB86" s="95"/>
      <c r="AC86" s="95"/>
      <c r="AD86" s="95"/>
    </row>
    <row r="87" spans="2:30" x14ac:dyDescent="0.2">
      <c r="B87" s="91" t="s">
        <v>12</v>
      </c>
      <c r="S87" s="96"/>
      <c r="T87" s="98">
        <f t="shared" ref="T87:W87" si="161">T45/T$69</f>
        <v>-3.3998669960575114</v>
      </c>
      <c r="U87" s="98">
        <f t="shared" si="161"/>
        <v>-3.8913975688023892</v>
      </c>
      <c r="V87" s="98">
        <f t="shared" si="161"/>
        <v>-7.951978324478489</v>
      </c>
      <c r="W87" s="98">
        <f t="shared" si="161"/>
        <v>-4.3507487480876152</v>
      </c>
      <c r="X87" s="94">
        <f>X45/X$69</f>
        <v>2.5921229933569974</v>
      </c>
      <c r="Y87" s="94">
        <f t="shared" ref="Y87:AC87" si="162">Y45/Y$69</f>
        <v>13.690844538336847</v>
      </c>
      <c r="Z87" s="94">
        <f t="shared" si="162"/>
        <v>26.850353018209635</v>
      </c>
      <c r="AA87" s="94">
        <f t="shared" si="162"/>
        <v>38.304383560648184</v>
      </c>
      <c r="AB87" s="94">
        <f t="shared" si="162"/>
        <v>51.671114985390211</v>
      </c>
      <c r="AC87" s="94">
        <f t="shared" si="162"/>
        <v>65.104428056883066</v>
      </c>
      <c r="AD87" s="95"/>
    </row>
    <row r="88" spans="2:30" x14ac:dyDescent="0.2">
      <c r="B88" s="96" t="s">
        <v>200</v>
      </c>
      <c r="S88" s="96"/>
      <c r="T88" s="104"/>
      <c r="U88" s="104">
        <f t="shared" ref="U88:W88" si="163">U87/T87-1</f>
        <v>0.14457347105485518</v>
      </c>
      <c r="V88" s="104">
        <f t="shared" si="163"/>
        <v>1.0434762020283057</v>
      </c>
      <c r="W88" s="104">
        <f t="shared" si="163"/>
        <v>-0.45287215702100792</v>
      </c>
      <c r="X88" s="258">
        <f>X87/W87-1</f>
        <v>-1.5957877927325437</v>
      </c>
      <c r="Y88" s="258">
        <f t="shared" ref="Y88:AC88" si="164">Y87/X87-1</f>
        <v>4.2817110042321556</v>
      </c>
      <c r="Z88" s="258">
        <f t="shared" si="164"/>
        <v>0.96119041035224506</v>
      </c>
      <c r="AA88" s="258">
        <f t="shared" si="164"/>
        <v>0.42658770760557752</v>
      </c>
      <c r="AB88" s="258">
        <f t="shared" si="164"/>
        <v>0.34896088077173171</v>
      </c>
      <c r="AC88" s="258">
        <f t="shared" si="164"/>
        <v>0.2599772247084482</v>
      </c>
      <c r="AD88" s="95"/>
    </row>
    <row r="89" spans="2:30" x14ac:dyDescent="0.2">
      <c r="B89" s="96" t="s">
        <v>489</v>
      </c>
      <c r="S89" s="96"/>
      <c r="T89" s="100">
        <f>T87/T$72</f>
        <v>-0.44531532085614073</v>
      </c>
      <c r="U89" s="100">
        <f t="shared" ref="U89:AC89" si="165">U87/U$72</f>
        <v>-0.12994675280311349</v>
      </c>
      <c r="V89" s="100">
        <f t="shared" si="165"/>
        <v>-0.13410359685191942</v>
      </c>
      <c r="W89" s="100">
        <f t="shared" si="165"/>
        <v>-4.1161600787757824E-2</v>
      </c>
      <c r="X89" s="99">
        <f t="shared" si="165"/>
        <v>1.5478004448443329E-2</v>
      </c>
      <c r="Y89" s="99">
        <f t="shared" si="165"/>
        <v>5.1438053652002005E-2</v>
      </c>
      <c r="Z89" s="99">
        <f t="shared" si="165"/>
        <v>7.2934419080681948E-2</v>
      </c>
      <c r="AA89" s="99">
        <f t="shared" si="165"/>
        <v>8.1927043875476016E-2</v>
      </c>
      <c r="AB89" s="99">
        <f t="shared" si="165"/>
        <v>9.313177859434249E-2</v>
      </c>
      <c r="AC89" s="99">
        <f t="shared" si="165"/>
        <v>0.10091000484990531</v>
      </c>
      <c r="AD89" s="95"/>
    </row>
    <row r="90" spans="2:30" x14ac:dyDescent="0.2">
      <c r="B90" s="96"/>
      <c r="S90" s="96"/>
      <c r="T90" s="96"/>
      <c r="U90" s="96"/>
      <c r="V90" s="96"/>
      <c r="W90" s="96"/>
      <c r="X90" s="95"/>
      <c r="Y90" s="258"/>
      <c r="Z90" s="258"/>
      <c r="AA90" s="258"/>
      <c r="AB90" s="258"/>
      <c r="AC90" s="258"/>
      <c r="AD90" s="95"/>
    </row>
    <row r="91" spans="2:30" x14ac:dyDescent="0.2">
      <c r="B91" s="91" t="s">
        <v>14</v>
      </c>
      <c r="S91" s="96"/>
      <c r="T91" s="98">
        <f t="shared" ref="T91:W91" si="166">T57/T$69</f>
        <v>-3.4919216553481012</v>
      </c>
      <c r="U91" s="98">
        <f t="shared" si="166"/>
        <v>-4.4098277953372405</v>
      </c>
      <c r="V91" s="98">
        <f t="shared" si="166"/>
        <v>-8.2492214619246216</v>
      </c>
      <c r="W91" s="98">
        <f t="shared" si="166"/>
        <v>-4.8935298708780604</v>
      </c>
      <c r="X91" s="211">
        <f>X57/X$69</f>
        <v>1.8153574323258417</v>
      </c>
      <c r="Y91" s="94">
        <f t="shared" ref="Y91:AC91" si="167">Y57/Y$69</f>
        <v>12.59375787167018</v>
      </c>
      <c r="Z91" s="94">
        <f t="shared" si="167"/>
        <v>25.464559333999109</v>
      </c>
      <c r="AA91" s="94">
        <f t="shared" si="167"/>
        <v>36.572141455385022</v>
      </c>
      <c r="AB91" s="94">
        <f t="shared" si="167"/>
        <v>49.650165862583194</v>
      </c>
      <c r="AC91" s="94">
        <f t="shared" si="167"/>
        <v>62.794771916532177</v>
      </c>
      <c r="AD91" s="95"/>
    </row>
    <row r="92" spans="2:30" x14ac:dyDescent="0.2">
      <c r="B92" s="96" t="s">
        <v>200</v>
      </c>
      <c r="S92" s="96"/>
      <c r="T92" s="104"/>
      <c r="U92" s="104">
        <f t="shared" ref="U92:W92" si="168">U91/T91-1</f>
        <v>0.26286561686838184</v>
      </c>
      <c r="V92" s="104">
        <f t="shared" si="168"/>
        <v>0.87064480627724028</v>
      </c>
      <c r="W92" s="104">
        <f t="shared" si="168"/>
        <v>-0.4067888838401541</v>
      </c>
      <c r="X92" s="258">
        <f>X91/W91-1</f>
        <v>-1.3709709514862136</v>
      </c>
      <c r="Y92" s="258">
        <f t="shared" ref="Y92:AC92" si="169">Y91/X91-1</f>
        <v>5.9373433834101847</v>
      </c>
      <c r="Z92" s="258">
        <f t="shared" si="169"/>
        <v>1.0219984847637864</v>
      </c>
      <c r="AA92" s="258">
        <f t="shared" si="169"/>
        <v>0.43619769640213568</v>
      </c>
      <c r="AB92" s="258">
        <f t="shared" si="169"/>
        <v>0.35759525930829827</v>
      </c>
      <c r="AC92" s="258">
        <f t="shared" si="169"/>
        <v>0.26474445403323155</v>
      </c>
      <c r="AD92" s="95"/>
    </row>
    <row r="93" spans="2:30" x14ac:dyDescent="0.2">
      <c r="B93" s="96" t="s">
        <v>489</v>
      </c>
      <c r="S93" s="96"/>
      <c r="T93" s="100">
        <f>T91/T$72</f>
        <v>-0.45737266021260015</v>
      </c>
      <c r="U93" s="100">
        <f t="shared" ref="U93:AC93" si="170">U91/U$72</f>
        <v>-0.14725886838680072</v>
      </c>
      <c r="V93" s="100">
        <f t="shared" si="170"/>
        <v>-0.13911635873890432</v>
      </c>
      <c r="W93" s="100">
        <f t="shared" si="170"/>
        <v>-4.6296749054191649E-2</v>
      </c>
      <c r="X93" s="99">
        <f t="shared" si="170"/>
        <v>1.0839806014245041E-2</v>
      </c>
      <c r="Y93" s="99">
        <f t="shared" si="170"/>
        <v>4.7316174781573211E-2</v>
      </c>
      <c r="Z93" s="99">
        <f t="shared" si="170"/>
        <v>6.9170146139651098E-2</v>
      </c>
      <c r="AA93" s="99">
        <f t="shared" si="170"/>
        <v>7.8222050823280292E-2</v>
      </c>
      <c r="AB93" s="99">
        <f t="shared" si="170"/>
        <v>8.9489229245273666E-2</v>
      </c>
      <c r="AC93" s="99">
        <f t="shared" si="170"/>
        <v>9.7330103769739371E-2</v>
      </c>
      <c r="AD93" s="95"/>
    </row>
    <row r="94" spans="2:30" x14ac:dyDescent="0.2">
      <c r="B94" s="96"/>
      <c r="S94" s="96"/>
      <c r="T94" s="96"/>
      <c r="U94" s="96"/>
      <c r="V94" s="96"/>
      <c r="W94" s="96"/>
      <c r="X94" s="95"/>
      <c r="Y94" s="95"/>
      <c r="Z94" s="95"/>
      <c r="AA94" s="95"/>
      <c r="AB94" s="95"/>
      <c r="AC94" s="95"/>
      <c r="AD94" s="95"/>
    </row>
    <row r="95" spans="2:30" x14ac:dyDescent="0.2">
      <c r="B95" s="91" t="s">
        <v>16</v>
      </c>
      <c r="S95" s="96"/>
      <c r="T95" s="98">
        <f t="shared" ref="T95:W95" si="171">T65/T$69</f>
        <v>-2.97264821716582</v>
      </c>
      <c r="U95" s="98">
        <f t="shared" si="171"/>
        <v>-3.5982480957157943</v>
      </c>
      <c r="V95" s="98">
        <f t="shared" si="171"/>
        <v>-7.0565620575210017</v>
      </c>
      <c r="W95" s="98">
        <f t="shared" si="171"/>
        <v>-3.9786275516771097</v>
      </c>
      <c r="X95" s="211">
        <f>X65/X$69</f>
        <v>1.5884377532851115</v>
      </c>
      <c r="Y95" s="94">
        <f t="shared" ref="Y95:AC95" si="172">Y65/Y$69</f>
        <v>11.019538137711407</v>
      </c>
      <c r="Z95" s="94">
        <f t="shared" si="172"/>
        <v>22.281489417249219</v>
      </c>
      <c r="AA95" s="94">
        <f t="shared" si="172"/>
        <v>32.000623773461896</v>
      </c>
      <c r="AB95" s="94">
        <f t="shared" si="172"/>
        <v>43.443895129760293</v>
      </c>
      <c r="AC95" s="94">
        <f t="shared" si="172"/>
        <v>54.945425426965656</v>
      </c>
      <c r="AD95" s="95"/>
    </row>
    <row r="96" spans="2:30" x14ac:dyDescent="0.2">
      <c r="B96" s="96" t="s">
        <v>200</v>
      </c>
      <c r="S96" s="96"/>
      <c r="T96" s="104"/>
      <c r="U96" s="104">
        <f t="shared" ref="U96:W96" si="173">U95/T95-1</f>
        <v>0.21045203900595855</v>
      </c>
      <c r="V96" s="104">
        <f t="shared" si="173"/>
        <v>0.96111048204897331</v>
      </c>
      <c r="W96" s="104">
        <f t="shared" si="173"/>
        <v>-0.4361804630575562</v>
      </c>
      <c r="X96" s="258">
        <f>X95/W95-1</f>
        <v>-1.399242636475369</v>
      </c>
      <c r="Y96" s="258">
        <f t="shared" ref="Y96:AC96" si="174">Y95/X95-1</f>
        <v>5.9373433834101847</v>
      </c>
      <c r="Z96" s="258">
        <f t="shared" si="174"/>
        <v>1.021998484763786</v>
      </c>
      <c r="AA96" s="258">
        <f t="shared" si="174"/>
        <v>0.4361976964021359</v>
      </c>
      <c r="AB96" s="258">
        <f t="shared" si="174"/>
        <v>0.35759525930829805</v>
      </c>
      <c r="AC96" s="258">
        <f t="shared" si="174"/>
        <v>0.26474445403323177</v>
      </c>
      <c r="AD96" s="95"/>
    </row>
    <row r="97" spans="2:30" x14ac:dyDescent="0.2">
      <c r="B97" s="96" t="s">
        <v>489</v>
      </c>
      <c r="S97" s="96"/>
      <c r="T97" s="100">
        <f>T95/T$72</f>
        <v>-0.38935811199516679</v>
      </c>
      <c r="U97" s="100">
        <f t="shared" ref="U97:AC97" si="175">U95/U$72</f>
        <v>-0.12015751347713262</v>
      </c>
      <c r="V97" s="100">
        <f t="shared" si="175"/>
        <v>-0.11900313540962888</v>
      </c>
      <c r="W97" s="100">
        <f t="shared" si="175"/>
        <v>-3.7641033405409044E-2</v>
      </c>
      <c r="X97" s="99">
        <f t="shared" si="175"/>
        <v>9.484830262464411E-3</v>
      </c>
      <c r="Y97" s="99">
        <f t="shared" si="175"/>
        <v>4.1401652933876563E-2</v>
      </c>
      <c r="Z97" s="99">
        <f t="shared" si="175"/>
        <v>6.0523877872194702E-2</v>
      </c>
      <c r="AA97" s="99">
        <f t="shared" si="175"/>
        <v>6.8444294470370259E-2</v>
      </c>
      <c r="AB97" s="99">
        <f t="shared" si="175"/>
        <v>7.8303075589614454E-2</v>
      </c>
      <c r="AC97" s="99">
        <f t="shared" si="175"/>
        <v>8.5163840798521948E-2</v>
      </c>
      <c r="AD97" s="95"/>
    </row>
    <row r="98" spans="2:30" x14ac:dyDescent="0.2">
      <c r="B98" s="96"/>
      <c r="S98" s="96"/>
      <c r="T98" s="96"/>
      <c r="U98" s="96"/>
      <c r="V98" s="96"/>
      <c r="W98" s="96"/>
      <c r="X98" s="95"/>
      <c r="Y98" s="258"/>
      <c r="Z98" s="258"/>
      <c r="AA98" s="258"/>
      <c r="AB98" s="258"/>
      <c r="AC98" s="258"/>
      <c r="AD98" s="95"/>
    </row>
    <row r="99" spans="2:30" x14ac:dyDescent="0.2">
      <c r="B99" s="91" t="s">
        <v>490</v>
      </c>
      <c r="S99" s="96"/>
      <c r="T99" s="210"/>
      <c r="U99" s="98">
        <f>U95*0.3</f>
        <v>-1.0794744287147382</v>
      </c>
      <c r="V99" s="98">
        <f t="shared" ref="V99:AC99" si="176">V95*0.3</f>
        <v>-2.1169686172563003</v>
      </c>
      <c r="W99" s="98">
        <f t="shared" si="176"/>
        <v>-1.1935882655031329</v>
      </c>
      <c r="X99" s="211">
        <f t="shared" si="176"/>
        <v>0.47653132598553344</v>
      </c>
      <c r="Y99" s="94">
        <f t="shared" si="176"/>
        <v>3.305861441313422</v>
      </c>
      <c r="Z99" s="94">
        <f t="shared" si="176"/>
        <v>6.6844468251747653</v>
      </c>
      <c r="AA99" s="94">
        <f t="shared" si="176"/>
        <v>9.6001871320385685</v>
      </c>
      <c r="AB99" s="94">
        <f t="shared" si="176"/>
        <v>13.033168538928088</v>
      </c>
      <c r="AC99" s="94">
        <f t="shared" si="176"/>
        <v>16.483627628089696</v>
      </c>
      <c r="AD99" s="95"/>
    </row>
    <row r="100" spans="2:30" x14ac:dyDescent="0.2">
      <c r="B100" s="96"/>
      <c r="S100" s="96"/>
      <c r="T100" s="96"/>
      <c r="U100" s="96"/>
      <c r="V100" s="96"/>
      <c r="W100" s="96"/>
      <c r="X100" s="95"/>
      <c r="Y100" s="258"/>
      <c r="Z100" s="258"/>
      <c r="AA100" s="258"/>
      <c r="AB100" s="258"/>
      <c r="AC100" s="258"/>
      <c r="AD100" s="95"/>
    </row>
    <row r="101" spans="2:30" x14ac:dyDescent="0.2">
      <c r="B101" s="90" t="s">
        <v>169</v>
      </c>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row>
    <row r="102" spans="2:30" s="92" customFormat="1" x14ac:dyDescent="0.2">
      <c r="B102" s="91" t="s">
        <v>170</v>
      </c>
      <c r="C102" s="91"/>
      <c r="D102" s="91"/>
      <c r="E102" s="91"/>
      <c r="F102" s="91"/>
      <c r="G102" s="91"/>
      <c r="H102" s="91"/>
      <c r="I102" s="91"/>
      <c r="J102" s="91"/>
      <c r="K102" s="91"/>
      <c r="L102" s="91"/>
      <c r="M102" s="91"/>
      <c r="N102" s="91"/>
      <c r="O102" s="91"/>
      <c r="P102" s="91"/>
      <c r="Q102" s="91"/>
      <c r="R102" s="91"/>
      <c r="S102" s="91"/>
      <c r="T102" s="91"/>
      <c r="U102" s="91"/>
      <c r="V102" s="200">
        <f>0.263826+0.712154</f>
        <v>0.97597999999999996</v>
      </c>
      <c r="W102" s="200">
        <f>0.38956+0.340624+0.226005</f>
        <v>0.95618899999999996</v>
      </c>
      <c r="X102" s="201"/>
      <c r="Y102" s="201"/>
      <c r="Z102" s="201"/>
      <c r="AA102" s="201"/>
      <c r="AB102" s="201"/>
      <c r="AC102" s="201"/>
      <c r="AD102" s="201"/>
    </row>
    <row r="103" spans="2:30" x14ac:dyDescent="0.2">
      <c r="B103" s="96" t="s">
        <v>171</v>
      </c>
      <c r="C103" s="96"/>
      <c r="D103" s="96"/>
      <c r="E103" s="96"/>
      <c r="F103" s="96"/>
      <c r="G103" s="96"/>
      <c r="H103" s="96"/>
      <c r="I103" s="96"/>
      <c r="J103" s="96"/>
      <c r="K103" s="96"/>
      <c r="L103" s="96"/>
      <c r="M103" s="96"/>
      <c r="N103" s="96"/>
      <c r="O103" s="96"/>
      <c r="P103" s="96"/>
      <c r="Q103" s="96"/>
      <c r="R103" s="96"/>
      <c r="S103" s="96"/>
      <c r="T103" s="96"/>
      <c r="U103" s="96"/>
      <c r="V103" s="104">
        <f>V102/V6</f>
        <v>2.5571984436613272E-2</v>
      </c>
      <c r="W103" s="104">
        <f>W102/W6</f>
        <v>1.4918822231404049E-2</v>
      </c>
      <c r="X103" s="95"/>
      <c r="Y103" s="95"/>
      <c r="Z103" s="95"/>
      <c r="AA103" s="95"/>
      <c r="AB103" s="95"/>
      <c r="AC103" s="95"/>
      <c r="AD103" s="95"/>
    </row>
    <row r="104" spans="2:30" x14ac:dyDescent="0.2">
      <c r="B104" s="96" t="s">
        <v>172</v>
      </c>
      <c r="C104" s="96"/>
      <c r="D104" s="96"/>
      <c r="E104" s="96"/>
      <c r="F104" s="96"/>
      <c r="G104" s="96"/>
      <c r="H104" s="96"/>
      <c r="I104" s="96"/>
      <c r="J104" s="96"/>
      <c r="K104" s="96"/>
      <c r="L104" s="96"/>
      <c r="M104" s="96"/>
      <c r="N104" s="96"/>
      <c r="O104" s="96"/>
      <c r="P104" s="96"/>
      <c r="Q104" s="96"/>
      <c r="R104" s="96"/>
      <c r="S104" s="96"/>
      <c r="T104" s="96"/>
      <c r="U104" s="96"/>
      <c r="V104" s="96"/>
      <c r="W104" s="96"/>
      <c r="X104" s="95"/>
      <c r="Y104" s="95"/>
      <c r="Z104" s="95"/>
      <c r="AA104" s="95"/>
      <c r="AB104" s="95"/>
      <c r="AC104" s="95"/>
      <c r="AD104" s="95"/>
    </row>
    <row r="105" spans="2:30" x14ac:dyDescent="0.2">
      <c r="B105" s="96"/>
      <c r="C105" s="96"/>
      <c r="D105" s="96"/>
      <c r="E105" s="96"/>
      <c r="F105" s="96"/>
      <c r="G105" s="96"/>
      <c r="H105" s="96"/>
      <c r="I105" s="96"/>
      <c r="J105" s="96"/>
      <c r="K105" s="96"/>
      <c r="L105" s="96"/>
      <c r="M105" s="96"/>
      <c r="N105" s="96"/>
      <c r="O105" s="96"/>
      <c r="P105" s="96"/>
      <c r="Q105" s="96"/>
      <c r="R105" s="96"/>
      <c r="S105" s="96"/>
      <c r="T105" s="96"/>
      <c r="U105" s="96"/>
      <c r="V105" s="96"/>
      <c r="W105" s="96"/>
      <c r="X105" s="95"/>
      <c r="Y105" s="95"/>
      <c r="Z105" s="95"/>
      <c r="AA105" s="95"/>
      <c r="AB105" s="95"/>
      <c r="AC105" s="95"/>
      <c r="AD105" s="95"/>
    </row>
    <row r="106" spans="2:30" s="92" customFormat="1" x14ac:dyDescent="0.2">
      <c r="B106" s="91" t="s">
        <v>173</v>
      </c>
      <c r="C106" s="91"/>
      <c r="D106" s="91"/>
      <c r="E106" s="91"/>
      <c r="F106" s="91"/>
      <c r="G106" s="91"/>
      <c r="H106" s="91"/>
      <c r="I106" s="91"/>
      <c r="J106" s="91"/>
      <c r="K106" s="91"/>
      <c r="L106" s="91"/>
      <c r="M106" s="91"/>
      <c r="N106" s="91"/>
      <c r="O106" s="91"/>
      <c r="P106" s="91"/>
      <c r="Q106" s="91"/>
      <c r="R106" s="91"/>
      <c r="S106" s="91"/>
      <c r="T106" s="91"/>
      <c r="U106" s="91"/>
      <c r="V106" s="200">
        <v>11.500427</v>
      </c>
      <c r="W106" s="200">
        <v>16.334434000000002</v>
      </c>
      <c r="X106" s="201"/>
      <c r="Y106" s="201"/>
      <c r="Z106" s="201"/>
      <c r="AA106" s="201"/>
      <c r="AB106" s="201"/>
      <c r="AC106" s="201"/>
      <c r="AD106" s="201"/>
    </row>
    <row r="107" spans="2:30" x14ac:dyDescent="0.2">
      <c r="B107" s="96" t="s">
        <v>171</v>
      </c>
      <c r="C107" s="96"/>
      <c r="D107" s="96"/>
      <c r="E107" s="96"/>
      <c r="F107" s="96"/>
      <c r="G107" s="96"/>
      <c r="H107" s="96"/>
      <c r="I107" s="96"/>
      <c r="J107" s="96"/>
      <c r="K107" s="96"/>
      <c r="L107" s="96"/>
      <c r="M107" s="96"/>
      <c r="N107" s="96"/>
      <c r="O107" s="96"/>
      <c r="P107" s="96"/>
      <c r="Q107" s="96"/>
      <c r="R107" s="96"/>
      <c r="S107" s="96"/>
      <c r="T107" s="96"/>
      <c r="U107" s="96"/>
      <c r="V107" s="202">
        <f>V106/V6</f>
        <v>0.30132660531814903</v>
      </c>
      <c r="W107" s="202">
        <f>W106/W6</f>
        <v>0.25485601392256363</v>
      </c>
      <c r="X107" s="95"/>
      <c r="Y107" s="95"/>
      <c r="Z107" s="95"/>
      <c r="AA107" s="95"/>
      <c r="AB107" s="95"/>
      <c r="AC107" s="95"/>
      <c r="AD107" s="95"/>
    </row>
    <row r="108" spans="2:30" x14ac:dyDescent="0.2">
      <c r="B108" s="96" t="s">
        <v>174</v>
      </c>
      <c r="C108" s="96"/>
      <c r="D108" s="96"/>
      <c r="E108" s="96"/>
      <c r="F108" s="96"/>
      <c r="G108" s="96"/>
      <c r="H108" s="96"/>
      <c r="I108" s="96"/>
      <c r="J108" s="96"/>
      <c r="K108" s="96"/>
      <c r="L108" s="96"/>
      <c r="M108" s="96"/>
      <c r="N108" s="96"/>
      <c r="O108" s="96"/>
      <c r="P108" s="96"/>
      <c r="Q108" s="96"/>
      <c r="R108" s="96"/>
      <c r="S108" s="96"/>
      <c r="T108" s="96"/>
      <c r="U108" s="96"/>
      <c r="V108" s="96"/>
      <c r="W108" s="96"/>
      <c r="X108" s="95"/>
      <c r="Y108" s="95"/>
      <c r="Z108" s="95"/>
      <c r="AA108" s="95"/>
      <c r="AB108" s="95"/>
      <c r="AC108" s="95"/>
      <c r="AD108" s="95"/>
    </row>
    <row r="109" spans="2:30" x14ac:dyDescent="0.2">
      <c r="B109" s="96"/>
      <c r="C109" s="96"/>
      <c r="D109" s="96"/>
      <c r="E109" s="96"/>
      <c r="F109" s="96"/>
      <c r="G109" s="96"/>
      <c r="H109" s="96"/>
      <c r="I109" s="96"/>
      <c r="J109" s="96"/>
      <c r="K109" s="96"/>
      <c r="L109" s="96"/>
      <c r="M109" s="96"/>
      <c r="N109" s="96"/>
      <c r="O109" s="96"/>
      <c r="P109" s="96"/>
      <c r="Q109" s="96"/>
      <c r="R109" s="96"/>
      <c r="S109" s="96"/>
      <c r="T109" s="96"/>
      <c r="U109" s="96"/>
      <c r="V109" s="96"/>
      <c r="W109" s="96"/>
      <c r="X109" s="95"/>
      <c r="Y109" s="95"/>
      <c r="Z109" s="95"/>
      <c r="AA109" s="95"/>
      <c r="AB109" s="95"/>
      <c r="AC109" s="95"/>
      <c r="AD109" s="95"/>
    </row>
    <row r="110" spans="2:30" s="92" customFormat="1" x14ac:dyDescent="0.2">
      <c r="B110" s="91" t="s">
        <v>175</v>
      </c>
      <c r="C110" s="91"/>
      <c r="D110" s="91"/>
      <c r="E110" s="91"/>
      <c r="F110" s="91"/>
      <c r="G110" s="91"/>
      <c r="H110" s="91"/>
      <c r="I110" s="91"/>
      <c r="J110" s="91"/>
      <c r="K110" s="91"/>
      <c r="L110" s="91"/>
      <c r="M110" s="91"/>
      <c r="N110" s="91"/>
      <c r="O110" s="91"/>
      <c r="P110" s="91"/>
      <c r="Q110" s="91"/>
      <c r="R110" s="91"/>
      <c r="S110" s="91"/>
      <c r="T110" s="91"/>
      <c r="U110" s="91"/>
      <c r="V110" s="200">
        <v>0.37825599999999998</v>
      </c>
      <c r="W110" s="200">
        <v>0.79841099999999998</v>
      </c>
      <c r="X110" s="201"/>
      <c r="Y110" s="201"/>
      <c r="Z110" s="201"/>
      <c r="AA110" s="201"/>
      <c r="AB110" s="201"/>
      <c r="AC110" s="201"/>
      <c r="AD110" s="201"/>
    </row>
    <row r="111" spans="2:30" x14ac:dyDescent="0.2">
      <c r="B111" s="96" t="s">
        <v>171</v>
      </c>
      <c r="C111" s="96"/>
      <c r="D111" s="96"/>
      <c r="E111" s="96"/>
      <c r="F111" s="96"/>
      <c r="G111" s="96"/>
      <c r="H111" s="96"/>
      <c r="I111" s="96"/>
      <c r="J111" s="96"/>
      <c r="K111" s="96"/>
      <c r="L111" s="96"/>
      <c r="M111" s="96"/>
      <c r="N111" s="96"/>
      <c r="O111" s="96"/>
      <c r="P111" s="96"/>
      <c r="Q111" s="96"/>
      <c r="R111" s="96"/>
      <c r="S111" s="96"/>
      <c r="T111" s="96"/>
      <c r="U111" s="96"/>
      <c r="V111" s="104">
        <f>V110/V6</f>
        <v>9.9108143046533637E-3</v>
      </c>
      <c r="W111" s="104">
        <f>W110/W6</f>
        <v>1.2457110233016211E-2</v>
      </c>
      <c r="X111" s="95"/>
      <c r="Y111" s="95"/>
      <c r="Z111" s="95"/>
      <c r="AA111" s="95"/>
      <c r="AB111" s="95"/>
      <c r="AC111" s="95"/>
      <c r="AD111" s="95"/>
    </row>
    <row r="112" spans="2:30" x14ac:dyDescent="0.2">
      <c r="B112" s="96" t="s">
        <v>176</v>
      </c>
      <c r="C112" s="96"/>
      <c r="D112" s="96"/>
      <c r="E112" s="96"/>
      <c r="F112" s="96"/>
      <c r="G112" s="96"/>
      <c r="H112" s="96"/>
      <c r="I112" s="96"/>
      <c r="J112" s="96"/>
      <c r="K112" s="96"/>
      <c r="L112" s="96"/>
      <c r="M112" s="96"/>
      <c r="N112" s="96"/>
      <c r="O112" s="96"/>
      <c r="P112" s="96"/>
      <c r="Q112" s="96"/>
      <c r="R112" s="96"/>
      <c r="S112" s="96"/>
      <c r="T112" s="96"/>
      <c r="U112" s="96"/>
      <c r="V112" s="96"/>
      <c r="W112" s="96"/>
      <c r="X112" s="95"/>
      <c r="Y112" s="95"/>
      <c r="Z112" s="95"/>
      <c r="AA112" s="95"/>
      <c r="AB112" s="95"/>
      <c r="AC112" s="95"/>
      <c r="AD112" s="95"/>
    </row>
    <row r="113" spans="2:30" x14ac:dyDescent="0.2">
      <c r="B113" s="96"/>
      <c r="C113" s="96"/>
      <c r="D113" s="96"/>
      <c r="E113" s="96"/>
      <c r="F113" s="96"/>
      <c r="G113" s="96"/>
      <c r="H113" s="96"/>
      <c r="I113" s="96"/>
      <c r="J113" s="96"/>
      <c r="K113" s="96"/>
      <c r="L113" s="96"/>
      <c r="M113" s="96"/>
      <c r="N113" s="96"/>
      <c r="O113" s="96"/>
      <c r="P113" s="96"/>
      <c r="Q113" s="96"/>
      <c r="R113" s="96"/>
      <c r="S113" s="96"/>
      <c r="T113" s="96"/>
      <c r="U113" s="96"/>
      <c r="V113" s="96"/>
      <c r="W113" s="96"/>
      <c r="X113" s="95"/>
      <c r="Y113" s="95"/>
      <c r="Z113" s="95"/>
      <c r="AA113" s="95"/>
      <c r="AB113" s="95"/>
      <c r="AC113" s="95"/>
      <c r="AD113" s="95"/>
    </row>
    <row r="114" spans="2:30" x14ac:dyDescent="0.2">
      <c r="B114" s="91" t="s">
        <v>177</v>
      </c>
      <c r="C114" s="96"/>
      <c r="D114" s="96"/>
      <c r="E114" s="96"/>
      <c r="F114" s="96"/>
      <c r="G114" s="96"/>
      <c r="H114" s="96"/>
      <c r="I114" s="96"/>
      <c r="J114" s="96"/>
      <c r="K114" s="96"/>
      <c r="L114" s="96"/>
      <c r="M114" s="96"/>
      <c r="N114" s="96"/>
      <c r="O114" s="96"/>
      <c r="P114" s="96"/>
      <c r="Q114" s="96"/>
      <c r="R114" s="96"/>
      <c r="S114" s="96"/>
      <c r="T114" s="96"/>
      <c r="U114" s="96"/>
      <c r="V114" s="105">
        <f>V102+V106-V110</f>
        <v>12.098151</v>
      </c>
      <c r="W114" s="105">
        <f>W102+W106-W110</f>
        <v>16.492211999999999</v>
      </c>
      <c r="X114" s="95"/>
      <c r="Y114" s="95"/>
      <c r="Z114" s="95"/>
      <c r="AA114" s="95"/>
      <c r="AB114" s="95"/>
      <c r="AC114" s="95"/>
      <c r="AD114" s="95"/>
    </row>
    <row r="115" spans="2:30" x14ac:dyDescent="0.2">
      <c r="B115" s="96" t="s">
        <v>162</v>
      </c>
      <c r="C115" s="96"/>
      <c r="D115" s="96"/>
      <c r="E115" s="96"/>
      <c r="F115" s="96"/>
      <c r="G115" s="96"/>
      <c r="H115" s="96"/>
      <c r="I115" s="96"/>
      <c r="J115" s="96"/>
      <c r="K115" s="96"/>
      <c r="L115" s="96"/>
      <c r="M115" s="96"/>
      <c r="N115" s="96"/>
      <c r="O115" s="96"/>
      <c r="P115" s="96"/>
      <c r="Q115" s="96"/>
      <c r="R115" s="96"/>
      <c r="S115" s="96"/>
      <c r="T115" s="96"/>
      <c r="U115" s="96"/>
      <c r="V115" s="96"/>
      <c r="W115" s="203">
        <f t="shared" ref="W115" si="177">-(W114-V114)</f>
        <v>-4.3940609999999989</v>
      </c>
      <c r="X115" s="95"/>
      <c r="Y115" s="95"/>
      <c r="Z115" s="95"/>
      <c r="AA115" s="95"/>
      <c r="AB115" s="95"/>
      <c r="AC115" s="95"/>
      <c r="AD115" s="95"/>
    </row>
    <row r="116" spans="2:30" x14ac:dyDescent="0.2">
      <c r="B116" s="96" t="s">
        <v>178</v>
      </c>
      <c r="C116" s="96"/>
      <c r="D116" s="96"/>
      <c r="E116" s="96"/>
      <c r="F116" s="96"/>
      <c r="G116" s="96"/>
      <c r="H116" s="96"/>
      <c r="I116" s="96"/>
      <c r="J116" s="96"/>
      <c r="K116" s="96"/>
      <c r="L116" s="96"/>
      <c r="M116" s="96"/>
      <c r="N116" s="96"/>
      <c r="O116" s="96"/>
      <c r="P116" s="96"/>
      <c r="Q116" s="96"/>
      <c r="R116" s="96"/>
      <c r="S116" s="96"/>
      <c r="T116" s="96"/>
      <c r="U116" s="96"/>
      <c r="V116" s="96"/>
      <c r="W116" s="96"/>
      <c r="X116" s="95"/>
      <c r="Y116" s="95"/>
      <c r="Z116" s="95"/>
      <c r="AA116" s="95"/>
      <c r="AB116" s="95"/>
      <c r="AC116" s="95"/>
      <c r="AD116" s="95"/>
    </row>
    <row r="117" spans="2:30" x14ac:dyDescent="0.2">
      <c r="B117" s="96"/>
      <c r="C117" s="96"/>
      <c r="D117" s="96"/>
      <c r="E117" s="96"/>
      <c r="F117" s="96"/>
      <c r="G117" s="96"/>
      <c r="H117" s="96"/>
      <c r="I117" s="96"/>
      <c r="J117" s="96"/>
      <c r="K117" s="96"/>
      <c r="L117" s="96"/>
      <c r="M117" s="96"/>
      <c r="N117" s="96"/>
      <c r="O117" s="96"/>
      <c r="P117" s="96"/>
      <c r="Q117" s="96"/>
      <c r="R117" s="96"/>
      <c r="S117" s="96"/>
      <c r="T117" s="96"/>
      <c r="U117" s="96"/>
      <c r="V117" s="96"/>
      <c r="W117" s="96"/>
      <c r="X117" s="95"/>
      <c r="Y117" s="95"/>
      <c r="Z117" s="95"/>
      <c r="AA117" s="95"/>
      <c r="AB117" s="95"/>
      <c r="AC117" s="95"/>
      <c r="AD117" s="95"/>
    </row>
    <row r="118" spans="2:30" x14ac:dyDescent="0.2">
      <c r="B118" s="96" t="s">
        <v>22</v>
      </c>
      <c r="C118" s="96"/>
      <c r="D118" s="96"/>
      <c r="E118" s="96"/>
      <c r="F118" s="96"/>
      <c r="G118" s="96"/>
      <c r="H118" s="96"/>
      <c r="I118" s="96"/>
      <c r="J118" s="96"/>
      <c r="K118" s="96"/>
      <c r="L118" s="96"/>
      <c r="M118" s="96"/>
      <c r="N118" s="96"/>
      <c r="O118" s="96"/>
      <c r="P118" s="96"/>
      <c r="Q118" s="96"/>
      <c r="R118" s="96"/>
      <c r="S118" s="96"/>
      <c r="T118" s="96"/>
      <c r="U118" s="96"/>
      <c r="V118" s="198">
        <v>4.3595319999999997</v>
      </c>
      <c r="W118" s="198">
        <v>3.2438189999999998</v>
      </c>
      <c r="X118" s="95"/>
      <c r="Y118" s="95"/>
      <c r="Z118" s="95"/>
      <c r="AA118" s="95"/>
      <c r="AB118" s="95"/>
      <c r="AC118" s="95"/>
      <c r="AD118" s="95"/>
    </row>
    <row r="119" spans="2:30" x14ac:dyDescent="0.2">
      <c r="B119" s="96" t="s">
        <v>36</v>
      </c>
      <c r="C119" s="96"/>
      <c r="D119" s="96"/>
      <c r="E119" s="96"/>
      <c r="F119" s="96"/>
      <c r="G119" s="96"/>
      <c r="H119" s="96"/>
      <c r="I119" s="96"/>
      <c r="J119" s="96"/>
      <c r="K119" s="96"/>
      <c r="L119" s="96"/>
      <c r="M119" s="96"/>
      <c r="N119" s="96"/>
      <c r="O119" s="96"/>
      <c r="P119" s="96"/>
      <c r="Q119" s="96"/>
      <c r="R119" s="96"/>
      <c r="S119" s="96"/>
      <c r="T119" s="96"/>
      <c r="U119" s="96"/>
      <c r="V119" s="107">
        <v>0</v>
      </c>
      <c r="W119" s="107">
        <v>0</v>
      </c>
      <c r="X119" s="95"/>
      <c r="Y119" s="95"/>
      <c r="Z119" s="95"/>
      <c r="AA119" s="95"/>
      <c r="AB119" s="95"/>
      <c r="AC119" s="95"/>
      <c r="AD119" s="95"/>
    </row>
    <row r="120" spans="2:30" x14ac:dyDescent="0.2">
      <c r="B120" s="91" t="s">
        <v>211</v>
      </c>
      <c r="C120" s="96"/>
      <c r="D120" s="96"/>
      <c r="E120" s="96"/>
      <c r="F120" s="96"/>
      <c r="G120" s="96"/>
      <c r="H120" s="96"/>
      <c r="I120" s="96"/>
      <c r="J120" s="96"/>
      <c r="K120" s="96"/>
      <c r="L120" s="96"/>
      <c r="M120" s="96"/>
      <c r="N120" s="96"/>
      <c r="O120" s="96"/>
      <c r="P120" s="96"/>
      <c r="Q120" s="96"/>
      <c r="R120" s="96"/>
      <c r="S120" s="96"/>
      <c r="T120" s="96"/>
      <c r="U120" s="96"/>
      <c r="V120" s="220">
        <f>V119-V118</f>
        <v>-4.3595319999999997</v>
      </c>
      <c r="W120" s="220">
        <f>W119-W118</f>
        <v>-3.2438189999999998</v>
      </c>
      <c r="X120" s="95"/>
      <c r="Y120" s="95"/>
      <c r="Z120" s="95"/>
      <c r="AA120" s="95"/>
      <c r="AB120" s="95"/>
      <c r="AC120" s="95"/>
      <c r="AD120" s="95"/>
    </row>
    <row r="121" spans="2:30" x14ac:dyDescent="0.2">
      <c r="B121" s="96" t="s">
        <v>180</v>
      </c>
      <c r="C121" s="96"/>
      <c r="D121" s="96"/>
      <c r="E121" s="96"/>
      <c r="F121" s="96"/>
      <c r="G121" s="96"/>
      <c r="H121" s="96"/>
      <c r="I121" s="96"/>
      <c r="J121" s="96"/>
      <c r="K121" s="96"/>
      <c r="L121" s="96"/>
      <c r="M121" s="96"/>
      <c r="N121" s="96"/>
      <c r="O121" s="96"/>
      <c r="P121" s="96"/>
      <c r="Q121" s="96"/>
      <c r="R121" s="96"/>
      <c r="S121" s="96"/>
      <c r="T121" s="96"/>
      <c r="U121" s="96"/>
      <c r="V121" s="96"/>
      <c r="W121" s="204">
        <f>W120-V120</f>
        <v>1.115713</v>
      </c>
      <c r="X121" s="95"/>
      <c r="Y121" s="95"/>
      <c r="Z121" s="95"/>
      <c r="AA121" s="95"/>
      <c r="AB121" s="95"/>
      <c r="AC121" s="95"/>
      <c r="AD121" s="95"/>
    </row>
    <row r="122" spans="2:30" x14ac:dyDescent="0.2">
      <c r="B122" s="96"/>
      <c r="C122" s="96"/>
      <c r="D122" s="96"/>
      <c r="E122" s="96"/>
      <c r="F122" s="96"/>
      <c r="G122" s="96"/>
      <c r="H122" s="96"/>
      <c r="I122" s="96"/>
      <c r="J122" s="96"/>
      <c r="K122" s="96"/>
      <c r="L122" s="96"/>
      <c r="M122" s="96"/>
      <c r="N122" s="96"/>
      <c r="O122" s="96"/>
      <c r="P122" s="96"/>
      <c r="Q122" s="96"/>
      <c r="R122" s="96"/>
      <c r="S122" s="96"/>
      <c r="T122" s="96"/>
      <c r="U122" s="96"/>
      <c r="V122" s="96"/>
      <c r="W122" s="96"/>
      <c r="X122" s="95"/>
      <c r="Y122" s="95"/>
      <c r="Z122" s="95"/>
      <c r="AA122" s="95"/>
      <c r="AB122" s="95"/>
      <c r="AC122" s="95"/>
      <c r="AD122" s="95"/>
    </row>
    <row r="123" spans="2:30" x14ac:dyDescent="0.2">
      <c r="B123" s="96"/>
      <c r="C123" s="96"/>
      <c r="D123" s="96"/>
      <c r="E123" s="96"/>
      <c r="F123" s="96"/>
      <c r="G123" s="96"/>
      <c r="H123" s="96"/>
      <c r="I123" s="96"/>
      <c r="J123" s="96"/>
      <c r="K123" s="96"/>
      <c r="L123" s="96"/>
      <c r="M123" s="96"/>
      <c r="N123" s="96"/>
      <c r="O123" s="96"/>
      <c r="P123" s="96"/>
      <c r="Q123" s="96"/>
      <c r="R123" s="96"/>
      <c r="S123" s="96"/>
      <c r="T123" s="96"/>
      <c r="U123" s="96"/>
      <c r="V123" s="96"/>
      <c r="W123" s="96"/>
    </row>
    <row r="124" spans="2:30" x14ac:dyDescent="0.2">
      <c r="B124" s="91" t="s">
        <v>415</v>
      </c>
      <c r="C124" s="96"/>
      <c r="D124" s="96"/>
      <c r="E124" s="96"/>
      <c r="F124" s="96"/>
      <c r="G124" s="96"/>
      <c r="H124" s="96"/>
      <c r="I124" s="96"/>
      <c r="J124" s="96"/>
      <c r="K124" s="96"/>
      <c r="L124" s="96"/>
      <c r="M124" s="96"/>
      <c r="N124" s="96"/>
      <c r="O124" s="96"/>
      <c r="P124" s="96"/>
      <c r="Q124" s="96"/>
      <c r="R124" s="96"/>
      <c r="S124" s="96"/>
      <c r="T124" s="96"/>
      <c r="U124" s="96"/>
      <c r="V124" s="96"/>
      <c r="W124" s="200">
        <f>-9.862476+6.078917</f>
        <v>-3.7835589999999995</v>
      </c>
      <c r="X124" s="95"/>
      <c r="Y124" s="95"/>
      <c r="Z124" s="95"/>
      <c r="AA124" s="95"/>
      <c r="AB124" s="95"/>
      <c r="AC124" s="95"/>
      <c r="AD124" s="95"/>
    </row>
    <row r="125" spans="2:30" x14ac:dyDescent="0.2">
      <c r="B125" s="96"/>
      <c r="C125" s="96"/>
      <c r="D125" s="96"/>
      <c r="E125" s="96"/>
      <c r="F125" s="96"/>
      <c r="G125" s="96"/>
      <c r="H125" s="96"/>
      <c r="I125" s="96"/>
      <c r="J125" s="96"/>
      <c r="K125" s="96"/>
      <c r="L125" s="96"/>
      <c r="M125" s="96"/>
      <c r="N125" s="96"/>
      <c r="O125" s="96"/>
      <c r="P125" s="96"/>
      <c r="Q125" s="96"/>
      <c r="R125" s="96"/>
      <c r="S125" s="96"/>
      <c r="T125" s="96"/>
      <c r="U125" s="96"/>
      <c r="V125" s="96"/>
      <c r="W125" s="96"/>
      <c r="X125" s="95"/>
      <c r="Y125" s="95"/>
      <c r="Z125" s="95"/>
      <c r="AA125" s="95"/>
      <c r="AB125" s="95"/>
      <c r="AC125" s="95"/>
      <c r="AD125" s="95"/>
    </row>
  </sheetData>
  <printOptions horizontalCentered="1" verticalCentered="1"/>
  <pageMargins left="0.7" right="0.7" top="0.75" bottom="0.75" header="0.3" footer="0.3"/>
  <pageSetup paperSize="0" scale="76" orientation="portrait" r:id="rId1"/>
  <customProperties>
    <customPr name="Qube.Worksheet.Visibility"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13DB-B048-45AF-81E3-71484D1512A6}">
  <sheetPr>
    <tabColor theme="0" tint="-0.14999847407452621"/>
    <pageSetUpPr fitToPage="1"/>
  </sheetPr>
  <dimension ref="A1:X76"/>
  <sheetViews>
    <sheetView showGridLines="0" topLeftCell="B16" zoomScale="70" zoomScaleNormal="70" workbookViewId="0">
      <selection activeCell="B1" sqref="B1"/>
    </sheetView>
  </sheetViews>
  <sheetFormatPr defaultColWidth="9.140625" defaultRowHeight="12.75" outlineLevelCol="1" x14ac:dyDescent="0.25"/>
  <cols>
    <col min="1" max="1" width="9.140625" style="136" hidden="1" customWidth="1" outlineLevel="1"/>
    <col min="2" max="2" width="3.5703125" style="136" customWidth="1" collapsed="1"/>
    <col min="3" max="3" width="40.140625" style="136" customWidth="1"/>
    <col min="4" max="4" width="10.85546875" style="136" customWidth="1"/>
    <col min="5" max="5" width="22.42578125" style="136" customWidth="1"/>
    <col min="6" max="23" width="10.85546875" style="136" customWidth="1"/>
    <col min="24" max="16384" width="9.140625" style="136"/>
  </cols>
  <sheetData>
    <row r="1" spans="3:11" s="127" customFormat="1" x14ac:dyDescent="0.25">
      <c r="C1" s="39" t="str">
        <f>Model!B1</f>
        <v>Sigma Healthcare (SIG.AX)</v>
      </c>
      <c r="D1" s="39"/>
    </row>
    <row r="2" spans="3:11" s="127" customFormat="1" x14ac:dyDescent="0.25"/>
    <row r="3" spans="3:11" s="127" customFormat="1" x14ac:dyDescent="0.25"/>
    <row r="4" spans="3:11" s="127" customFormat="1" x14ac:dyDescent="0.25"/>
    <row r="6" spans="3:11" s="5" customFormat="1" ht="16.5" customHeight="1" x14ac:dyDescent="0.25">
      <c r="C6" s="17" t="s">
        <v>410</v>
      </c>
      <c r="D6" s="17"/>
      <c r="E6" s="17"/>
      <c r="F6" s="17"/>
      <c r="G6" s="17"/>
      <c r="H6" s="17"/>
      <c r="I6" s="17"/>
      <c r="J6" s="17"/>
      <c r="K6" s="17"/>
    </row>
    <row r="9" spans="3:11" ht="15.75" customHeight="1" x14ac:dyDescent="0.25">
      <c r="C9" s="128" t="s">
        <v>413</v>
      </c>
      <c r="D9" s="180"/>
      <c r="E9" s="180"/>
    </row>
    <row r="10" spans="3:11" ht="6" customHeight="1" x14ac:dyDescent="0.25">
      <c r="C10" s="131"/>
      <c r="D10" s="131"/>
      <c r="E10" s="131"/>
    </row>
    <row r="11" spans="3:11" ht="15.75" customHeight="1" x14ac:dyDescent="0.25">
      <c r="C11" s="181" t="s">
        <v>356</v>
      </c>
      <c r="D11" s="182" t="s">
        <v>357</v>
      </c>
      <c r="E11" s="183" t="s">
        <v>358</v>
      </c>
    </row>
    <row r="12" spans="3:11" ht="18" customHeight="1" x14ac:dyDescent="0.25">
      <c r="C12" s="133" t="str">
        <f t="shared" ref="C12:C18" si="0">T56</f>
        <v>Present Value of FCF</v>
      </c>
      <c r="D12" s="184">
        <v>1</v>
      </c>
      <c r="E12" s="185">
        <f>$W$56</f>
        <v>19151.292051488115</v>
      </c>
    </row>
    <row r="13" spans="3:11" ht="18" customHeight="1" x14ac:dyDescent="0.25">
      <c r="C13" s="133" t="str">
        <f t="shared" si="0"/>
        <v>Terminal Value</v>
      </c>
      <c r="D13" s="179"/>
      <c r="E13" s="185">
        <f>$W$57</f>
        <v>22885.368115873109</v>
      </c>
    </row>
    <row r="14" spans="3:11" ht="18" customHeight="1" x14ac:dyDescent="0.25">
      <c r="C14" s="139" t="str">
        <f t="shared" si="0"/>
        <v>Total EV</v>
      </c>
      <c r="D14" s="186"/>
      <c r="E14" s="187">
        <f>$W$58</f>
        <v>42036.660167361224</v>
      </c>
    </row>
    <row r="15" spans="3:11" ht="18" customHeight="1" x14ac:dyDescent="0.25">
      <c r="C15" s="133" t="str">
        <f t="shared" si="0"/>
        <v>Less: Net Debt</v>
      </c>
      <c r="D15" s="179"/>
      <c r="E15" s="185">
        <f>$W$59</f>
        <v>-628.38913840535031</v>
      </c>
    </row>
    <row r="16" spans="3:11" ht="18" customHeight="1" x14ac:dyDescent="0.25">
      <c r="C16" s="133" t="str">
        <f t="shared" si="0"/>
        <v>Less Minority Interest</v>
      </c>
      <c r="D16" s="178"/>
      <c r="E16" s="185">
        <f>$W$60</f>
        <v>-577</v>
      </c>
    </row>
    <row r="17" spans="1:23" ht="18" customHeight="1" x14ac:dyDescent="0.25">
      <c r="C17" s="139" t="str">
        <f t="shared" si="0"/>
        <v>Equity Value</v>
      </c>
      <c r="D17" s="186"/>
      <c r="E17" s="187">
        <f>$W$61</f>
        <v>40831.271028955874</v>
      </c>
    </row>
    <row r="18" spans="1:23" ht="18" customHeight="1" x14ac:dyDescent="0.25">
      <c r="C18" s="133" t="str">
        <f t="shared" si="0"/>
        <v>Shares</v>
      </c>
      <c r="D18" s="186"/>
      <c r="E18" s="185">
        <f>$W$62</f>
        <v>11540</v>
      </c>
    </row>
    <row r="19" spans="1:23" ht="18" customHeight="1" x14ac:dyDescent="0.25">
      <c r="C19" s="139" t="s">
        <v>359</v>
      </c>
      <c r="D19" s="186"/>
      <c r="E19" s="259">
        <f>$W$63</f>
        <v>3.5</v>
      </c>
    </row>
    <row r="20" spans="1:23" ht="8.25" customHeight="1" x14ac:dyDescent="0.25">
      <c r="C20" s="139"/>
      <c r="D20" s="186"/>
      <c r="E20" s="189"/>
    </row>
    <row r="21" spans="1:23" ht="3" customHeight="1" x14ac:dyDescent="0.25">
      <c r="C21" s="191"/>
      <c r="D21" s="192"/>
      <c r="E21" s="259"/>
    </row>
    <row r="22" spans="1:23" ht="20.25" customHeight="1" x14ac:dyDescent="0.25">
      <c r="C22" s="193" t="s">
        <v>492</v>
      </c>
      <c r="D22" s="39"/>
      <c r="E22" s="260">
        <f>$E$19</f>
        <v>3.5</v>
      </c>
    </row>
    <row r="23" spans="1:23" ht="22.5" customHeight="1" x14ac:dyDescent="0.25">
      <c r="C23" s="190" t="s">
        <v>360</v>
      </c>
      <c r="D23" s="130"/>
      <c r="E23" s="134">
        <f>E22/D65-1</f>
        <v>0.1986301369863015</v>
      </c>
    </row>
    <row r="27" spans="1:23" s="5" customFormat="1" ht="16.5" customHeight="1" x14ac:dyDescent="0.25">
      <c r="C27" s="17" t="s">
        <v>411</v>
      </c>
      <c r="D27" s="17"/>
      <c r="E27" s="17"/>
      <c r="F27" s="17"/>
      <c r="G27" s="17"/>
      <c r="H27" s="17"/>
      <c r="I27" s="17"/>
      <c r="J27" s="17"/>
      <c r="K27" s="17"/>
    </row>
    <row r="28" spans="1:23" ht="13.5" customHeight="1" x14ac:dyDescent="0.25">
      <c r="C28" s="176"/>
      <c r="D28" s="176"/>
      <c r="E28" s="176"/>
      <c r="F28" s="261"/>
      <c r="G28" s="261"/>
      <c r="H28" s="261"/>
      <c r="I28" s="261"/>
      <c r="J28" s="176"/>
      <c r="K28" s="176"/>
      <c r="L28" s="131"/>
      <c r="M28" s="131"/>
      <c r="N28" s="131"/>
      <c r="O28" s="131"/>
      <c r="P28" s="131"/>
      <c r="Q28" s="131"/>
      <c r="R28" s="131"/>
      <c r="S28" s="131"/>
      <c r="T28" s="131"/>
      <c r="U28" s="131"/>
      <c r="V28" s="131"/>
      <c r="W28" s="131"/>
    </row>
    <row r="29" spans="1:23" ht="13.5" customHeight="1" x14ac:dyDescent="0.25">
      <c r="C29" s="176"/>
      <c r="D29" s="176"/>
      <c r="E29" s="176"/>
      <c r="F29" s="261"/>
      <c r="G29" s="261"/>
      <c r="H29" s="261"/>
      <c r="I29" s="261"/>
      <c r="J29" s="176"/>
      <c r="K29" s="176"/>
      <c r="L29" s="131"/>
      <c r="M29" s="131"/>
      <c r="N29" s="131"/>
      <c r="O29" s="131"/>
      <c r="P29" s="131"/>
      <c r="Q29" s="131"/>
      <c r="R29" s="131"/>
      <c r="S29" s="131"/>
      <c r="T29" s="131"/>
      <c r="U29" s="131"/>
      <c r="V29" s="131"/>
      <c r="W29" s="131"/>
    </row>
    <row r="30" spans="1:23" ht="19.5" customHeight="1" x14ac:dyDescent="0.25">
      <c r="C30" s="362" t="s">
        <v>412</v>
      </c>
      <c r="D30" s="349"/>
      <c r="E30" s="349"/>
      <c r="F30" s="363"/>
      <c r="G30" s="363">
        <v>2</v>
      </c>
      <c r="H30" s="363">
        <v>3</v>
      </c>
      <c r="I30" s="363">
        <v>4</v>
      </c>
      <c r="J30" s="349"/>
      <c r="K30" s="349"/>
      <c r="L30" s="349"/>
      <c r="M30" s="349"/>
      <c r="N30" s="349"/>
      <c r="O30" s="349"/>
      <c r="P30" s="349"/>
      <c r="Q30" s="349"/>
      <c r="R30" s="349"/>
      <c r="S30" s="349"/>
      <c r="T30" s="349"/>
      <c r="U30" s="349"/>
      <c r="V30" s="349"/>
      <c r="W30" s="349"/>
    </row>
    <row r="31" spans="1:23" ht="19.5" customHeight="1" x14ac:dyDescent="0.25">
      <c r="C31" s="364"/>
      <c r="D31" s="364" t="s">
        <v>19</v>
      </c>
      <c r="E31" s="364" t="s">
        <v>20</v>
      </c>
      <c r="F31" s="364" t="s">
        <v>21</v>
      </c>
      <c r="G31" s="364" t="s">
        <v>87</v>
      </c>
      <c r="H31" s="364" t="s">
        <v>88</v>
      </c>
      <c r="I31" s="364" t="s">
        <v>89</v>
      </c>
      <c r="J31" s="364" t="s">
        <v>365</v>
      </c>
      <c r="K31" s="364" t="s">
        <v>366</v>
      </c>
      <c r="L31" s="364" t="s">
        <v>367</v>
      </c>
      <c r="M31" s="364" t="s">
        <v>368</v>
      </c>
      <c r="N31" s="364" t="s">
        <v>369</v>
      </c>
      <c r="O31" s="364" t="s">
        <v>448</v>
      </c>
      <c r="P31" s="364" t="s">
        <v>447</v>
      </c>
      <c r="Q31" s="364" t="s">
        <v>449</v>
      </c>
      <c r="R31" s="364" t="s">
        <v>450</v>
      </c>
      <c r="S31" s="364" t="s">
        <v>451</v>
      </c>
      <c r="T31" s="364" t="s">
        <v>452</v>
      </c>
      <c r="U31" s="364" t="s">
        <v>453</v>
      </c>
      <c r="V31" s="364" t="s">
        <v>454</v>
      </c>
      <c r="W31" s="364" t="s">
        <v>455</v>
      </c>
    </row>
    <row r="32" spans="1:23" ht="27" customHeight="1" x14ac:dyDescent="0.2">
      <c r="A32" s="29" t="s">
        <v>125</v>
      </c>
      <c r="C32" s="353" t="s">
        <v>292</v>
      </c>
      <c r="D32" s="365">
        <f>VLOOKUP($A32,Model!$1:$1048576,MATCH(D$31,Model!$3:$3,0),FALSE)</f>
        <v>10268.5</v>
      </c>
      <c r="E32" s="365">
        <f>VLOOKUP($A32,Model!$1:$1048576,MATCH(E$31,Model!$3:$3,0),FALSE)</f>
        <v>11792.299976602593</v>
      </c>
      <c r="F32" s="365">
        <f>VLOOKUP($A32,Model!$1:$1048576,MATCH(F$31,Model!$3:$3,0),FALSE)</f>
        <v>13128.916202576673</v>
      </c>
      <c r="G32" s="365">
        <f>VLOOKUP($A32,Model!$1:$1048576,MATCH(G$31,Model!$3:$3,0),FALSE)</f>
        <v>14234.604647240276</v>
      </c>
      <c r="H32" s="365">
        <f>VLOOKUP($A32,Model!$1:$1048576,MATCH(H$31,Model!$3:$3,0),FALSE)</f>
        <v>15394.43127158374</v>
      </c>
      <c r="I32" s="365">
        <f>VLOOKUP($A32,Model!$1:$1048576,MATCH(I$31,Model!$3:$3,0),FALSE)</f>
        <v>16626.93626402221</v>
      </c>
      <c r="J32" s="365">
        <f t="shared" ref="J32:N32" si="1">I32*(1+J33)</f>
        <v>17957.091165143989</v>
      </c>
      <c r="K32" s="365">
        <f t="shared" si="1"/>
        <v>19393.658458355509</v>
      </c>
      <c r="L32" s="365">
        <f t="shared" si="1"/>
        <v>20945.151135023949</v>
      </c>
      <c r="M32" s="365">
        <f t="shared" si="1"/>
        <v>22620.763225825867</v>
      </c>
      <c r="N32" s="365">
        <f t="shared" si="1"/>
        <v>24430.424283891938</v>
      </c>
      <c r="O32" s="365">
        <f t="shared" ref="O32" si="2">N32*(1+O33)</f>
        <v>26384.858226603294</v>
      </c>
      <c r="P32" s="365">
        <f t="shared" ref="P32" si="3">O32*(1+P33)</f>
        <v>28495.646884731559</v>
      </c>
      <c r="Q32" s="365">
        <f t="shared" ref="Q32" si="4">P32*(1+Q33)</f>
        <v>30775.298635510087</v>
      </c>
      <c r="R32" s="365">
        <f t="shared" ref="R32" si="5">Q32*(1+R33)</f>
        <v>33237.322526350894</v>
      </c>
      <c r="S32" s="365">
        <f t="shared" ref="S32" si="6">R32*(1+S33)</f>
        <v>35896.308328458967</v>
      </c>
      <c r="T32" s="365">
        <f t="shared" ref="T32" si="7">S32*(1+T33)</f>
        <v>38768.012994735684</v>
      </c>
      <c r="U32" s="365">
        <f t="shared" ref="U32" si="8">T32*(1+U33)</f>
        <v>41869.454034314542</v>
      </c>
      <c r="V32" s="365">
        <f t="shared" ref="V32" si="9">U32*(1+V33)</f>
        <v>45219.010357059706</v>
      </c>
      <c r="W32" s="365">
        <f t="shared" ref="W32" si="10">V32*(1+W33)</f>
        <v>48836.531185624488</v>
      </c>
    </row>
    <row r="33" spans="1:23" ht="27" customHeight="1" x14ac:dyDescent="0.25">
      <c r="C33" s="351" t="s">
        <v>137</v>
      </c>
      <c r="D33" s="366"/>
      <c r="E33" s="367">
        <f>E32/D32-1</f>
        <v>0.14839557643303247</v>
      </c>
      <c r="F33" s="367">
        <f t="shared" ref="F33:I33" si="11">F32/E32-1</f>
        <v>0.11334652515845889</v>
      </c>
      <c r="G33" s="367">
        <f t="shared" si="11"/>
        <v>8.4217800434022161E-2</v>
      </c>
      <c r="H33" s="367">
        <f t="shared" si="11"/>
        <v>8.1479370385487027E-2</v>
      </c>
      <c r="I33" s="367">
        <f t="shared" si="11"/>
        <v>8.0061742502532285E-2</v>
      </c>
      <c r="J33" s="368">
        <v>0.08</v>
      </c>
      <c r="K33" s="368">
        <v>0.08</v>
      </c>
      <c r="L33" s="368">
        <v>0.08</v>
      </c>
      <c r="M33" s="368">
        <v>0.08</v>
      </c>
      <c r="N33" s="368">
        <v>0.08</v>
      </c>
      <c r="O33" s="368">
        <v>0.08</v>
      </c>
      <c r="P33" s="368">
        <v>0.08</v>
      </c>
      <c r="Q33" s="368">
        <v>0.08</v>
      </c>
      <c r="R33" s="368">
        <v>0.08</v>
      </c>
      <c r="S33" s="368">
        <v>0.08</v>
      </c>
      <c r="T33" s="368">
        <v>0.08</v>
      </c>
      <c r="U33" s="368">
        <v>0.08</v>
      </c>
      <c r="V33" s="368">
        <v>0.08</v>
      </c>
      <c r="W33" s="368">
        <v>0.08</v>
      </c>
    </row>
    <row r="34" spans="1:23" ht="27" customHeight="1" x14ac:dyDescent="0.2">
      <c r="A34" s="29" t="s">
        <v>12</v>
      </c>
      <c r="C34" s="353" t="s">
        <v>12</v>
      </c>
      <c r="D34" s="365">
        <f>VLOOKUP($A34,Model!$1:$1048576,MATCH(D$31,Model!$3:$3,0),FALSE)</f>
        <v>903.4</v>
      </c>
      <c r="E34" s="365">
        <f>VLOOKUP($A34,Model!$1:$1048576,MATCH(E$31,Model!$3:$3,0),FALSE)</f>
        <v>1133.2179422797908</v>
      </c>
      <c r="F34" s="365">
        <f>VLOOKUP($A34,Model!$1:$1048576,MATCH(F$31,Model!$3:$3,0),FALSE)</f>
        <v>1352.8845979641515</v>
      </c>
      <c r="G34" s="365">
        <f>VLOOKUP($A34,Model!$1:$1048576,MATCH(G$31,Model!$3:$3,0),FALSE)</f>
        <v>1557.9031389041961</v>
      </c>
      <c r="H34" s="365">
        <f>VLOOKUP($A34,Model!$1:$1048576,MATCH(H$31,Model!$3:$3,0),FALSE)</f>
        <v>1758.1846314336988</v>
      </c>
      <c r="I34" s="365">
        <f>VLOOKUP($A34,Model!$1:$1048576,MATCH(I$31,Model!$3:$3,0),FALSE)</f>
        <v>1978.570923017189</v>
      </c>
      <c r="J34" s="365">
        <f>J36*J32</f>
        <v>2208.6849615191404</v>
      </c>
      <c r="K34" s="365">
        <f t="shared" ref="K34:W34" si="12">K36*K32</f>
        <v>2424.1670753573831</v>
      </c>
      <c r="L34" s="365">
        <f t="shared" si="12"/>
        <v>2659.9907436560216</v>
      </c>
      <c r="M34" s="365">
        <f t="shared" si="12"/>
        <v>2918.0315296001554</v>
      </c>
      <c r="N34" s="365">
        <f t="shared" si="12"/>
        <v>3200.3349005359519</v>
      </c>
      <c r="O34" s="365">
        <f t="shared" si="12"/>
        <v>3456.3616925788278</v>
      </c>
      <c r="P34" s="365">
        <f t="shared" si="12"/>
        <v>3732.8706279851344</v>
      </c>
      <c r="Q34" s="365">
        <f t="shared" si="12"/>
        <v>4031.5002782239458</v>
      </c>
      <c r="R34" s="365">
        <f t="shared" si="12"/>
        <v>4354.0203004818613</v>
      </c>
      <c r="S34" s="365">
        <f t="shared" si="12"/>
        <v>4702.3419245204104</v>
      </c>
      <c r="T34" s="365">
        <f t="shared" si="12"/>
        <v>5078.5292784820431</v>
      </c>
      <c r="U34" s="365">
        <f t="shared" si="12"/>
        <v>5484.8116207606072</v>
      </c>
      <c r="V34" s="365">
        <f t="shared" si="12"/>
        <v>5923.5965504214555</v>
      </c>
      <c r="W34" s="365">
        <f t="shared" si="12"/>
        <v>6397.4842744551725</v>
      </c>
    </row>
    <row r="35" spans="1:23" ht="27" customHeight="1" x14ac:dyDescent="0.25">
      <c r="C35" s="351" t="s">
        <v>137</v>
      </c>
      <c r="D35" s="366"/>
      <c r="E35" s="367">
        <f>E34/D34-1</f>
        <v>0.25439223187933457</v>
      </c>
      <c r="F35" s="367">
        <f t="shared" ref="F35:N35" si="13">F34/E34-1</f>
        <v>0.19384325599578722</v>
      </c>
      <c r="G35" s="367">
        <f t="shared" si="13"/>
        <v>0.15154178061348378</v>
      </c>
      <c r="H35" s="367">
        <f t="shared" si="13"/>
        <v>0.12855837280768134</v>
      </c>
      <c r="I35" s="367">
        <f t="shared" si="13"/>
        <v>0.12534877602915784</v>
      </c>
      <c r="J35" s="367">
        <f t="shared" si="13"/>
        <v>0.1163031538697854</v>
      </c>
      <c r="K35" s="367">
        <f t="shared" si="13"/>
        <v>9.7561271794069482E-2</v>
      </c>
      <c r="L35" s="367">
        <f t="shared" si="13"/>
        <v>9.7280286782160941E-2</v>
      </c>
      <c r="M35" s="367">
        <f t="shared" si="13"/>
        <v>9.7008151836449619E-2</v>
      </c>
      <c r="N35" s="367">
        <f t="shared" si="13"/>
        <v>9.6744455319329292E-2</v>
      </c>
      <c r="O35" s="367">
        <f t="shared" ref="O35" si="14">O34/N34-1</f>
        <v>7.9999999999999849E-2</v>
      </c>
      <c r="P35" s="367">
        <f t="shared" ref="P35" si="15">P34/O34-1</f>
        <v>8.0000000000000071E-2</v>
      </c>
      <c r="Q35" s="367">
        <f t="shared" ref="Q35" si="16">Q34/P34-1</f>
        <v>8.0000000000000071E-2</v>
      </c>
      <c r="R35" s="367">
        <f t="shared" ref="R35" si="17">R34/Q34-1</f>
        <v>8.0000000000000071E-2</v>
      </c>
      <c r="S35" s="367">
        <f t="shared" ref="S35" si="18">S34/R34-1</f>
        <v>8.0000000000000071E-2</v>
      </c>
      <c r="T35" s="367">
        <f t="shared" ref="T35" si="19">T34/S34-1</f>
        <v>8.0000000000000071E-2</v>
      </c>
      <c r="U35" s="367">
        <f t="shared" ref="U35" si="20">U34/T34-1</f>
        <v>8.0000000000000071E-2</v>
      </c>
      <c r="V35" s="367">
        <f t="shared" ref="V35" si="21">V34/U34-1</f>
        <v>7.9999999999999849E-2</v>
      </c>
      <c r="W35" s="367">
        <f t="shared" ref="W35" si="22">W34/V34-1</f>
        <v>8.0000000000000071E-2</v>
      </c>
    </row>
    <row r="36" spans="1:23" ht="27" customHeight="1" x14ac:dyDescent="0.25">
      <c r="C36" s="351" t="s">
        <v>446</v>
      </c>
      <c r="D36" s="369">
        <f>D34/D32</f>
        <v>8.7977796172761358E-2</v>
      </c>
      <c r="E36" s="369">
        <f t="shared" ref="E36:I36" si="23">E34/E32</f>
        <v>9.6098127127722144E-2</v>
      </c>
      <c r="F36" s="369">
        <f t="shared" si="23"/>
        <v>0.10304617510610931</v>
      </c>
      <c r="G36" s="369">
        <f t="shared" si="23"/>
        <v>0.10944477753417856</v>
      </c>
      <c r="H36" s="369">
        <f t="shared" si="23"/>
        <v>0.11420913188778173</v>
      </c>
      <c r="I36" s="369">
        <f t="shared" si="23"/>
        <v>0.11899792551069505</v>
      </c>
      <c r="J36" s="370">
        <f>I36+J37</f>
        <v>0.12299792551069505</v>
      </c>
      <c r="K36" s="370">
        <f t="shared" ref="K36:N36" si="24">J36+K37</f>
        <v>0.12499792551069505</v>
      </c>
      <c r="L36" s="370">
        <f t="shared" si="24"/>
        <v>0.12699792551069505</v>
      </c>
      <c r="M36" s="370">
        <f t="shared" si="24"/>
        <v>0.12899792551069506</v>
      </c>
      <c r="N36" s="370">
        <f t="shared" si="24"/>
        <v>0.13099792551069506</v>
      </c>
      <c r="O36" s="370">
        <f t="shared" ref="O36" si="25">N36+O37</f>
        <v>0.13099792551069506</v>
      </c>
      <c r="P36" s="370">
        <f t="shared" ref="P36" si="26">O36+P37</f>
        <v>0.13099792551069506</v>
      </c>
      <c r="Q36" s="370">
        <f t="shared" ref="Q36" si="27">P36+Q37</f>
        <v>0.13099792551069506</v>
      </c>
      <c r="R36" s="370">
        <f t="shared" ref="R36" si="28">Q36+R37</f>
        <v>0.13099792551069506</v>
      </c>
      <c r="S36" s="370">
        <f t="shared" ref="S36" si="29">R36+S37</f>
        <v>0.13099792551069506</v>
      </c>
      <c r="T36" s="370">
        <f t="shared" ref="T36" si="30">S36+T37</f>
        <v>0.13099792551069506</v>
      </c>
      <c r="U36" s="370">
        <f t="shared" ref="U36" si="31">T36+U37</f>
        <v>0.13099792551069506</v>
      </c>
      <c r="V36" s="370">
        <f t="shared" ref="V36" si="32">U36+V37</f>
        <v>0.13099792551069506</v>
      </c>
      <c r="W36" s="370">
        <f t="shared" ref="W36" si="33">V36+W37</f>
        <v>0.13099792551069506</v>
      </c>
    </row>
    <row r="37" spans="1:23" ht="27" customHeight="1" x14ac:dyDescent="0.25">
      <c r="C37" s="351" t="s">
        <v>178</v>
      </c>
      <c r="D37" s="366"/>
      <c r="E37" s="370">
        <f t="shared" ref="E37:H37" si="34">E36-D36</f>
        <v>8.1203309549607861E-3</v>
      </c>
      <c r="F37" s="370">
        <f t="shared" si="34"/>
        <v>6.9480479783871618E-3</v>
      </c>
      <c r="G37" s="370">
        <f t="shared" si="34"/>
        <v>6.3986024280692499E-3</v>
      </c>
      <c r="H37" s="370">
        <f t="shared" si="34"/>
        <v>4.7643543536031729E-3</v>
      </c>
      <c r="I37" s="370">
        <f>I36-H36</f>
        <v>4.7887936229133177E-3</v>
      </c>
      <c r="J37" s="371">
        <v>4.0000000000000001E-3</v>
      </c>
      <c r="K37" s="371">
        <v>2E-3</v>
      </c>
      <c r="L37" s="371">
        <v>2E-3</v>
      </c>
      <c r="M37" s="371">
        <v>2E-3</v>
      </c>
      <c r="N37" s="371">
        <v>2E-3</v>
      </c>
      <c r="O37" s="371">
        <v>0</v>
      </c>
      <c r="P37" s="371">
        <v>0</v>
      </c>
      <c r="Q37" s="371">
        <v>0</v>
      </c>
      <c r="R37" s="371">
        <v>0</v>
      </c>
      <c r="S37" s="371">
        <v>0</v>
      </c>
      <c r="T37" s="371">
        <v>0</v>
      </c>
      <c r="U37" s="371">
        <v>0</v>
      </c>
      <c r="V37" s="371">
        <v>0</v>
      </c>
      <c r="W37" s="371">
        <v>0</v>
      </c>
    </row>
    <row r="38" spans="1:23" ht="27" customHeight="1" x14ac:dyDescent="0.2">
      <c r="A38" s="28" t="s">
        <v>481</v>
      </c>
      <c r="C38" s="353" t="s">
        <v>480</v>
      </c>
      <c r="D38" s="365">
        <f>(VLOOKUP($A38,PL!$1:$1048576,MATCH(D$31,PL!$3:$3,0),FALSE))*-1</f>
        <v>37.902999999999992</v>
      </c>
      <c r="E38" s="365">
        <f>(VLOOKUP($A38,PL!$1:$1048576,MATCH(E$31,PL!$3:$3,0),FALSE))*-1</f>
        <v>39.503583086053418</v>
      </c>
      <c r="F38" s="365">
        <f>(VLOOKUP($A38,PL!$1:$1048576,MATCH(F$31,PL!$3:$3,0),FALSE))*-1</f>
        <v>41.831839020771518</v>
      </c>
      <c r="G38" s="365">
        <f>(VLOOKUP($A38,PL!$1:$1048576,MATCH(G$31,PL!$3:$3,0),FALSE))*-1</f>
        <v>43.927466135014846</v>
      </c>
      <c r="H38" s="365">
        <f>(VLOOKUP($A38,PL!$1:$1048576,MATCH(H$31,PL!$3:$3,0),FALSE))*-1</f>
        <v>46.20252512425818</v>
      </c>
      <c r="I38" s="365">
        <f>(VLOOKUP($A38,PL!$1:$1048576,MATCH(I$31,PL!$3:$3,0),FALSE))*-1</f>
        <v>48.625635950204028</v>
      </c>
      <c r="J38" s="365">
        <f>(J32*J39)</f>
        <v>52.515686826220353</v>
      </c>
      <c r="K38" s="365">
        <f t="shared" ref="K38:N38" si="35">(K32*K39)</f>
        <v>56.716941772317988</v>
      </c>
      <c r="L38" s="365">
        <f t="shared" si="35"/>
        <v>61.254297114103423</v>
      </c>
      <c r="M38" s="365">
        <f t="shared" si="35"/>
        <v>66.154640883231707</v>
      </c>
      <c r="N38" s="365">
        <f t="shared" si="35"/>
        <v>71.447012153890242</v>
      </c>
      <c r="O38" s="365">
        <f t="shared" ref="O38:W38" si="36">(O32*O39)</f>
        <v>77.162773126201458</v>
      </c>
      <c r="P38" s="365">
        <f t="shared" si="36"/>
        <v>83.335794976297592</v>
      </c>
      <c r="Q38" s="365">
        <f t="shared" si="36"/>
        <v>90.002658574401408</v>
      </c>
      <c r="R38" s="365">
        <f t="shared" si="36"/>
        <v>97.202871260353518</v>
      </c>
      <c r="S38" s="365">
        <f t="shared" si="36"/>
        <v>104.9791009611818</v>
      </c>
      <c r="T38" s="365">
        <f t="shared" si="36"/>
        <v>113.37742903807634</v>
      </c>
      <c r="U38" s="365">
        <f t="shared" si="36"/>
        <v>122.44762336112247</v>
      </c>
      <c r="V38" s="365">
        <f t="shared" si="36"/>
        <v>132.24343323001227</v>
      </c>
      <c r="W38" s="365">
        <f t="shared" si="36"/>
        <v>142.82290788841325</v>
      </c>
    </row>
    <row r="39" spans="1:23" ht="27" customHeight="1" x14ac:dyDescent="0.25">
      <c r="C39" s="351" t="s">
        <v>171</v>
      </c>
      <c r="D39" s="369">
        <f t="shared" ref="D39:I39" si="37">D38/D32</f>
        <v>3.6911915080099326E-3</v>
      </c>
      <c r="E39" s="369">
        <f t="shared" si="37"/>
        <v>3.3499472676605494E-3</v>
      </c>
      <c r="F39" s="369">
        <f t="shared" si="37"/>
        <v>3.1862370339877429E-3</v>
      </c>
      <c r="G39" s="369">
        <f t="shared" si="37"/>
        <v>3.0859632019025729E-3</v>
      </c>
      <c r="H39" s="369">
        <f t="shared" si="37"/>
        <v>3.0012492380632767E-3</v>
      </c>
      <c r="I39" s="369">
        <f t="shared" si="37"/>
        <v>2.924509673824962E-3</v>
      </c>
      <c r="J39" s="371">
        <f>I39</f>
        <v>2.924509673824962E-3</v>
      </c>
      <c r="K39" s="371">
        <f t="shared" ref="K39:W39" si="38">J39</f>
        <v>2.924509673824962E-3</v>
      </c>
      <c r="L39" s="371">
        <f t="shared" si="38"/>
        <v>2.924509673824962E-3</v>
      </c>
      <c r="M39" s="371">
        <f t="shared" si="38"/>
        <v>2.924509673824962E-3</v>
      </c>
      <c r="N39" s="371">
        <f t="shared" si="38"/>
        <v>2.924509673824962E-3</v>
      </c>
      <c r="O39" s="371">
        <f t="shared" si="38"/>
        <v>2.924509673824962E-3</v>
      </c>
      <c r="P39" s="371">
        <f t="shared" si="38"/>
        <v>2.924509673824962E-3</v>
      </c>
      <c r="Q39" s="371">
        <f t="shared" si="38"/>
        <v>2.924509673824962E-3</v>
      </c>
      <c r="R39" s="371">
        <f t="shared" si="38"/>
        <v>2.924509673824962E-3</v>
      </c>
      <c r="S39" s="371">
        <f t="shared" si="38"/>
        <v>2.924509673824962E-3</v>
      </c>
      <c r="T39" s="371">
        <f t="shared" si="38"/>
        <v>2.924509673824962E-3</v>
      </c>
      <c r="U39" s="371">
        <f t="shared" si="38"/>
        <v>2.924509673824962E-3</v>
      </c>
      <c r="V39" s="371">
        <f t="shared" si="38"/>
        <v>2.924509673824962E-3</v>
      </c>
      <c r="W39" s="371">
        <f t="shared" si="38"/>
        <v>2.924509673824962E-3</v>
      </c>
    </row>
    <row r="40" spans="1:23" ht="27" customHeight="1" x14ac:dyDescent="0.25">
      <c r="A40" s="136" t="s">
        <v>483</v>
      </c>
      <c r="C40" s="353" t="s">
        <v>482</v>
      </c>
      <c r="D40" s="365">
        <f>(VLOOKUP($A40,PL!$1:$1048576,MATCH(D$31,PL!$3:$3,0),FALSE))</f>
        <v>-8.1430000000000007</v>
      </c>
      <c r="E40" s="365">
        <f>(VLOOKUP($A40,PL!$1:$1048576,MATCH(E$31,PL!$3:$3,0),FALSE))</f>
        <v>-8.6383456973293775</v>
      </c>
      <c r="F40" s="365">
        <f>(VLOOKUP($A40,PL!$1:$1048576,MATCH(F$31,PL!$3:$3,0),FALSE))</f>
        <v>-8.9645489614243328</v>
      </c>
      <c r="G40" s="365">
        <f>(VLOOKUP($A40,PL!$1:$1048576,MATCH(G$31,PL!$3:$3,0),FALSE))</f>
        <v>-9.4115682492581616</v>
      </c>
      <c r="H40" s="365">
        <f>(VLOOKUP($A40,PL!$1:$1048576,MATCH(H$31,PL!$3:$3,0),FALSE))</f>
        <v>-9.8585875370919904</v>
      </c>
      <c r="I40" s="365">
        <f>(VLOOKUP($A40,PL!$1:$1048576,MATCH(I$31,PL!$3:$3,0),FALSE))</f>
        <v>-10.317688427299705</v>
      </c>
      <c r="J40" s="365">
        <f>J41*J32</f>
        <v>-11.143103501483685</v>
      </c>
      <c r="K40" s="365">
        <f t="shared" ref="K40:W40" si="39">K41*K32</f>
        <v>-12.03455178160238</v>
      </c>
      <c r="L40" s="365">
        <f t="shared" si="39"/>
        <v>-12.99731592413057</v>
      </c>
      <c r="M40" s="365">
        <f t="shared" si="39"/>
        <v>-14.037101198061016</v>
      </c>
      <c r="N40" s="365">
        <f t="shared" si="39"/>
        <v>-15.160069293905899</v>
      </c>
      <c r="O40" s="365">
        <f t="shared" si="39"/>
        <v>-16.372874837418369</v>
      </c>
      <c r="P40" s="365">
        <f t="shared" si="39"/>
        <v>-17.682704824411843</v>
      </c>
      <c r="Q40" s="365">
        <f t="shared" si="39"/>
        <v>-19.09732121036479</v>
      </c>
      <c r="R40" s="365">
        <f t="shared" si="39"/>
        <v>-20.625106907193974</v>
      </c>
      <c r="S40" s="365">
        <f t="shared" si="39"/>
        <v>-22.275115459769491</v>
      </c>
      <c r="T40" s="365">
        <f t="shared" si="39"/>
        <v>-24.057124696551053</v>
      </c>
      <c r="U40" s="365">
        <f t="shared" si="39"/>
        <v>-25.98169467227514</v>
      </c>
      <c r="V40" s="365">
        <f t="shared" si="39"/>
        <v>-28.060230246057149</v>
      </c>
      <c r="W40" s="365">
        <f t="shared" si="39"/>
        <v>-30.305048665741726</v>
      </c>
    </row>
    <row r="41" spans="1:23" ht="27" customHeight="1" x14ac:dyDescent="0.25">
      <c r="C41" s="351" t="s">
        <v>171</v>
      </c>
      <c r="D41" s="369">
        <f>D40/D32</f>
        <v>-7.9300774212397141E-4</v>
      </c>
      <c r="E41" s="369">
        <f t="shared" ref="E41:I41" si="40">E40/E32</f>
        <v>-7.325412103210521E-4</v>
      </c>
      <c r="F41" s="369">
        <f t="shared" si="40"/>
        <v>-6.8280951931622169E-4</v>
      </c>
      <c r="G41" s="369">
        <f t="shared" si="40"/>
        <v>-6.611752473984462E-4</v>
      </c>
      <c r="H41" s="369">
        <f t="shared" si="40"/>
        <v>-6.4039959405903823E-4</v>
      </c>
      <c r="I41" s="369">
        <f t="shared" si="40"/>
        <v>-6.2054056522880792E-4</v>
      </c>
      <c r="J41" s="371">
        <f>I41</f>
        <v>-6.2054056522880792E-4</v>
      </c>
      <c r="K41" s="371">
        <f t="shared" ref="K41:W41" si="41">J41</f>
        <v>-6.2054056522880792E-4</v>
      </c>
      <c r="L41" s="371">
        <f t="shared" si="41"/>
        <v>-6.2054056522880792E-4</v>
      </c>
      <c r="M41" s="371">
        <f t="shared" si="41"/>
        <v>-6.2054056522880792E-4</v>
      </c>
      <c r="N41" s="371">
        <f t="shared" si="41"/>
        <v>-6.2054056522880792E-4</v>
      </c>
      <c r="O41" s="371">
        <f t="shared" si="41"/>
        <v>-6.2054056522880792E-4</v>
      </c>
      <c r="P41" s="371">
        <f t="shared" si="41"/>
        <v>-6.2054056522880792E-4</v>
      </c>
      <c r="Q41" s="371">
        <f t="shared" si="41"/>
        <v>-6.2054056522880792E-4</v>
      </c>
      <c r="R41" s="371">
        <f t="shared" si="41"/>
        <v>-6.2054056522880792E-4</v>
      </c>
      <c r="S41" s="371">
        <f t="shared" si="41"/>
        <v>-6.2054056522880792E-4</v>
      </c>
      <c r="T41" s="371">
        <f t="shared" si="41"/>
        <v>-6.2054056522880792E-4</v>
      </c>
      <c r="U41" s="371">
        <f t="shared" si="41"/>
        <v>-6.2054056522880792E-4</v>
      </c>
      <c r="V41" s="371">
        <f t="shared" si="41"/>
        <v>-6.2054056522880792E-4</v>
      </c>
      <c r="W41" s="371">
        <f t="shared" si="41"/>
        <v>-6.2054056522880792E-4</v>
      </c>
    </row>
    <row r="42" spans="1:23" ht="27" customHeight="1" x14ac:dyDescent="0.2">
      <c r="A42" s="29" t="s">
        <v>183</v>
      </c>
      <c r="C42" s="353" t="s">
        <v>162</v>
      </c>
      <c r="D42" s="365">
        <f>VLOOKUP($A42,BS!$1:$1048576,MATCH(D$31,BS!$3:$3,0),FALSE)</f>
        <v>-722.21999999999969</v>
      </c>
      <c r="E42" s="365">
        <f>VLOOKUP($A42,BS!$1:$1048576,MATCH(E$31,BS!$3:$3,0),FALSE)</f>
        <v>-89.661210597610079</v>
      </c>
      <c r="F42" s="365">
        <f>VLOOKUP($A42,BS!$1:$1048576,MATCH(F$31,BS!$3:$3,0),FALSE)</f>
        <v>-32.014300934568382</v>
      </c>
      <c r="G42" s="365">
        <f>VLOOKUP($A42,BS!$1:$1048576,MATCH(G$31,BS!$3:$3,0),FALSE)</f>
        <v>-46.141236799300032</v>
      </c>
      <c r="H42" s="365">
        <f>VLOOKUP($A42,BS!$1:$1048576,MATCH(H$31,BS!$3:$3,0),FALSE)</f>
        <v>-40.287066480413841</v>
      </c>
      <c r="I42" s="365">
        <f>VLOOKUP($A42,BS!$1:$1048576,MATCH(I$31,BS!$3:$3,0),FALSE)</f>
        <v>-35.309846637790088</v>
      </c>
      <c r="J42" s="365">
        <f>J43*J32</f>
        <v>-35.914182330287979</v>
      </c>
      <c r="K42" s="365">
        <f>K43*K32</f>
        <v>-38.787316916711021</v>
      </c>
      <c r="L42" s="365">
        <f>L43*L32</f>
        <v>-41.890302270047897</v>
      </c>
      <c r="M42" s="365">
        <f>M43*M32</f>
        <v>-45.241526451651737</v>
      </c>
      <c r="N42" s="365">
        <f>N43*N32</f>
        <v>-48.860848567783876</v>
      </c>
      <c r="O42" s="365">
        <f t="shared" ref="O42:W42" si="42">O43*O32</f>
        <v>-52.769716453206591</v>
      </c>
      <c r="P42" s="365">
        <f t="shared" si="42"/>
        <v>-56.99129376946312</v>
      </c>
      <c r="Q42" s="365">
        <f t="shared" si="42"/>
        <v>-61.550597271020173</v>
      </c>
      <c r="R42" s="365">
        <f t="shared" si="42"/>
        <v>-66.474645052701788</v>
      </c>
      <c r="S42" s="365">
        <f t="shared" si="42"/>
        <v>-71.792616656917929</v>
      </c>
      <c r="T42" s="365">
        <f t="shared" si="42"/>
        <v>-77.536025989471369</v>
      </c>
      <c r="U42" s="365">
        <f t="shared" si="42"/>
        <v>-83.738908068629087</v>
      </c>
      <c r="V42" s="365">
        <f t="shared" si="42"/>
        <v>-90.438020714119418</v>
      </c>
      <c r="W42" s="365">
        <f t="shared" si="42"/>
        <v>-97.673062371248975</v>
      </c>
    </row>
    <row r="43" spans="1:23" ht="27" customHeight="1" x14ac:dyDescent="0.2">
      <c r="A43" s="29"/>
      <c r="C43" s="351" t="s">
        <v>171</v>
      </c>
      <c r="D43" s="369">
        <f t="shared" ref="D43:I43" si="43">D42/D32</f>
        <v>-7.0333544334615541E-2</v>
      </c>
      <c r="E43" s="369">
        <f t="shared" si="43"/>
        <v>-7.6033692134281862E-3</v>
      </c>
      <c r="F43" s="369">
        <f t="shared" si="43"/>
        <v>-2.4384572527232124E-3</v>
      </c>
      <c r="G43" s="369">
        <f t="shared" si="43"/>
        <v>-3.2414835496148205E-3</v>
      </c>
      <c r="H43" s="369">
        <f t="shared" si="43"/>
        <v>-2.6169895964119764E-3</v>
      </c>
      <c r="I43" s="369">
        <f t="shared" si="43"/>
        <v>-2.1236532141038177E-3</v>
      </c>
      <c r="J43" s="371">
        <v>-2E-3</v>
      </c>
      <c r="K43" s="371">
        <f t="shared" ref="K43:N43" si="44">J43</f>
        <v>-2E-3</v>
      </c>
      <c r="L43" s="371">
        <f t="shared" si="44"/>
        <v>-2E-3</v>
      </c>
      <c r="M43" s="371">
        <f t="shared" si="44"/>
        <v>-2E-3</v>
      </c>
      <c r="N43" s="371">
        <f t="shared" si="44"/>
        <v>-2E-3</v>
      </c>
      <c r="O43" s="371">
        <f t="shared" ref="O43" si="45">N43</f>
        <v>-2E-3</v>
      </c>
      <c r="P43" s="371">
        <f t="shared" ref="P43" si="46">O43</f>
        <v>-2E-3</v>
      </c>
      <c r="Q43" s="371">
        <f t="shared" ref="Q43" si="47">P43</f>
        <v>-2E-3</v>
      </c>
      <c r="R43" s="371">
        <f t="shared" ref="R43" si="48">Q43</f>
        <v>-2E-3</v>
      </c>
      <c r="S43" s="371">
        <f t="shared" ref="S43" si="49">R43</f>
        <v>-2E-3</v>
      </c>
      <c r="T43" s="371">
        <f t="shared" ref="T43" si="50">S43</f>
        <v>-2E-3</v>
      </c>
      <c r="U43" s="371">
        <f t="shared" ref="U43" si="51">T43</f>
        <v>-2E-3</v>
      </c>
      <c r="V43" s="371">
        <f t="shared" ref="V43" si="52">U43</f>
        <v>-2E-3</v>
      </c>
      <c r="W43" s="371">
        <f t="shared" ref="W43" si="53">V43</f>
        <v>-2E-3</v>
      </c>
    </row>
    <row r="44" spans="1:23" ht="27" customHeight="1" x14ac:dyDescent="0.25">
      <c r="A44" t="s">
        <v>185</v>
      </c>
      <c r="C44" s="353" t="s">
        <v>370</v>
      </c>
      <c r="D44" s="365">
        <f>VLOOKUP($A44,CF!$1:$1048576,MATCH(D$31,CF!$3:$3,0),FALSE)</f>
        <v>-52.561999999999998</v>
      </c>
      <c r="E44" s="365">
        <f>VLOOKUP($A44,CF!$1:$1048576,MATCH(E$31,CF!$3:$3,0),FALSE)</f>
        <v>-60</v>
      </c>
      <c r="F44" s="365">
        <f>VLOOKUP($A44,CF!$1:$1048576,MATCH(F$31,CF!$3:$3,0),FALSE)</f>
        <v>-65</v>
      </c>
      <c r="G44" s="365">
        <f>VLOOKUP($A44,CF!$1:$1048576,MATCH(G$31,CF!$3:$3,0),FALSE)</f>
        <v>-70</v>
      </c>
      <c r="H44" s="365">
        <f>VLOOKUP($A44,CF!$1:$1048576,MATCH(H$31,CF!$3:$3,0),FALSE)</f>
        <v>-75</v>
      </c>
      <c r="I44" s="365">
        <f>VLOOKUP($A44,CF!$1:$1048576,MATCH(I$31,CF!$3:$3,0),FALSE)</f>
        <v>-80</v>
      </c>
      <c r="J44" s="365">
        <f>J45*J32</f>
        <v>-86.40000000000002</v>
      </c>
      <c r="K44" s="365">
        <f>K45*K32</f>
        <v>-93.312000000000012</v>
      </c>
      <c r="L44" s="365">
        <f>L45*L32</f>
        <v>-100.77696000000002</v>
      </c>
      <c r="M44" s="365">
        <f>M45*M32</f>
        <v>-108.83911680000003</v>
      </c>
      <c r="N44" s="365">
        <f>N45*N32</f>
        <v>-117.54624614400004</v>
      </c>
      <c r="O44" s="365">
        <f t="shared" ref="O44:W44" si="54">O45*O32</f>
        <v>-126.94994583552004</v>
      </c>
      <c r="P44" s="365">
        <f t="shared" si="54"/>
        <v>-137.10594150236167</v>
      </c>
      <c r="Q44" s="365">
        <f t="shared" si="54"/>
        <v>-148.0744168225506</v>
      </c>
      <c r="R44" s="365">
        <f t="shared" si="54"/>
        <v>-159.92037016835465</v>
      </c>
      <c r="S44" s="365">
        <f t="shared" si="54"/>
        <v>-172.71399978182305</v>
      </c>
      <c r="T44" s="365">
        <f t="shared" si="54"/>
        <v>-186.53111976436887</v>
      </c>
      <c r="U44" s="365">
        <f t="shared" si="54"/>
        <v>-201.4536093455184</v>
      </c>
      <c r="V44" s="365">
        <f t="shared" si="54"/>
        <v>-217.56989809315988</v>
      </c>
      <c r="W44" s="365">
        <f t="shared" si="54"/>
        <v>-234.9754899406127</v>
      </c>
    </row>
    <row r="45" spans="1:23" ht="27" customHeight="1" x14ac:dyDescent="0.25">
      <c r="A45"/>
      <c r="C45" s="351" t="s">
        <v>171</v>
      </c>
      <c r="D45" s="369">
        <f t="shared" ref="D45:I45" si="55">D44/D32</f>
        <v>-5.1187612601645812E-3</v>
      </c>
      <c r="E45" s="369">
        <f t="shared" si="55"/>
        <v>-5.0880659514299627E-3</v>
      </c>
      <c r="F45" s="369">
        <f t="shared" si="55"/>
        <v>-4.9509037149039871E-3</v>
      </c>
      <c r="G45" s="369">
        <f t="shared" si="55"/>
        <v>-4.9175935499951662E-3</v>
      </c>
      <c r="H45" s="369">
        <f t="shared" si="55"/>
        <v>-4.8718915740941296E-3</v>
      </c>
      <c r="I45" s="369">
        <f t="shared" si="55"/>
        <v>-4.8114696977040834E-3</v>
      </c>
      <c r="J45" s="371">
        <f>I45</f>
        <v>-4.8114696977040834E-3</v>
      </c>
      <c r="K45" s="371">
        <f t="shared" ref="K45:W45" si="56">J45</f>
        <v>-4.8114696977040834E-3</v>
      </c>
      <c r="L45" s="371">
        <f t="shared" si="56"/>
        <v>-4.8114696977040834E-3</v>
      </c>
      <c r="M45" s="371">
        <f t="shared" si="56"/>
        <v>-4.8114696977040834E-3</v>
      </c>
      <c r="N45" s="371">
        <f t="shared" si="56"/>
        <v>-4.8114696977040834E-3</v>
      </c>
      <c r="O45" s="371">
        <f t="shared" si="56"/>
        <v>-4.8114696977040834E-3</v>
      </c>
      <c r="P45" s="371">
        <f t="shared" si="56"/>
        <v>-4.8114696977040834E-3</v>
      </c>
      <c r="Q45" s="371">
        <f t="shared" si="56"/>
        <v>-4.8114696977040834E-3</v>
      </c>
      <c r="R45" s="371">
        <f t="shared" si="56"/>
        <v>-4.8114696977040834E-3</v>
      </c>
      <c r="S45" s="371">
        <f t="shared" si="56"/>
        <v>-4.8114696977040834E-3</v>
      </c>
      <c r="T45" s="371">
        <f t="shared" si="56"/>
        <v>-4.8114696977040834E-3</v>
      </c>
      <c r="U45" s="371">
        <f t="shared" si="56"/>
        <v>-4.8114696977040834E-3</v>
      </c>
      <c r="V45" s="371">
        <f t="shared" si="56"/>
        <v>-4.8114696977040834E-3</v>
      </c>
      <c r="W45" s="371">
        <f t="shared" si="56"/>
        <v>-4.8114696977040834E-3</v>
      </c>
    </row>
    <row r="46" spans="1:23" ht="27" customHeight="1" x14ac:dyDescent="0.2">
      <c r="A46" s="29" t="s">
        <v>188</v>
      </c>
      <c r="C46" s="353" t="s">
        <v>371</v>
      </c>
      <c r="D46" s="365">
        <f>VLOOKUP($A46,CF!$1:$1048576,MATCH(D$31,CF!$3:$3,0),FALSE)</f>
        <v>-8.9879999999999995</v>
      </c>
      <c r="E46" s="365">
        <f>VLOOKUP($A46,CF!$1:$1048576,MATCH(E$31,CF!$3:$3,0),FALSE)</f>
        <v>0</v>
      </c>
      <c r="F46" s="365">
        <f>VLOOKUP($A46,CF!$1:$1048576,MATCH(F$31,CF!$3:$3,0),FALSE)</f>
        <v>0</v>
      </c>
      <c r="G46" s="365">
        <f>VLOOKUP($A46,CF!$1:$1048576,MATCH(G$31,CF!$3:$3,0),FALSE)</f>
        <v>0</v>
      </c>
      <c r="H46" s="365">
        <f>VLOOKUP($A46,CF!$1:$1048576,MATCH(H$31,CF!$3:$3,0),FALSE)</f>
        <v>0</v>
      </c>
      <c r="I46" s="365">
        <f>VLOOKUP($A46,CF!$1:$1048576,MATCH(I$31,CF!$3:$3,0),FALSE)</f>
        <v>0</v>
      </c>
      <c r="J46" s="372">
        <v>0</v>
      </c>
      <c r="K46" s="372">
        <v>0</v>
      </c>
      <c r="L46" s="372">
        <v>0</v>
      </c>
      <c r="M46" s="372">
        <v>0</v>
      </c>
      <c r="N46" s="372">
        <v>0</v>
      </c>
      <c r="O46" s="372">
        <v>0</v>
      </c>
      <c r="P46" s="372">
        <v>0</v>
      </c>
      <c r="Q46" s="372">
        <v>0</v>
      </c>
      <c r="R46" s="372">
        <v>0</v>
      </c>
      <c r="S46" s="372">
        <v>0</v>
      </c>
      <c r="T46" s="372">
        <v>0</v>
      </c>
      <c r="U46" s="372">
        <v>0</v>
      </c>
      <c r="V46" s="372">
        <v>0</v>
      </c>
      <c r="W46" s="372">
        <v>0</v>
      </c>
    </row>
    <row r="47" spans="1:23" ht="27" customHeight="1" x14ac:dyDescent="0.2">
      <c r="A47" s="29"/>
      <c r="C47" s="353" t="s">
        <v>372</v>
      </c>
      <c r="D47" s="365">
        <f>D34+D38+D42+D44+D46+D40</f>
        <v>149.3900000000003</v>
      </c>
      <c r="E47" s="365">
        <f t="shared" ref="E47:W47" si="57">E34+E38+E42+E44+E46+E40</f>
        <v>1014.4219690709048</v>
      </c>
      <c r="F47" s="365">
        <f t="shared" si="57"/>
        <v>1288.7375870889302</v>
      </c>
      <c r="G47" s="365">
        <f t="shared" si="57"/>
        <v>1476.2777999906527</v>
      </c>
      <c r="H47" s="365">
        <f t="shared" si="57"/>
        <v>1679.2415025404512</v>
      </c>
      <c r="I47" s="365">
        <f t="shared" si="57"/>
        <v>1901.5690239023031</v>
      </c>
      <c r="J47" s="365">
        <f t="shared" si="57"/>
        <v>2127.7433625135886</v>
      </c>
      <c r="K47" s="365">
        <f t="shared" si="57"/>
        <v>2336.750148431388</v>
      </c>
      <c r="L47" s="365">
        <f t="shared" si="57"/>
        <v>2565.5804625759465</v>
      </c>
      <c r="M47" s="365">
        <f t="shared" si="57"/>
        <v>2816.0684260336748</v>
      </c>
      <c r="N47" s="365">
        <f t="shared" si="57"/>
        <v>3090.2147486841523</v>
      </c>
      <c r="O47" s="365">
        <f t="shared" si="57"/>
        <v>3337.4319285788847</v>
      </c>
      <c r="P47" s="365">
        <f t="shared" si="57"/>
        <v>3604.4264828651958</v>
      </c>
      <c r="Q47" s="365">
        <f t="shared" si="57"/>
        <v>3892.7806014944113</v>
      </c>
      <c r="R47" s="365">
        <f t="shared" si="57"/>
        <v>4204.2030496139641</v>
      </c>
      <c r="S47" s="365">
        <f t="shared" si="57"/>
        <v>4540.5392935830823</v>
      </c>
      <c r="T47" s="365">
        <f t="shared" si="57"/>
        <v>4903.7824370697281</v>
      </c>
      <c r="U47" s="365">
        <f t="shared" si="57"/>
        <v>5296.0850320353074</v>
      </c>
      <c r="V47" s="365">
        <f t="shared" si="57"/>
        <v>5719.7718345981311</v>
      </c>
      <c r="W47" s="365">
        <f t="shared" si="57"/>
        <v>6177.3535813659819</v>
      </c>
    </row>
    <row r="48" spans="1:23" ht="27" customHeight="1" x14ac:dyDescent="0.2">
      <c r="A48" s="29"/>
      <c r="C48" s="353" t="s">
        <v>373</v>
      </c>
      <c r="D48" s="365">
        <f>D47*-$D$62</f>
        <v>-44.817000000000085</v>
      </c>
      <c r="E48" s="365">
        <f t="shared" ref="E48:N48" si="58">E47*-$D$62</f>
        <v>-304.32659072127143</v>
      </c>
      <c r="F48" s="365">
        <f t="shared" si="58"/>
        <v>-386.62127612667905</v>
      </c>
      <c r="G48" s="365">
        <f t="shared" si="58"/>
        <v>-442.88333999719583</v>
      </c>
      <c r="H48" s="365">
        <f t="shared" si="58"/>
        <v>-503.77245076213535</v>
      </c>
      <c r="I48" s="365">
        <f t="shared" si="58"/>
        <v>-570.47070717069096</v>
      </c>
      <c r="J48" s="365">
        <f t="shared" si="58"/>
        <v>-638.32300875407657</v>
      </c>
      <c r="K48" s="365">
        <f t="shared" si="58"/>
        <v>-701.02504452941639</v>
      </c>
      <c r="L48" s="365">
        <f t="shared" si="58"/>
        <v>-769.67413877278398</v>
      </c>
      <c r="M48" s="365">
        <f t="shared" si="58"/>
        <v>-844.82052781010236</v>
      </c>
      <c r="N48" s="365">
        <f t="shared" si="58"/>
        <v>-927.06442460524568</v>
      </c>
      <c r="O48" s="365">
        <f t="shared" ref="O48:W48" si="59">O47*-$D$62</f>
        <v>-1001.2295785736653</v>
      </c>
      <c r="P48" s="365">
        <f t="shared" si="59"/>
        <v>-1081.3279448595588</v>
      </c>
      <c r="Q48" s="365">
        <f t="shared" si="59"/>
        <v>-1167.8341804483234</v>
      </c>
      <c r="R48" s="365">
        <f t="shared" si="59"/>
        <v>-1261.2609148841891</v>
      </c>
      <c r="S48" s="365">
        <f t="shared" si="59"/>
        <v>-1362.1617880749247</v>
      </c>
      <c r="T48" s="365">
        <f t="shared" si="59"/>
        <v>-1471.1347311209183</v>
      </c>
      <c r="U48" s="365">
        <f t="shared" si="59"/>
        <v>-1588.8255096105922</v>
      </c>
      <c r="V48" s="365">
        <f t="shared" si="59"/>
        <v>-1715.9315503794394</v>
      </c>
      <c r="W48" s="365">
        <f t="shared" si="59"/>
        <v>-1853.2060744097944</v>
      </c>
    </row>
    <row r="49" spans="3:24" ht="27" customHeight="1" x14ac:dyDescent="0.25">
      <c r="C49" s="353" t="s">
        <v>374</v>
      </c>
      <c r="D49" s="365">
        <f>D47+D48</f>
        <v>104.57300000000021</v>
      </c>
      <c r="E49" s="365">
        <f t="shared" ref="E49:N49" si="60">E47+E48</f>
        <v>710.09537834963339</v>
      </c>
      <c r="F49" s="365">
        <f t="shared" si="60"/>
        <v>902.11631096225119</v>
      </c>
      <c r="G49" s="365">
        <f t="shared" si="60"/>
        <v>1033.3944599934568</v>
      </c>
      <c r="H49" s="365">
        <f t="shared" si="60"/>
        <v>1175.4690517783158</v>
      </c>
      <c r="I49" s="365">
        <f t="shared" si="60"/>
        <v>1331.0983167316122</v>
      </c>
      <c r="J49" s="365">
        <f t="shared" si="60"/>
        <v>1489.4203537595122</v>
      </c>
      <c r="K49" s="365">
        <f t="shared" si="60"/>
        <v>1635.7251039019716</v>
      </c>
      <c r="L49" s="365">
        <f t="shared" si="60"/>
        <v>1795.9063238031626</v>
      </c>
      <c r="M49" s="365">
        <f t="shared" si="60"/>
        <v>1971.2478982235725</v>
      </c>
      <c r="N49" s="365">
        <f t="shared" si="60"/>
        <v>2163.1503240789066</v>
      </c>
      <c r="O49" s="365">
        <f t="shared" ref="O49:W49" si="61">O47+O48</f>
        <v>2336.2023500052192</v>
      </c>
      <c r="P49" s="365">
        <f t="shared" si="61"/>
        <v>2523.0985380056372</v>
      </c>
      <c r="Q49" s="365">
        <f t="shared" si="61"/>
        <v>2724.9464210460878</v>
      </c>
      <c r="R49" s="365">
        <f t="shared" si="61"/>
        <v>2942.9421347297748</v>
      </c>
      <c r="S49" s="365">
        <f t="shared" si="61"/>
        <v>3178.3775055081578</v>
      </c>
      <c r="T49" s="365">
        <f t="shared" si="61"/>
        <v>3432.6477059488097</v>
      </c>
      <c r="U49" s="365">
        <f t="shared" si="61"/>
        <v>3707.2595224247152</v>
      </c>
      <c r="V49" s="365">
        <f t="shared" si="61"/>
        <v>4003.8402842186915</v>
      </c>
      <c r="W49" s="365">
        <f t="shared" si="61"/>
        <v>4324.1475069561875</v>
      </c>
    </row>
    <row r="50" spans="3:24" ht="27" customHeight="1" x14ac:dyDescent="0.25">
      <c r="C50" s="351" t="s">
        <v>137</v>
      </c>
      <c r="D50" s="366"/>
      <c r="E50" s="367">
        <f>E49/D49-1</f>
        <v>5.7904275324379331</v>
      </c>
      <c r="F50" s="367">
        <f t="shared" ref="F50:N50" si="62">F49/E49-1</f>
        <v>0.2704156912820681</v>
      </c>
      <c r="G50" s="367">
        <f t="shared" si="62"/>
        <v>0.14552242037523588</v>
      </c>
      <c r="H50" s="367">
        <f t="shared" si="62"/>
        <v>0.13748340762902722</v>
      </c>
      <c r="I50" s="367">
        <f t="shared" si="62"/>
        <v>0.13239758606817564</v>
      </c>
      <c r="J50" s="367">
        <f t="shared" si="62"/>
        <v>0.11894090394212586</v>
      </c>
      <c r="K50" s="367">
        <f t="shared" si="62"/>
        <v>9.822932107323834E-2</v>
      </c>
      <c r="L50" s="367">
        <f t="shared" si="62"/>
        <v>9.7926735683816046E-2</v>
      </c>
      <c r="M50" s="367">
        <f t="shared" si="62"/>
        <v>9.7634031405987587E-2</v>
      </c>
      <c r="N50" s="367">
        <f t="shared" si="62"/>
        <v>9.7350732004975349E-2</v>
      </c>
      <c r="O50" s="367">
        <f t="shared" ref="O50" si="63">O49/N49-1</f>
        <v>8.0000000000000071E-2</v>
      </c>
      <c r="P50" s="367">
        <f t="shared" ref="P50" si="64">P49/O49-1</f>
        <v>8.0000000000000293E-2</v>
      </c>
      <c r="Q50" s="367">
        <f t="shared" ref="Q50" si="65">Q49/P49-1</f>
        <v>7.9999999999999849E-2</v>
      </c>
      <c r="R50" s="367">
        <f t="shared" ref="R50" si="66">R49/Q49-1</f>
        <v>8.0000000000000071E-2</v>
      </c>
      <c r="S50" s="367">
        <f t="shared" ref="S50" si="67">S49/R49-1</f>
        <v>8.0000000000000293E-2</v>
      </c>
      <c r="T50" s="367">
        <f t="shared" ref="T50" si="68">T49/S49-1</f>
        <v>7.9999999999999849E-2</v>
      </c>
      <c r="U50" s="367">
        <f t="shared" ref="U50" si="69">U49/T49-1</f>
        <v>8.0000000000000293E-2</v>
      </c>
      <c r="V50" s="367">
        <f t="shared" ref="V50" si="70">V49/U49-1</f>
        <v>7.9999999999999849E-2</v>
      </c>
      <c r="W50" s="367">
        <f t="shared" ref="W50" si="71">W49/V49-1</f>
        <v>8.0000000000000071E-2</v>
      </c>
    </row>
    <row r="51" spans="3:24" ht="27" customHeight="1" x14ac:dyDescent="0.25">
      <c r="C51" s="351" t="s">
        <v>375</v>
      </c>
      <c r="D51" s="373">
        <v>0</v>
      </c>
      <c r="E51" s="373">
        <v>0.5</v>
      </c>
      <c r="F51" s="373">
        <f t="shared" ref="F51:N51" si="72">E51+1</f>
        <v>1.5</v>
      </c>
      <c r="G51" s="373">
        <f t="shared" si="72"/>
        <v>2.5</v>
      </c>
      <c r="H51" s="373">
        <f t="shared" si="72"/>
        <v>3.5</v>
      </c>
      <c r="I51" s="373">
        <f t="shared" si="72"/>
        <v>4.5</v>
      </c>
      <c r="J51" s="373">
        <f t="shared" si="72"/>
        <v>5.5</v>
      </c>
      <c r="K51" s="373">
        <f t="shared" si="72"/>
        <v>6.5</v>
      </c>
      <c r="L51" s="373">
        <f t="shared" si="72"/>
        <v>7.5</v>
      </c>
      <c r="M51" s="373">
        <f t="shared" si="72"/>
        <v>8.5</v>
      </c>
      <c r="N51" s="373">
        <f t="shared" si="72"/>
        <v>9.5</v>
      </c>
      <c r="O51" s="373">
        <f t="shared" ref="O51" si="73">N51+1</f>
        <v>10.5</v>
      </c>
      <c r="P51" s="373">
        <f t="shared" ref="P51" si="74">O51+1</f>
        <v>11.5</v>
      </c>
      <c r="Q51" s="373">
        <f t="shared" ref="Q51" si="75">P51+1</f>
        <v>12.5</v>
      </c>
      <c r="R51" s="373">
        <f t="shared" ref="R51" si="76">Q51+1</f>
        <v>13.5</v>
      </c>
      <c r="S51" s="373">
        <f t="shared" ref="S51" si="77">R51+1</f>
        <v>14.5</v>
      </c>
      <c r="T51" s="373">
        <f t="shared" ref="T51" si="78">S51+1</f>
        <v>15.5</v>
      </c>
      <c r="U51" s="373">
        <f t="shared" ref="U51" si="79">T51+1</f>
        <v>16.5</v>
      </c>
      <c r="V51" s="373">
        <f t="shared" ref="V51" si="80">U51+1</f>
        <v>17.5</v>
      </c>
      <c r="W51" s="373">
        <f t="shared" ref="W51" si="81">V51+1</f>
        <v>18.5</v>
      </c>
    </row>
    <row r="52" spans="3:24" ht="27" customHeight="1" x14ac:dyDescent="0.25">
      <c r="C52" s="351" t="s">
        <v>376</v>
      </c>
      <c r="D52" s="366"/>
      <c r="E52" s="374">
        <f>1/(1+$D$64)^E51</f>
        <v>0.96367918061462465</v>
      </c>
      <c r="F52" s="374">
        <f t="shared" ref="F52:N52" si="82">1/(1+$D$64)^F51</f>
        <v>0.89494723311164981</v>
      </c>
      <c r="G52" s="374">
        <f t="shared" si="82"/>
        <v>0.83111741559402852</v>
      </c>
      <c r="H52" s="374">
        <f t="shared" si="82"/>
        <v>0.77184009620545002</v>
      </c>
      <c r="I52" s="374">
        <f t="shared" si="82"/>
        <v>0.71679057968559623</v>
      </c>
      <c r="J52" s="374">
        <f t="shared" si="82"/>
        <v>0.66566732883134871</v>
      </c>
      <c r="K52" s="374">
        <f t="shared" si="82"/>
        <v>0.61819031280771608</v>
      </c>
      <c r="L52" s="374">
        <f t="shared" si="82"/>
        <v>0.57409947326125199</v>
      </c>
      <c r="M52" s="374">
        <f t="shared" si="82"/>
        <v>0.53315329983400073</v>
      </c>
      <c r="N52" s="374">
        <f t="shared" si="82"/>
        <v>0.49512750727526073</v>
      </c>
      <c r="O52" s="374">
        <f t="shared" ref="O52:W52" si="83">1/(1+$D$64)^O51</f>
        <v>0.45981380690495977</v>
      </c>
      <c r="P52" s="374">
        <f t="shared" si="83"/>
        <v>0.4270187656992569</v>
      </c>
      <c r="Q52" s="374">
        <f t="shared" si="83"/>
        <v>0.39656274674893843</v>
      </c>
      <c r="R52" s="374">
        <f t="shared" si="83"/>
        <v>0.3682789252869042</v>
      </c>
      <c r="S52" s="374">
        <f t="shared" si="83"/>
        <v>0.34201237489497044</v>
      </c>
      <c r="T52" s="374">
        <f t="shared" si="83"/>
        <v>0.31761921888463085</v>
      </c>
      <c r="U52" s="374">
        <f t="shared" si="83"/>
        <v>0.29496584220340905</v>
      </c>
      <c r="V52" s="374">
        <f t="shared" si="83"/>
        <v>0.27392815954997124</v>
      </c>
      <c r="W52" s="374">
        <f t="shared" si="83"/>
        <v>0.25439093568905208</v>
      </c>
    </row>
    <row r="53" spans="3:24" ht="27" customHeight="1" x14ac:dyDescent="0.25">
      <c r="C53" s="353" t="s">
        <v>377</v>
      </c>
      <c r="D53" s="375">
        <f>IF(D51&gt;0,D49*D52,0)</f>
        <v>0</v>
      </c>
      <c r="E53" s="375">
        <f t="shared" ref="E53:N53" si="84">IF(E51&gt;0,E49*E52,0)</f>
        <v>684.30413236620655</v>
      </c>
      <c r="F53" s="375">
        <f t="shared" si="84"/>
        <v>807.34649644055537</v>
      </c>
      <c r="G53" s="375">
        <f t="shared" si="84"/>
        <v>858.87213287894861</v>
      </c>
      <c r="H53" s="375">
        <f t="shared" si="84"/>
        <v>907.27414601110434</v>
      </c>
      <c r="I53" s="375">
        <f t="shared" si="84"/>
        <v>954.11873406857364</v>
      </c>
      <c r="J53" s="375">
        <f t="shared" si="84"/>
        <v>991.45846839413696</v>
      </c>
      <c r="K53" s="375">
        <f t="shared" si="84"/>
        <v>1011.1894136485937</v>
      </c>
      <c r="L53" s="375">
        <f t="shared" si="84"/>
        <v>1031.028874521947</v>
      </c>
      <c r="M53" s="375">
        <f t="shared" si="84"/>
        <v>1050.9773217287361</v>
      </c>
      <c r="N53" s="375">
        <f t="shared" si="84"/>
        <v>1071.0352278228613</v>
      </c>
      <c r="O53" s="375">
        <f t="shared" ref="O53:W53" si="85">IF(O51&gt;0,O49*O52,0)</f>
        <v>1074.2180962562131</v>
      </c>
      <c r="P53" s="375">
        <f t="shared" si="85"/>
        <v>1077.4104234367669</v>
      </c>
      <c r="Q53" s="375">
        <f t="shared" si="85"/>
        <v>1080.6122374737258</v>
      </c>
      <c r="R53" s="375">
        <f t="shared" si="85"/>
        <v>1083.823566559829</v>
      </c>
      <c r="S53" s="375">
        <f t="shared" si="85"/>
        <v>1087.0444389715969</v>
      </c>
      <c r="T53" s="375">
        <f t="shared" si="85"/>
        <v>1090.2748830695809</v>
      </c>
      <c r="U53" s="375">
        <f t="shared" si="85"/>
        <v>1093.5149272986141</v>
      </c>
      <c r="V53" s="375">
        <f t="shared" si="85"/>
        <v>1096.7646001880598</v>
      </c>
      <c r="W53" s="375">
        <f t="shared" si="85"/>
        <v>1100.0239303520664</v>
      </c>
    </row>
    <row r="54" spans="3:24" ht="14.25" x14ac:dyDescent="0.25">
      <c r="C54" s="320"/>
      <c r="D54" s="320"/>
      <c r="E54" s="344"/>
      <c r="F54" s="344"/>
      <c r="G54" s="344"/>
      <c r="H54" s="344"/>
      <c r="I54" s="344"/>
      <c r="J54" s="344"/>
      <c r="K54" s="344"/>
      <c r="L54" s="344"/>
      <c r="M54" s="344"/>
      <c r="N54" s="344"/>
      <c r="O54" s="344"/>
      <c r="P54" s="344"/>
      <c r="Q54" s="344"/>
      <c r="R54" s="344"/>
      <c r="S54" s="344"/>
      <c r="T54" s="344"/>
      <c r="U54" s="344"/>
      <c r="V54" s="344"/>
      <c r="W54" s="344"/>
    </row>
    <row r="55" spans="3:24" ht="22.5" customHeight="1" x14ac:dyDescent="0.25">
      <c r="C55" s="349" t="s">
        <v>378</v>
      </c>
      <c r="D55" s="350"/>
      <c r="E55" s="320"/>
      <c r="F55" s="131"/>
      <c r="G55" s="131"/>
      <c r="H55" s="131"/>
      <c r="I55" s="131"/>
      <c r="J55" s="320"/>
      <c r="K55" s="131"/>
      <c r="L55" s="131"/>
      <c r="M55" s="131"/>
      <c r="N55" s="131"/>
      <c r="O55" s="345"/>
      <c r="P55" s="345"/>
      <c r="Q55" s="345"/>
      <c r="R55" s="345"/>
      <c r="S55" s="345"/>
      <c r="T55" s="349" t="s">
        <v>379</v>
      </c>
      <c r="U55" s="350"/>
      <c r="V55" s="350"/>
      <c r="W55" s="350"/>
      <c r="X55" s="131"/>
    </row>
    <row r="56" spans="3:24" ht="25.5" customHeight="1" x14ac:dyDescent="0.25">
      <c r="C56" s="351" t="s">
        <v>380</v>
      </c>
      <c r="D56" s="357">
        <v>0.03</v>
      </c>
      <c r="E56" s="320"/>
      <c r="F56" s="131"/>
      <c r="G56" s="131"/>
      <c r="H56" s="131"/>
      <c r="I56" s="131"/>
      <c r="J56" s="320"/>
      <c r="K56" s="131"/>
      <c r="L56" s="131"/>
      <c r="M56" s="131"/>
      <c r="N56" s="131"/>
      <c r="O56" s="346"/>
      <c r="P56" s="346"/>
      <c r="Q56" s="346"/>
      <c r="R56" s="346"/>
      <c r="S56" s="346"/>
      <c r="T56" s="351" t="s">
        <v>381</v>
      </c>
      <c r="U56" s="351"/>
      <c r="V56" s="351"/>
      <c r="W56" s="352">
        <f>SUM(D53:W53)</f>
        <v>19151.292051488115</v>
      </c>
      <c r="X56" s="131"/>
    </row>
    <row r="57" spans="3:24" ht="25.5" customHeight="1" x14ac:dyDescent="0.25">
      <c r="C57" s="351" t="s">
        <v>382</v>
      </c>
      <c r="D57" s="357">
        <v>3.5000000000000003E-2</v>
      </c>
      <c r="E57" s="320"/>
      <c r="F57" s="131"/>
      <c r="G57" s="131"/>
      <c r="H57" s="131"/>
      <c r="I57" s="131"/>
      <c r="J57" s="320"/>
      <c r="K57" s="131"/>
      <c r="L57" s="131"/>
      <c r="M57" s="131"/>
      <c r="N57" s="131"/>
      <c r="O57" s="346"/>
      <c r="P57" s="346"/>
      <c r="Q57" s="346"/>
      <c r="R57" s="346"/>
      <c r="S57" s="346"/>
      <c r="T57" s="351" t="s">
        <v>383</v>
      </c>
      <c r="U57" s="351"/>
      <c r="V57" s="351"/>
      <c r="W57" s="352">
        <f>N53/(D64-D56)</f>
        <v>22885.368115873109</v>
      </c>
      <c r="X57" s="131"/>
    </row>
    <row r="58" spans="3:24" ht="25.5" customHeight="1" x14ac:dyDescent="0.25">
      <c r="C58" s="351" t="s">
        <v>384</v>
      </c>
      <c r="D58" s="358">
        <v>0.9</v>
      </c>
      <c r="E58" s="320"/>
      <c r="F58" s="131"/>
      <c r="G58" s="131"/>
      <c r="H58" s="131"/>
      <c r="I58" s="131"/>
      <c r="J58" s="320"/>
      <c r="K58" s="131"/>
      <c r="L58" s="131"/>
      <c r="M58" s="131"/>
      <c r="N58" s="131"/>
      <c r="O58" s="347"/>
      <c r="P58" s="347"/>
      <c r="Q58" s="347"/>
      <c r="R58" s="347"/>
      <c r="S58" s="347"/>
      <c r="T58" s="353" t="s">
        <v>385</v>
      </c>
      <c r="U58" s="353"/>
      <c r="V58" s="353"/>
      <c r="W58" s="354">
        <f>W56+W57</f>
        <v>42036.660167361224</v>
      </c>
      <c r="X58" s="131"/>
    </row>
    <row r="59" spans="3:24" ht="25.5" customHeight="1" x14ac:dyDescent="0.25">
      <c r="C59" s="351" t="s">
        <v>386</v>
      </c>
      <c r="D59" s="357">
        <v>0.06</v>
      </c>
      <c r="E59" s="320"/>
      <c r="F59" s="131"/>
      <c r="G59" s="131"/>
      <c r="H59" s="131"/>
      <c r="I59" s="131"/>
      <c r="J59" s="320"/>
      <c r="K59" s="131"/>
      <c r="L59" s="131"/>
      <c r="M59" s="131"/>
      <c r="N59" s="131"/>
      <c r="O59" s="346"/>
      <c r="P59" s="346"/>
      <c r="Q59" s="346"/>
      <c r="R59" s="346"/>
      <c r="S59" s="346"/>
      <c r="T59" s="351" t="s">
        <v>387</v>
      </c>
      <c r="U59" s="351"/>
      <c r="V59" s="351"/>
      <c r="W59" s="352">
        <f>-BS!E78</f>
        <v>-628.38913840535031</v>
      </c>
      <c r="X59" s="131"/>
    </row>
    <row r="60" spans="3:24" ht="25.5" customHeight="1" x14ac:dyDescent="0.25">
      <c r="C60" s="351" t="s">
        <v>388</v>
      </c>
      <c r="D60" s="359">
        <f>D57+(D58*D59)</f>
        <v>8.8999999999999996E-2</v>
      </c>
      <c r="E60" s="320"/>
      <c r="F60" s="131"/>
      <c r="G60" s="131"/>
      <c r="H60" s="131"/>
      <c r="I60" s="131"/>
      <c r="J60" s="320"/>
      <c r="K60" s="131"/>
      <c r="L60" s="131"/>
      <c r="M60" s="131"/>
      <c r="N60" s="131"/>
      <c r="O60" s="346"/>
      <c r="P60" s="346"/>
      <c r="Q60" s="346"/>
      <c r="R60" s="346"/>
      <c r="S60" s="346"/>
      <c r="T60" s="351" t="s">
        <v>389</v>
      </c>
      <c r="U60" s="351"/>
      <c r="V60" s="351"/>
      <c r="W60" s="352">
        <f>-0.05*W62</f>
        <v>-577</v>
      </c>
      <c r="X60" s="131"/>
    </row>
    <row r="61" spans="3:24" ht="25.5" customHeight="1" x14ac:dyDescent="0.25">
      <c r="C61" s="351" t="s">
        <v>390</v>
      </c>
      <c r="D61" s="357">
        <v>0.04</v>
      </c>
      <c r="E61" s="320"/>
      <c r="F61" s="131"/>
      <c r="G61" s="131"/>
      <c r="H61" s="131"/>
      <c r="I61" s="131"/>
      <c r="J61" s="320"/>
      <c r="K61" s="131"/>
      <c r="L61" s="131"/>
      <c r="M61" s="131"/>
      <c r="N61" s="131"/>
      <c r="O61" s="347"/>
      <c r="P61" s="347"/>
      <c r="Q61" s="347"/>
      <c r="R61" s="347"/>
      <c r="S61" s="347"/>
      <c r="T61" s="353" t="s">
        <v>391</v>
      </c>
      <c r="U61" s="353"/>
      <c r="V61" s="351"/>
      <c r="W61" s="354">
        <f>SUM(W58:W60)</f>
        <v>40831.271028955874</v>
      </c>
      <c r="X61" s="131"/>
    </row>
    <row r="62" spans="3:24" ht="25.5" customHeight="1" x14ac:dyDescent="0.25">
      <c r="C62" s="351" t="s">
        <v>392</v>
      </c>
      <c r="D62" s="357">
        <v>0.3</v>
      </c>
      <c r="E62" s="320"/>
      <c r="F62" s="131"/>
      <c r="G62" s="131"/>
      <c r="H62" s="131"/>
      <c r="I62" s="131"/>
      <c r="J62" s="320"/>
      <c r="K62" s="131"/>
      <c r="L62" s="131"/>
      <c r="M62" s="131"/>
      <c r="N62" s="131"/>
      <c r="O62" s="346"/>
      <c r="P62" s="346"/>
      <c r="Q62" s="346"/>
      <c r="R62" s="346"/>
      <c r="S62" s="346"/>
      <c r="T62" s="351" t="s">
        <v>215</v>
      </c>
      <c r="U62" s="351"/>
      <c r="V62" s="351"/>
      <c r="W62" s="352">
        <f>PL!E45</f>
        <v>11540</v>
      </c>
      <c r="X62" s="131"/>
    </row>
    <row r="63" spans="3:24" ht="25.5" customHeight="1" x14ac:dyDescent="0.25">
      <c r="C63" s="351" t="s">
        <v>393</v>
      </c>
      <c r="D63" s="357">
        <v>0.2</v>
      </c>
      <c r="E63" s="320"/>
      <c r="F63" s="131"/>
      <c r="G63" s="131"/>
      <c r="H63" s="131"/>
      <c r="I63" s="131"/>
      <c r="J63" s="320"/>
      <c r="K63" s="131"/>
      <c r="L63" s="131"/>
      <c r="M63" s="131"/>
      <c r="N63" s="131"/>
      <c r="O63" s="348"/>
      <c r="P63" s="348"/>
      <c r="Q63" s="348"/>
      <c r="R63" s="348"/>
      <c r="S63" s="348"/>
      <c r="T63" s="355" t="s">
        <v>394</v>
      </c>
      <c r="U63" s="355"/>
      <c r="V63" s="355"/>
      <c r="W63" s="356">
        <f>ROUND(W61/W62,1)</f>
        <v>3.5</v>
      </c>
      <c r="X63" s="131"/>
    </row>
    <row r="64" spans="3:24" ht="25.5" customHeight="1" x14ac:dyDescent="0.25">
      <c r="C64" s="353" t="s">
        <v>395</v>
      </c>
      <c r="D64" s="360">
        <f>((D63*(0.7)*D61)+((1-D63)*D60))</f>
        <v>7.6799999999999993E-2</v>
      </c>
      <c r="E64" s="320"/>
      <c r="F64" s="320"/>
      <c r="G64" s="320"/>
      <c r="H64" s="320"/>
      <c r="I64" s="320"/>
      <c r="J64" s="320"/>
      <c r="K64" s="320"/>
      <c r="L64" s="320"/>
      <c r="M64" s="320"/>
      <c r="N64" s="320"/>
      <c r="O64" s="320"/>
      <c r="P64" s="320"/>
      <c r="Q64" s="320"/>
      <c r="R64" s="320"/>
      <c r="S64" s="320"/>
      <c r="T64" s="320"/>
      <c r="U64" s="320"/>
      <c r="V64" s="320"/>
      <c r="W64" s="320"/>
      <c r="X64" s="131"/>
    </row>
    <row r="65" spans="1:24" ht="25.5" customHeight="1" x14ac:dyDescent="0.25">
      <c r="C65" s="353" t="s">
        <v>396</v>
      </c>
      <c r="D65" s="361">
        <f>Summary!F9</f>
        <v>2.92</v>
      </c>
      <c r="E65" s="320"/>
      <c r="F65" s="320"/>
      <c r="G65" s="320"/>
      <c r="H65" s="320"/>
      <c r="I65" s="320"/>
      <c r="J65" s="320"/>
      <c r="K65" s="320"/>
      <c r="L65" s="320"/>
      <c r="M65" s="320"/>
      <c r="N65" s="320"/>
      <c r="O65" s="320"/>
      <c r="P65" s="320"/>
      <c r="Q65" s="320"/>
      <c r="R65" s="320"/>
      <c r="S65" s="320"/>
      <c r="T65" s="320"/>
      <c r="U65" s="320"/>
      <c r="V65" s="320"/>
      <c r="W65" s="320"/>
      <c r="X65" s="131"/>
    </row>
    <row r="66" spans="1:24" ht="20.100000000000001" customHeight="1" x14ac:dyDescent="0.25">
      <c r="E66" s="131"/>
      <c r="F66" s="131"/>
      <c r="G66" s="131"/>
      <c r="H66" s="131"/>
      <c r="I66" s="131"/>
      <c r="J66" s="131"/>
      <c r="K66" s="131"/>
      <c r="L66" s="131"/>
      <c r="M66" s="131"/>
      <c r="N66" s="131"/>
      <c r="O66" s="131"/>
      <c r="P66" s="131"/>
      <c r="Q66" s="131"/>
      <c r="R66" s="131"/>
      <c r="S66" s="131"/>
      <c r="T66" s="131"/>
      <c r="U66" s="131"/>
      <c r="V66" s="131"/>
      <c r="W66" s="131"/>
      <c r="X66" s="131"/>
    </row>
    <row r="67" spans="1:24" ht="20.100000000000001" customHeight="1" x14ac:dyDescent="0.25">
      <c r="J67" s="131"/>
      <c r="K67" s="131"/>
      <c r="L67" s="131"/>
      <c r="M67" s="131"/>
      <c r="N67" s="131"/>
      <c r="O67" s="131"/>
      <c r="P67" s="131"/>
      <c r="Q67" s="131"/>
      <c r="R67" s="131"/>
      <c r="S67" s="131"/>
      <c r="T67" s="131"/>
      <c r="U67" s="131"/>
      <c r="V67" s="131"/>
      <c r="W67" s="131"/>
      <c r="X67" s="131"/>
    </row>
    <row r="70" spans="1:24" s="5" customFormat="1" ht="16.5" customHeight="1" x14ac:dyDescent="0.25">
      <c r="C70" s="17" t="s">
        <v>493</v>
      </c>
      <c r="D70" s="17"/>
      <c r="E70" s="17"/>
      <c r="F70" s="17"/>
      <c r="G70" s="17"/>
      <c r="H70" s="17"/>
      <c r="I70" s="17"/>
      <c r="J70" s="17"/>
      <c r="K70" s="17"/>
    </row>
    <row r="71" spans="1:24" ht="20.25" customHeight="1" x14ac:dyDescent="0.25"/>
    <row r="72" spans="1:24" ht="12" customHeight="1" x14ac:dyDescent="0.25"/>
    <row r="73" spans="1:24" ht="18" customHeight="1" x14ac:dyDescent="0.25">
      <c r="C73" s="194" t="s">
        <v>361</v>
      </c>
      <c r="D73" s="180" t="s">
        <v>21</v>
      </c>
    </row>
    <row r="74" spans="1:24" ht="18" customHeight="1" x14ac:dyDescent="0.25">
      <c r="A74" s="136" t="s">
        <v>216</v>
      </c>
      <c r="C74" s="135" t="s">
        <v>362</v>
      </c>
      <c r="D74" s="199">
        <f>PL!F47*100</f>
        <v>7.9437055262510645</v>
      </c>
    </row>
    <row r="75" spans="1:24" ht="18" customHeight="1" x14ac:dyDescent="0.25">
      <c r="C75" s="129" t="s">
        <v>363</v>
      </c>
      <c r="D75" s="195">
        <v>44</v>
      </c>
    </row>
    <row r="76" spans="1:24" ht="18" customHeight="1" x14ac:dyDescent="0.25">
      <c r="C76" s="196" t="s">
        <v>364</v>
      </c>
      <c r="D76" s="197">
        <f>ROUND(D75*D74/100,1)</f>
        <v>3.5</v>
      </c>
    </row>
  </sheetData>
  <conditionalFormatting sqref="C73">
    <cfRule type="expression" dxfId="0" priority="1">
      <formula>#REF!=1</formula>
    </cfRule>
  </conditionalFormatting>
  <printOptions horizontalCentered="1" verticalCentered="1"/>
  <pageMargins left="0.7" right="0.7" top="0.75" bottom="0.75" header="0.3" footer="0.3"/>
  <pageSetup paperSize="9" scale="61" orientation="portrait" r:id="rId1"/>
  <customProperties>
    <customPr name="Qube.Worksheet.Visibility"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0433E8-1A14-40E6-8239-C21D4170F571}">
  <ds:schemaRefs>
    <ds:schemaRef ds:uri="http://www.w3.org/2001/XMLSchema"/>
    <ds:schemaRef ds:uri="Exchange-SubmissionSheetWrapper"/>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Summary</vt:lpstr>
      <vt:lpstr>Australia Stores</vt:lpstr>
      <vt:lpstr>Model</vt:lpstr>
      <vt:lpstr>PL</vt:lpstr>
      <vt:lpstr>CF</vt:lpstr>
      <vt:lpstr>BS</vt:lpstr>
      <vt:lpstr>Ireland Model</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Marks, Peter J [GIR]</dc:creator>
  <cp:lastModifiedBy>Haidar, Rayanne [GIR]</cp:lastModifiedBy>
  <cp:lastPrinted>2026-01-21T04:07:16Z</cp:lastPrinted>
  <dcterms:created xsi:type="dcterms:W3CDTF">2025-10-30T07:39:40Z</dcterms:created>
  <dcterms:modified xsi:type="dcterms:W3CDTF">2026-01-21T22:57:42Z</dcterms:modified>
</cp:coreProperties>
</file>